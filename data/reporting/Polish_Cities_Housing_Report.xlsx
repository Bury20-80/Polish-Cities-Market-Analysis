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5"/>
    <sheet state="visible" name="City Comparison" sheetId="2" r:id="rId6"/>
    <sheet state="visible" name="Methodology" sheetId="3" r:id="rId7"/>
    <sheet state="hidden" name="src_city_snapshot" sheetId="4" r:id="rId8"/>
    <sheet state="hidden" name="src_dim_city" sheetId="5" r:id="rId9"/>
    <sheet state="hidden" name="src_dim_nbp_period" sheetId="6" r:id="rId10"/>
    <sheet state="hidden" name="src_dim_year" sheetId="7" r:id="rId11"/>
    <sheet state="hidden" name="src_fact_city_year" sheetId="8" r:id="rId12"/>
    <sheet state="hidden" name="src_fact_hedonic_period" sheetId="9" r:id="rId13"/>
    <sheet state="hidden" name="src_fact_price_period" sheetId="10" r:id="rId14"/>
    <sheet state="hidden" name="helper_report" sheetId="11" r:id="rId15"/>
  </sheets>
  <definedNames/>
  <calcPr/>
</workbook>
</file>

<file path=xl/sharedStrings.xml><?xml version="1.0" encoding="utf-8"?>
<sst xmlns="http://schemas.openxmlformats.org/spreadsheetml/2006/main" count="363" uniqueCount="294">
  <si>
    <t>city_id</t>
  </si>
  <si>
    <t>nbp_period_id</t>
  </si>
  <si>
    <t>primary_transaction_price_pln_m2</t>
  </si>
  <si>
    <t>secondary_transaction_price_pln_m2</t>
  </si>
  <si>
    <t>primary_transaction_yoy_pct</t>
  </si>
  <si>
    <t>primary_yoy_4p_avg_pct</t>
  </si>
  <si>
    <t>primary_momentum_change_pp</t>
  </si>
  <si>
    <t>secondary_transaction_yoy_pct</t>
  </si>
  <si>
    <t>secondary_yoy_4p_avg_pct</t>
  </si>
  <si>
    <t>secondary_momentum_change_pp</t>
  </si>
  <si>
    <t>primary_secondary_premium_pct</t>
  </si>
  <si>
    <t>primary_transaction_methodology_break</t>
  </si>
  <si>
    <t>Methodology</t>
  </si>
  <si>
    <t>City Comparison</t>
  </si>
  <si>
    <t>primary_transaction_methodology_note</t>
  </si>
  <si>
    <t>primary_premium_historical_median_pct</t>
  </si>
  <si>
    <t>primary_premium_historical_min_pct</t>
  </si>
  <si>
    <t>primary_premium_historical_max_pct</t>
  </si>
  <si>
    <t>avg_gross_monthly_wage_pln</t>
  </si>
  <si>
    <t>primary_annual_transaction_price_pln_m2</t>
  </si>
  <si>
    <t>secondary_annual_transaction_price_pln_m2</t>
  </si>
  <si>
    <t>primary_affordability_m2</t>
  </si>
  <si>
    <t>secondary_affordability_m2</t>
  </si>
  <si>
    <t>primary_affordability_yoy_pct</t>
  </si>
  <si>
    <t>secondary_affordability_yoy_pct</t>
  </si>
  <si>
    <t>primary_annual_price_yoy_pct</t>
  </si>
  <si>
    <t>secondary_annual_price_yoy_pct</t>
  </si>
  <si>
    <t>wage_yoy_pct</t>
  </si>
  <si>
    <t>primary_affordability_2019_m2</t>
  </si>
  <si>
    <t>secondary_affordability_2019_m2</t>
  </si>
  <si>
    <t>sold_units</t>
  </si>
  <si>
    <t>sold_units_per_1000</t>
  </si>
  <si>
    <t>transactions</t>
  </si>
  <si>
    <t>transactions_per_1000</t>
  </si>
  <si>
    <t>avg_sold_area_m2</t>
  </si>
  <si>
    <t>started</t>
  </si>
  <si>
    <t>started_per_1000</t>
  </si>
  <si>
    <t>completed</t>
  </si>
  <si>
    <t>completed_per_1000</t>
  </si>
  <si>
    <t>started_h1</t>
  </si>
  <si>
    <t>completed_h1</t>
  </si>
  <si>
    <t>started_h1_yoy_pct</t>
  </si>
  <si>
    <t>completed_h1_yoy_pct</t>
  </si>
  <si>
    <t>primary_premium_vs_historical_median_pp</t>
  </si>
  <si>
    <t>primary_affordability_change_since_2019_pct</t>
  </si>
  <si>
    <t>secondary_affordability_change_since_2019_pct</t>
  </si>
  <si>
    <t>price_reference_period</t>
  </si>
  <si>
    <t>affordability_reference_year</t>
  </si>
  <si>
    <t>market_activity_reference_year</t>
  </si>
  <si>
    <t>supply_reference_year</t>
  </si>
  <si>
    <t>17 cities compared on individual metrics. No composite score.</t>
  </si>
  <si>
    <t>supply_h1_reference_year</t>
  </si>
  <si>
    <t>pareto_favorable_secondary</t>
  </si>
  <si>
    <t>secondary_price_rank_lowest</t>
  </si>
  <si>
    <t>secondary_affordability_rank_highest</t>
  </si>
  <si>
    <t>completed_supply_rank_highest</t>
  </si>
  <si>
    <t>secondary_price_pressure_rank_lowest</t>
  </si>
  <si>
    <r>
      <rPr>
        <rFont val="Arial"/>
        <b/>
        <i/>
        <color rgb="FF1F2933"/>
        <sz val="14.0"/>
      </rPr>
      <t xml:space="preserve">Use the header filters to sort or narrow the table. </t>
    </r>
    <r>
      <rPr>
        <rFont val="Arial"/>
        <b/>
        <i/>
        <color rgb="FFC8102E"/>
        <sz val="14.0"/>
      </rPr>
      <t>Red shading = relatively less buyer-favorable</t>
    </r>
    <r>
      <rPr>
        <rFont val="Arial"/>
        <b/>
        <i/>
        <color rgb="FF1F2933"/>
        <sz val="14.0"/>
      </rPr>
      <t xml:space="preserve"> within that metric </t>
    </r>
    <r>
      <rPr>
        <rFont val="Arial"/>
        <b/>
        <i/>
        <color rgb="FFFFFFFF"/>
        <sz val="14.0"/>
      </rPr>
      <t>white = relatively more favorable</t>
    </r>
    <r>
      <rPr>
        <rFont val="Arial"/>
        <b/>
        <i/>
        <color rgb="FF1F2933"/>
        <sz val="14.0"/>
      </rPr>
      <t>. No overall city score.</t>
    </r>
  </si>
  <si>
    <t>City</t>
  </si>
  <si>
    <t>Definitions, reference periods, caveats and source-layer structure.</t>
  </si>
  <si>
    <t>1. Metric Definitions</t>
  </si>
  <si>
    <t>2026Q2</t>
  </si>
  <si>
    <t>Metric</t>
  </si>
  <si>
    <t>Definition</t>
  </si>
  <si>
    <t>Interpretation</t>
  </si>
  <si>
    <t>Secondary Price
PLN/m²</t>
  </si>
  <si>
    <t>Secondary Price</t>
  </si>
  <si>
    <t>Latest NBP secondary-market transaction price per m².</t>
  </si>
  <si>
    <t>Primary Price
PLN/m²</t>
  </si>
  <si>
    <t>Lower value = lower headline transaction price.</t>
  </si>
  <si>
    <t>Primary Premium
%</t>
  </si>
  <si>
    <t>Affordability
m² / salary</t>
  </si>
  <si>
    <t>Price Growth
latest 4 YoY avg %</t>
  </si>
  <si>
    <t>Supply 2025
completed / 1k</t>
  </si>
  <si>
    <t>H1 2025
completed</t>
  </si>
  <si>
    <t>H1 2026
completed</t>
  </si>
  <si>
    <t>H1 Supply Change
%</t>
  </si>
  <si>
    <t>Completed dwellings from January through June.</t>
  </si>
  <si>
    <t>Raw counts for the current supply update.</t>
  </si>
  <si>
    <t>H1 Change
units</t>
  </si>
  <si>
    <t>Primary Premium</t>
  </si>
  <si>
    <t>(Primary price / Secondary price) - 1, from the latest NBP period.</t>
  </si>
  <si>
    <t>Lower premium = smaller price gap between primary and secondary markets.</t>
  </si>
  <si>
    <t>H1 Supply Change</t>
  </si>
  <si>
    <t>Positive = more completions than in the same half-year a year earlier.</t>
  </si>
  <si>
    <t>Affordability</t>
  </si>
  <si>
    <t>Average monthly gross wage / annual secondary transaction price per m².</t>
  </si>
  <si>
    <t>Higher value = more m² equivalent to one average monthly gross wage.</t>
  </si>
  <si>
    <t>Price Growth</t>
  </si>
  <si>
    <t>Average of the latest 4 secondary-market YoY price changes.</t>
  </si>
  <si>
    <t>Recent price pressure; descriptive, not a forecast.</t>
  </si>
  <si>
    <t>Completed Supply / 1k</t>
  </si>
  <si>
    <t>Higher value = more completed dwellings relative to population.</t>
  </si>
  <si>
    <t>2. Reference Periods</t>
  </si>
  <si>
    <t>Reference period</t>
  </si>
  <si>
    <t>Why</t>
  </si>
  <si>
    <t>Secondary / Primary Price</t>
  </si>
  <si>
    <t>Latest NBP price period in the frozen snapshot.</t>
  </si>
  <si>
    <t>Latest full year with wage + annual price data.</t>
  </si>
  <si>
    <t>Latest full-year supply; H1 2026 is not annualized.</t>
  </si>
  <si>
    <t>Like-for-like partial-year comparison.</t>
  </si>
  <si>
    <t>Reduces dependence on a single YoY observation.</t>
  </si>
  <si>
    <t>3. Caveats &amp; Reporting Rules</t>
  </si>
  <si>
    <t>Executive Summary</t>
  </si>
  <si>
    <t>• Affordability is a proxy, not mortgage affordability or a full cost-of-living measure.</t>
  </si>
  <si>
    <t>• Annual NBP prices require all 4 observations; incomplete years remain blank.</t>
  </si>
  <si>
    <t>• No composite city score is used; each comparison is based on one metric.</t>
  </si>
  <si>
    <t>• Different metrics intentionally use different reference periods because sources update at different frequencies.</t>
  </si>
  <si>
    <t>Median Secondary Price</t>
  </si>
  <si>
    <t>Median Primary Price</t>
  </si>
  <si>
    <t>4. Source Layer — hidden reporting CSV tabs</t>
  </si>
  <si>
    <t>Median Affordability</t>
  </si>
  <si>
    <t>Sheet</t>
  </si>
  <si>
    <t>Rows</t>
  </si>
  <si>
    <t>Median Completed Supply</t>
  </si>
  <si>
    <t>Purpose</t>
  </si>
  <si>
    <t>Workflow:
Python cleaning / reporting exports → hidden src_* CSV tabs → spreadsheet formulas → report.
The source tabs remain in the workbook for audit and lineage, but are hidden from the normal presentation view. helper_report is also hidden and exists only for display ordering and chart sorting.</t>
  </si>
  <si>
    <t>src_city_snapshot</t>
  </si>
  <si>
    <t>Latest city-level reporting snapshot used by KPI and comparison metrics.</t>
  </si>
  <si>
    <t>src_dim_city</t>
  </si>
  <si>
    <t>17-city dimension and labels.</t>
  </si>
  <si>
    <t>src_dim_nbp_period</t>
  </si>
  <si>
    <t>NBP period dimension.</t>
  </si>
  <si>
    <t>src_dim_year</t>
  </si>
  <si>
    <t>Year dimension.</t>
  </si>
  <si>
    <t>src_fact_city_year</t>
  </si>
  <si>
    <t>Annual city facts, including H1 supply fields.</t>
  </si>
  <si>
    <t>src_fact_hedonic_period</t>
  </si>
  <si>
    <t>Hedonic reporting fact retained for lineage/future extension.</t>
  </si>
  <si>
    <t>src_fact_price_period</t>
  </si>
  <si>
    <t>Period-level price fact retained for lineage/future extension.</t>
  </si>
  <si>
    <t>city_name</t>
  </si>
  <si>
    <t>teryt_code</t>
  </si>
  <si>
    <t>gus_name</t>
  </si>
  <si>
    <t>Białystok</t>
  </si>
  <si>
    <t>2061000</t>
  </si>
  <si>
    <t>Powiat m. Białystok</t>
  </si>
  <si>
    <t>Bydgoszcz</t>
  </si>
  <si>
    <t>0461000</t>
  </si>
  <si>
    <t>Powiat m. Bydgoszcz</t>
  </si>
  <si>
    <t>Gdańsk</t>
  </si>
  <si>
    <t>2261000</t>
  </si>
  <si>
    <t>Powiat m. Gdańsk</t>
  </si>
  <si>
    <t>Gdynia</t>
  </si>
  <si>
    <t>2262000</t>
  </si>
  <si>
    <t>Powiat m. Gdynia</t>
  </si>
  <si>
    <t>Katowice</t>
  </si>
  <si>
    <t>2469000</t>
  </si>
  <si>
    <t>Powiat m. Katowice</t>
  </si>
  <si>
    <t>Kielce</t>
  </si>
  <si>
    <t>2661000</t>
  </si>
  <si>
    <t>Powiat m. Kielce</t>
  </si>
  <si>
    <t>Kraków</t>
  </si>
  <si>
    <t>1261000</t>
  </si>
  <si>
    <t>Powiat m. Kraków</t>
  </si>
  <si>
    <t>Lublin</t>
  </si>
  <si>
    <t>0663000</t>
  </si>
  <si>
    <t>Powiat m. Lublin</t>
  </si>
  <si>
    <t>Olsztyn</t>
  </si>
  <si>
    <t>2862000</t>
  </si>
  <si>
    <t>Powiat m. Olsztyn</t>
  </si>
  <si>
    <t>Opole</t>
  </si>
  <si>
    <t>1661000</t>
  </si>
  <si>
    <t>Powiat m. Opole</t>
  </si>
  <si>
    <t>Poznań</t>
  </si>
  <si>
    <t>3064000</t>
  </si>
  <si>
    <t>Powiat m. Poznań</t>
  </si>
  <si>
    <t>Rzeszów</t>
  </si>
  <si>
    <t>1863000</t>
  </si>
  <si>
    <t>Powiat m. Rzeszów</t>
  </si>
  <si>
    <t>Szczecin</t>
  </si>
  <si>
    <t>3262000</t>
  </si>
  <si>
    <t>Powiat m. Szczecin</t>
  </si>
  <si>
    <t>Warszawa</t>
  </si>
  <si>
    <t>1465000</t>
  </si>
  <si>
    <t>Powiat m. st. Warszawa</t>
  </si>
  <si>
    <t>Wrocław</t>
  </si>
  <si>
    <t>0264000</t>
  </si>
  <si>
    <t>Powiat m. Wrocław</t>
  </si>
  <si>
    <t>Zielona Góra</t>
  </si>
  <si>
    <t>0862000</t>
  </si>
  <si>
    <t>Powiat m. Zielona Góra</t>
  </si>
  <si>
    <t>Łódź</t>
  </si>
  <si>
    <t>1061000</t>
  </si>
  <si>
    <t>Powiat m. Łódź</t>
  </si>
  <si>
    <t>Source: NBP BaRN, GUS BDL | Reporting tables prepared in Python | Definitions and periods: Methodology</t>
  </si>
  <si>
    <t>nbp_period</t>
  </si>
  <si>
    <t>nbp_year</t>
  </si>
  <si>
    <t>nbp_quarter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</si>
  <si>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</si>
  <si>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</si>
  <si>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</si>
  <si>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</si>
  <si>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</si>
  <si>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</si>
  <si>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</si>
  <si>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</si>
  <si>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</si>
  <si>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</si>
  <si>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</si>
  <si>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</si>
  <si>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</si>
  <si>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</si>
  <si>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</si>
  <si>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</si>
  <si>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</si>
  <si>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</si>
  <si>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</si>
  <si>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</si>
  <si>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</si>
  <si>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</si>
  <si>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</si>
  <si>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</si>
  <si>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</si>
  <si>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</si>
  <si>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</si>
  <si>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</si>
  <si>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</si>
  <si>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</si>
  <si>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</si>
  <si>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</si>
  <si>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</si>
  <si>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</si>
  <si>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</si>
  <si>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</si>
  <si>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</si>
  <si>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</si>
  <si>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</si>
  <si>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</si>
  <si>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</si>
  <si>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</si>
  <si>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</si>
  <si>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</si>
  <si>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</si>
  <si>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</si>
  <si>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</si>
  <si>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</si>
  <si>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</si>
  <si>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</si>
  <si>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</si>
  <si>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</si>
  <si>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</si>
  <si>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</si>
  <si>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</si>
  <si>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</si>
  <si>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</si>
  <si>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</si>
  <si>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</si>
  <si>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</si>
  <si>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year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</si>
  <si>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</si>
  <si>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</si>
  <si>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</si>
  <si>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</si>
  <si>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</si>
  <si>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</si>
  <si>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</si>
  <si>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</si>
  <si>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</si>
  <si>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</si>
  <si>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</si>
  <si>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</si>
  <si>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</si>
  <si>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</si>
  <si>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</si>
  <si>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</si>
  <si>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</si>
  <si>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</si>
  <si>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</si>
  <si>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population_mid_year</t>
  </si>
  <si>
    <t>primary_price_quarters_available</t>
  </si>
  <si>
    <t>secondary_price_quarters_available</t>
  </si>
  <si>
    <t>transaction_quarters_available</t>
  </si>
  <si>
    <t>sold_units_quarters_available</t>
  </si>
  <si>
    <t>sold_area_m2</t>
  </si>
  <si>
    <t>sold_area_quarters_available</t>
  </si>
  <si>
    <t>transactions_full_year_available</t>
  </si>
  <si>
    <t>sold_units_full_year_available</t>
  </si>
  <si>
    <t>completed_months_available</t>
  </si>
  <si>
    <t>started_months_available</t>
  </si>
  <si>
    <t>started_full_year_available</t>
  </si>
  <si>
    <t>completed_full_year_available</t>
  </si>
  <si>
    <t>completed_h1_months_available</t>
  </si>
  <si>
    <t>started_h1_months_available</t>
  </si>
  <si>
    <t>hedonic_qoq_index</t>
  </si>
  <si>
    <t>hedonic_yoy_index</t>
  </si>
  <si>
    <t>hedonic_qoq_pct</t>
  </si>
  <si>
    <t>hedonic_yoy_pct</t>
  </si>
  <si>
    <t>headline_minus_hedonic_yoy_pp</t>
  </si>
  <si>
    <t>comparison_available</t>
  </si>
  <si>
    <t>opposite_direction</t>
  </si>
  <si>
    <t>Gdynia primary transaction-price weighting methodology changed from 2021Q3.</t>
  </si>
  <si>
    <t>display_order_city_id</t>
  </si>
  <si>
    <t>current_h1_unique_rank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</si>
</sst>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&quot;%&quot;"/>
    <numFmt numFmtId="165" formatCode="#,##0 &quot;PLN/m²&quot;"/>
    <numFmt numFmtId="166" formatCode="0.00 &quot;m²&quot;"/>
    <numFmt numFmtId="167" formatCode="0.00 &quot; / 1k&quot;"/>
    <numFmt numFmtId="168" formatCode="0.0%"/>
    <numFmt numFmtId="169" formatCode="+#,##0;-#,##0;0"/>
  </numFmts>
  <fonts count="28">
    <font>
      <sz val="11.0"/>
      <color rgb="FF000000"/>
      <name val="Carlito"/>
      <scheme val="minor"/>
    </font>
    <font>
      <b/>
      <sz val="10.0"/>
      <color rgb="FFFFFFFF"/>
      <name val="Carlito"/>
    </font>
    <font>
      <b/>
      <sz val="24.0"/>
      <color rgb="FFFFFFFF"/>
      <name val="Arial"/>
    </font>
    <font>
      <b/>
      <sz val="18.0"/>
      <color rgb="FF1F2933"/>
      <name val="Arial"/>
    </font>
    <font>
      <sz val="11.0"/>
      <color rgb="FF6B7280"/>
      <name val="Arial"/>
    </font>
    <font>
      <color theme="1"/>
      <name val="Carlito"/>
    </font>
    <font>
      <b/>
      <i/>
      <sz val="10.0"/>
      <color rgb="FF1F2933"/>
      <name val="Arial"/>
    </font>
    <font>
      <i/>
      <sz val="9.0"/>
      <color rgb="FF1F2933"/>
      <name val="Arial"/>
    </font>
    <font>
      <i/>
      <sz val="11.0"/>
      <color rgb="FF6B7280"/>
      <name val="Arial"/>
    </font>
    <font>
      <sz val="11.0"/>
      <color theme="1"/>
      <name val="Carlito"/>
    </font>
    <font>
      <sz val="10.0"/>
      <color rgb="FF1F2933"/>
      <name val="Arial"/>
    </font>
    <font>
      <b/>
      <sz val="12.0"/>
      <color rgb="FFC8102E"/>
      <name val="Arial"/>
    </font>
    <font>
      <b/>
      <sz val="10.0"/>
      <color rgb="FF9E1B32"/>
      <name val="Arial"/>
    </font>
    <font>
      <b/>
      <sz val="11.0"/>
      <color theme="1"/>
      <name val="Arial"/>
    </font>
    <font>
      <b/>
      <sz val="10.0"/>
      <color rgb="FF1F2933"/>
      <name val="Arial"/>
    </font>
    <font>
      <b/>
      <sz val="11.0"/>
      <color rgb="FF1F2933"/>
      <name val="Arial"/>
    </font>
    <font>
      <sz val="11.0"/>
      <color rgb="FF1F2933"/>
      <name val="Arial"/>
    </font>
    <font>
      <b/>
      <sz val="15.0"/>
      <color rgb="FFC8102E"/>
      <name val="Arial"/>
    </font>
    <font>
      <sz val="21.0"/>
      <color rgb="FF1F2933"/>
      <name val="Arial"/>
    </font>
    <font>
      <b/>
      <sz val="24.0"/>
      <color rgb="FF1F2933"/>
      <name val="Arial"/>
    </font>
    <font>
      <sz val="30.0"/>
      <color rgb="FF1F2933"/>
      <name val="Arial"/>
    </font>
    <font>
      <sz val="10.0"/>
      <color rgb="FF6B7280"/>
      <name val="Arial"/>
    </font>
    <font>
      <sz val="12.0"/>
      <color rgb="FF1F2933"/>
      <name val="Arial"/>
    </font>
    <font>
      <sz val="9.0"/>
      <color rgb="FF1F2933"/>
      <name val="Arial"/>
    </font>
    <font>
      <b/>
      <sz val="14.0"/>
      <color rgb="FFFFFFFF"/>
      <name val="Arial"/>
    </font>
    <font>
      <sz val="9.0"/>
      <color rgb="FF6B7280"/>
      <name val="Arial"/>
    </font>
    <font>
      <b/>
      <sz val="9.0"/>
      <color rgb="FFFFFFFF"/>
      <name val="Carlito"/>
    </font>
    <font>
      <sz val="9.0"/>
      <color theme="1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C8102E"/>
        <bgColor rgb="FFC8102E"/>
      </patternFill>
    </fill>
    <fill>
      <patternFill patternType="solid">
        <fgColor rgb="FFFFFFFF"/>
        <bgColor rgb="FFFFFFFF"/>
      </patternFill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3" fontId="2" numFmtId="0" xfId="0" applyAlignment="1" applyFill="1" applyFont="1">
      <alignment horizontal="center" vertical="center"/>
    </xf>
    <xf borderId="0" fillId="4" fontId="3" numFmtId="0" xfId="0" applyAlignment="1" applyFill="1" applyFont="1">
      <alignment vertical="center"/>
    </xf>
    <xf borderId="0" fillId="4" fontId="4" numFmtId="0" xfId="0" applyAlignment="1" applyFill="1" applyFont="1">
      <alignment vertical="center"/>
    </xf>
    <xf borderId="0" fillId="0" fontId="5" numFmtId="0" xfId="0" applyFont="1"/>
    <xf borderId="0" fillId="5" fontId="6" numFmtId="0" xfId="0" applyAlignment="1" applyFill="1" applyFont="1">
      <alignment shrinkToFit="0" vertical="center" wrapText="1"/>
    </xf>
    <xf borderId="0" fillId="4" fontId="7" numFmtId="0" xfId="0" applyAlignment="1" applyFill="1" applyFont="1">
      <alignment shrinkToFit="0" wrapText="1"/>
    </xf>
    <xf borderId="0" fillId="4" fontId="8" numFmtId="0" xfId="0" applyAlignment="1" applyFill="1" applyFont="1">
      <alignment vertical="center"/>
    </xf>
    <xf borderId="0" fillId="0" fontId="9" numFmtId="0" xfId="0" applyFont="1"/>
    <xf borderId="0" fillId="4" fontId="10" numFmtId="0" xfId="0" applyAlignment="1" applyFill="1" applyFont="1">
      <alignment vertical="top"/>
    </xf>
    <xf borderId="0" fillId="4" fontId="11" numFmtId="0" xfId="0" applyAlignment="1" applyFill="1" applyFont="1">
      <alignment vertical="center"/>
    </xf>
    <xf borderId="0" fillId="6" fontId="12" numFmtId="0" xfId="0" applyAlignment="1" applyFill="1" applyFont="1">
      <alignment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4" fontId="14" numFmtId="0" xfId="0" applyAlignment="1" applyFill="1" applyFont="1">
      <alignment shrinkToFit="0" vertical="top" wrapText="1"/>
    </xf>
    <xf borderId="0" fillId="4" fontId="10" numFmtId="0" xfId="0" applyAlignment="1" applyFill="1" applyFont="1">
      <alignment shrinkToFit="0" vertical="top" wrapText="1"/>
    </xf>
    <xf borderId="0" fillId="4" fontId="15" numFmtId="0" xfId="0" applyAlignment="1" applyFill="1" applyFont="1">
      <alignment shrinkToFit="0" vertical="center" wrapText="0"/>
    </xf>
    <xf borderId="0" fillId="4" fontId="16" numFmtId="3" xfId="0" applyAlignment="1" applyFill="1" applyFont="1" applyNumberFormat="1">
      <alignment shrinkToFit="0" vertical="center" wrapText="0"/>
    </xf>
    <xf borderId="0" fillId="4" fontId="4" numFmtId="0" xfId="0" applyAlignment="1" applyFill="1" applyFont="1">
      <alignment shrinkToFit="0" vertical="center" wrapText="1"/>
    </xf>
    <xf borderId="0" fillId="4" fontId="17" numFmtId="0" xfId="0" applyAlignment="1" applyFill="1" applyFont="1">
      <alignment horizontal="left" vertical="center"/>
    </xf>
    <xf borderId="0" fillId="4" fontId="18" numFmtId="0" xfId="0" applyFill="1" applyFont="1"/>
    <xf borderId="0" fillId="6" fontId="10" numFmtId="0" xfId="0" applyAlignment="1" applyFill="1" applyFont="1">
      <alignment shrinkToFit="0" vertical="top" wrapText="1"/>
    </xf>
    <xf borderId="0" fillId="4" fontId="16" numFmtId="164" xfId="0" applyAlignment="1" applyFill="1" applyFont="1" applyNumberFormat="1">
      <alignment shrinkToFit="0" vertical="center" wrapText="0"/>
    </xf>
    <xf borderId="0" fillId="4" fontId="19" numFmtId="165" xfId="0" applyAlignment="1" applyFill="1" applyFont="1" applyNumberFormat="1">
      <alignment horizontal="left" vertical="center"/>
    </xf>
    <xf borderId="0" fillId="4" fontId="20" numFmtId="0" xfId="0" applyFill="1" applyFont="1"/>
    <xf borderId="0" fillId="4" fontId="10" numFmtId="3" xfId="0" applyAlignment="1" applyFill="1" applyFont="1" applyNumberFormat="1">
      <alignment vertical="top"/>
    </xf>
    <xf borderId="0" fillId="4" fontId="19" numFmtId="166" xfId="0" applyAlignment="1" applyFill="1" applyFont="1" applyNumberFormat="1">
      <alignment horizontal="left" vertical="center"/>
    </xf>
    <xf borderId="0" fillId="4" fontId="16" numFmtId="166" xfId="0" applyAlignment="1" applyFill="1" applyFont="1" applyNumberFormat="1">
      <alignment shrinkToFit="0" vertical="center" wrapText="0"/>
    </xf>
    <xf borderId="0" fillId="4" fontId="19" numFmtId="167" xfId="0" applyAlignment="1" applyFill="1" applyFont="1" applyNumberFormat="1">
      <alignment horizontal="left" vertical="center"/>
    </xf>
    <xf borderId="0" fillId="4" fontId="21" numFmtId="0" xfId="0" applyAlignment="1" applyFill="1" applyFont="1">
      <alignment horizontal="left" vertical="center"/>
    </xf>
    <xf borderId="0" fillId="4" fontId="22" numFmtId="0" xfId="0" applyFill="1" applyFont="1"/>
    <xf borderId="0" fillId="4" fontId="23" numFmtId="0" xfId="0" applyFill="1" applyFont="1"/>
    <xf borderId="0" fillId="3" fontId="24" numFmtId="0" xfId="0" applyAlignment="1" applyFill="1" applyFont="1">
      <alignment horizontal="center" vertical="center"/>
    </xf>
    <xf borderId="0" fillId="4" fontId="16" numFmtId="2" xfId="0" applyAlignment="1" applyFill="1" applyFont="1" applyNumberFormat="1">
      <alignment shrinkToFit="0" vertical="center" wrapText="0"/>
    </xf>
    <xf borderId="0" fillId="4" fontId="15" numFmtId="168" xfId="0" applyAlignment="1" applyFill="1" applyFont="1" applyNumberFormat="1">
      <alignment shrinkToFit="0" vertical="center" wrapText="0"/>
    </xf>
    <xf borderId="0" fillId="3" fontId="24" numFmtId="0" xfId="0" applyAlignment="1" applyFill="1" applyFont="1">
      <alignment horizontal="left" vertical="center"/>
    </xf>
    <xf borderId="0" fillId="4" fontId="15" numFmtId="169" xfId="0" applyAlignment="1" applyFill="1" applyFont="1" applyNumberFormat="1">
      <alignment shrinkToFit="0" vertical="center" wrapText="0"/>
    </xf>
    <xf borderId="0" fillId="4" fontId="16" numFmtId="0" xfId="0" applyAlignment="1" applyFill="1" applyFont="1">
      <alignment shrinkToFit="0" vertical="center" wrapText="1"/>
    </xf>
    <xf borderId="0" fillId="6" fontId="21" numFmtId="0" xfId="0" applyAlignment="1" applyFill="1" applyFont="1">
      <alignment shrinkToFit="0" vertical="center" wrapText="1"/>
    </xf>
    <xf borderId="0" fillId="4" fontId="25" numFmtId="0" xfId="0" applyAlignment="1" applyFill="1" applyFont="1">
      <alignment vertical="center"/>
    </xf>
    <xf borderId="0" fillId="2" fontId="26" numFmtId="0" xfId="0" applyFill="1" applyFont="1"/>
    <xf borderId="0" fillId="0" fontId="27" numFmtId="0" xfId="0" applyFont="1"/>
    <xf borderId="0" fillId="0" fontId="27" numFmtId="3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C8012E"/>
          <bgColor rgb="FFC8012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8012E"/>
        </left>
        <right style="thin">
          <color rgb="FFC8012E"/>
        </right>
        <top style="thin">
          <color rgb="FFC8012E"/>
        </top>
        <bottom style="thin">
          <color rgb="FFC8012E"/>
        </bottom>
      </border>
    </dxf>
    <dxf>
      <font>
        <b/>
        <color rgb="FF9E1B32"/>
      </font>
      <fill>
        <patternFill patternType="solid">
          <fgColor rgb="FFFCE8EC"/>
          <bgColor rgb="FFFCE8EC"/>
        </patternFill>
      </fill>
      <border/>
    </dxf>
    <dxf>
      <font>
        <color rgb="FF1F2933"/>
      </font>
      <fill>
        <patternFill patternType="solid">
          <fgColor rgb="FFFFFFFF"/>
          <bgColor rgb="FFFFFFFF"/>
        </patternFill>
      </fill>
      <border/>
    </dxf>
  </dxfs>
  <tableStyles count="1">
    <tableStyle count="4" pivot="0" name="City Comparis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H1 2025</c:v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helper_report!$G$2:$G$18</c:f>
              <c:numCache/>
            </c:numRef>
          </c:val>
        </c:ser>
        <c:ser>
          <c:idx val="1"/>
          <c:order val="1"/>
          <c:tx>
            <c:v>H1 2026</c:v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helper_report!$H$2:$H$18</c:f>
              <c:numCache/>
            </c:numRef>
          </c:val>
        </c:ser>
        <c:axId val="2028370518"/>
        <c:axId val="346165811"/>
      </c:barChart>
      <c:catAx>
        <c:axId val="20283705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346165811"/>
      </c:catAx>
      <c:valAx>
        <c:axId val="346165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2028370518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13611225" cy="4095750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K24" displayName="City_Comparison" name="City_Comparison" id="1">
  <tableColumns count="11">
    <tableColumn name="City" id="1"/>
    <tableColumn name="Secondary Price_x000a_PLN/m²" id="2"/>
    <tableColumn name="Primary Price_x000a_PLN/m²" id="3"/>
    <tableColumn name="Primary Premium_x000a_%" id="4"/>
    <tableColumn name="Affordability_x000a_m² / salary" id="5"/>
    <tableColumn name="Price Growth_x000a_latest 4 YoY avg %" id="6"/>
    <tableColumn name="Supply 2025_x000a_completed / 1k" id="7"/>
    <tableColumn name="H1 2025_x000a_completed" id="8"/>
    <tableColumn name="H1 2026_x000a_completed" id="9"/>
    <tableColumn name="H1 Supply Change_x000a_%" id="10"/>
    <tableColumn name="H1 Change_x000a_units" id="11"/>
  </tableColumns>
  <tableStyleInfo name="City Comparis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21.25"/>
    <col customWidth="1" min="3" max="3" width="3.0"/>
    <col customWidth="1" min="4" max="5" width="21.25"/>
    <col customWidth="1" min="6" max="6" width="3.0"/>
    <col customWidth="1" min="7" max="8" width="21.25"/>
    <col customWidth="1" min="9" max="9" width="3.0"/>
    <col customWidth="1" min="10" max="11" width="21.25"/>
  </cols>
  <sheetData>
    <row r="1" ht="30.0" customHeight="1">
      <c r="A1" s="2" t="s">
        <v>103</v>
      </c>
    </row>
    <row r="2" ht="9.0" customHeight="1"/>
    <row r="3" ht="22.5" customHeight="1">
      <c r="A3" s="18" t="str">
        <f>"Polish Housing Market — 17 major cities | Prices: "&amp;src_city_snapshot!$AS$2&amp;" • Affordability &amp; full-year supply: "&amp;src_city_snapshot!$AT$2&amp;" • Current supply update: H1 "&amp;src_city_snapshot!$AW$2&amp;" vs H1 "&amp;(src_city_snapshot!$AW$2-1)</f>
        <v>Polish Housing Market — 17 major cities | Prices: 2026Q2 • Affordability &amp; full-year supply: 2025 • Current supply update: H1 2026 vs H1 2025</v>
      </c>
    </row>
    <row r="4" ht="25.5" customHeight="1">
      <c r="A4" s="19" t="s">
        <v>108</v>
      </c>
      <c r="C4" s="20"/>
      <c r="D4" s="19" t="s">
        <v>109</v>
      </c>
      <c r="F4" s="20"/>
      <c r="G4" s="19" t="s">
        <v>111</v>
      </c>
      <c r="I4" s="20"/>
      <c r="J4" s="19" t="s">
        <v>114</v>
      </c>
    </row>
    <row r="5" ht="16.5" customHeight="1">
      <c r="A5" s="23">
        <f>MEDIAN('City Comparison'!B8:B24)</f>
        <v>9403.131809</v>
      </c>
      <c r="C5" s="24"/>
      <c r="D5" s="23">
        <f>MEDIAN('City Comparison'!C8:C24)</f>
        <v>11427.47021</v>
      </c>
      <c r="F5" s="24"/>
      <c r="G5" s="26">
        <f>MEDIAN('City Comparison'!E8:E24)</f>
        <v>0.9589779098</v>
      </c>
      <c r="I5" s="24"/>
      <c r="J5" s="28">
        <f>MEDIAN('City Comparison'!G8:G24)</f>
        <v>8.39918815</v>
      </c>
    </row>
    <row r="6" ht="16.5" customHeight="1">
      <c r="C6" s="24"/>
      <c r="F6" s="24"/>
      <c r="I6" s="24"/>
    </row>
    <row r="7" ht="16.5" customHeight="1">
      <c r="C7" s="24"/>
      <c r="F7" s="24"/>
      <c r="I7" s="24"/>
    </row>
    <row r="8" ht="18.0" customHeight="1">
      <c r="A8" s="29" t="str">
        <f>"Reference: "&amp;src_city_snapshot!$AS$2</f>
        <v>Reference: 2026Q2</v>
      </c>
      <c r="C8" s="30"/>
      <c r="D8" s="29" t="str">
        <f>"Reference: "&amp;src_city_snapshot!$AS$2</f>
        <v>Reference: 2026Q2</v>
      </c>
      <c r="F8" s="30"/>
      <c r="G8" s="29" t="str">
        <f>"Reference: "&amp;src_city_snapshot!$AT$2</f>
        <v>Reference: 2025</v>
      </c>
      <c r="I8" s="30"/>
      <c r="J8" s="29" t="str">
        <f>"Reference: "&amp;src_city_snapshot!$AV$2</f>
        <v>Reference: 2025</v>
      </c>
    </row>
    <row r="9" ht="9.0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</row>
    <row r="10" ht="25.5" customHeight="1">
      <c r="A10" s="32" t="str">
        <f>"Housing completions — H1 "&amp;src_city_snapshot!$AW$2&amp;" vs H1 "&amp;(src_city_snapshot!$AW$2-1)</f>
        <v>Housing completions — H1 2026 vs H1 2025</v>
      </c>
    </row>
    <row r="11" ht="18.0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 ht="18.0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 ht="18.0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</row>
    <row r="14" ht="18.0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</row>
    <row r="15" ht="18.0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ht="18.0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ht="18.0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ht="18.0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ht="18.0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 ht="18.0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 ht="18.0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18.0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 ht="18.0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ht="18.0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</row>
    <row r="25" ht="18.0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 ht="18.0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</row>
    <row r="27" ht="18.0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</row>
    <row r="28" ht="18.0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ht="25.5" customHeight="1">
      <c r="A29" s="35" t="str">
        <f>"Key takeaways — H1 "&amp;src_city_snapshot!$AW$2&amp;" supply update"</f>
        <v>Key takeaways — H1 2026 supply update</v>
      </c>
    </row>
    <row r="30" ht="22.5" customHeight="1">
      <c r="A30" s="37" t="str">
        <f>"Median change across 17 cities: "&amp;TEXT(MEDIAN('City Comparison'!$J$8:$J$24),"0.0%")&amp;"."</f>
        <v>Median change across 17 cities: -8,6%.</v>
      </c>
    </row>
    <row r="31" ht="22.5" customHeight="1">
      <c r="A31" s="37" t="str">
        <f t="array" ref="A31">"Largest increase in units: "&amp;INDEX('City Comparison'!$A$8:$A$24,MATCH(MAX('City Comparison'!$K$8:$K$24),'City Comparison'!$K$8:$K$24,0))&amp;": "&amp;TEXT(MAX('City Comparison'!$K$8:$K$24),"+#,##0;-#,##0;0")&amp;" dwellings ("&amp;TEXT(INDEX('City Comparison'!$J$8:$J$24,MATCH(MAX('City Comparison'!$K$8:$K$24),'City Comparison'!$K$8:$K$24,0)),"0.0%")&amp;")."</f>
        <v>Largest increase in units: Kraków: +1 770 dwellings (64,8%).</v>
      </c>
    </row>
    <row r="32" ht="22.5" customHeight="1">
      <c r="A32" s="37" t="str">
        <f t="array" ref="A32">"Largest decline in units: "&amp;INDEX('City Comparison'!$A$8:$A$24,MATCH(MIN('City Comparison'!$K$8:$K$24),'City Comparison'!$K$8:$K$24,0))&amp;": "&amp;TEXT(MIN('City Comparison'!$K$8:$K$24),"+#,##0;-#,##0;0")&amp;" dwellings ("&amp;TEXT(INDEX('City Comparison'!$J$8:$J$24,MATCH(MIN('City Comparison'!$K$8:$K$24),'City Comparison'!$K$8:$K$24,0)),"0.0%")&amp;")."</f>
        <v>Largest decline in units: Warszawa: -1 433 dwellings (-17,3%).</v>
      </c>
    </row>
    <row r="33" ht="22.5" customHeight="1">
      <c r="A33" s="37" t="str">
        <f t="array" ref="A33">"Largest percentage increase: "&amp;INDEX('City Comparison'!$A$8:$A$24,MATCH(MAX('City Comparison'!$J$8:$J$24),'City Comparison'!$J$8:$J$24,0))&amp;": "&amp;TEXT(MAX('City Comparison'!$J$8:$J$24),"0.0%")&amp;" ("&amp;TEXT(INDEX('City Comparison'!$H$8:$H$24,MATCH(MAX('City Comparison'!$J$8:$J$24),'City Comparison'!$J$8:$J$24,0)),"#,##0")&amp;" → "&amp;TEXT(INDEX('City Comparison'!$I$8:$I$24,MATCH(MAX('City Comparison'!$J$8:$J$24),'City Comparison'!$J$8:$J$24,0)),"#,##0")&amp;")."</f>
        <v>Largest percentage increase: Olsztyn: 299,0% (195 → 778).</v>
      </c>
    </row>
    <row r="34" ht="7.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 ht="16.5" customHeight="1">
      <c r="A35" s="38" t="str">
        <f>"Interpretation note: H1 "&amp;src_city_snapshot!$AW$2&amp;" is a partial-year period and is compared only with H1 "&amp;(src_city_snapshot!$AW$2-1)&amp;". KPI cards intentionally use different reference periods; see Methodology."</f>
        <v>Interpretation note: H1 2026 is a partial-year period and is compared only with H1 2025. KPI cards intentionally use different reference periods; see Methodology.</v>
      </c>
    </row>
    <row r="36" ht="16.5" customHeight="1"/>
    <row r="37" ht="18.0" customHeight="1">
      <c r="A37" s="39" t="s">
        <v>185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4:H4"/>
    <mergeCell ref="G5:H7"/>
    <mergeCell ref="A5:B7"/>
    <mergeCell ref="A8:B8"/>
    <mergeCell ref="A1:K2"/>
    <mergeCell ref="A3:K3"/>
    <mergeCell ref="A4:B4"/>
    <mergeCell ref="D4:E4"/>
    <mergeCell ref="J4:K4"/>
    <mergeCell ref="D5:E7"/>
    <mergeCell ref="J5:K7"/>
    <mergeCell ref="A32:K32"/>
    <mergeCell ref="A33:K33"/>
    <mergeCell ref="A35:K36"/>
    <mergeCell ref="A37:K37"/>
    <mergeCell ref="D8:E8"/>
    <mergeCell ref="G8:H8"/>
    <mergeCell ref="J8:K8"/>
    <mergeCell ref="A10:K10"/>
    <mergeCell ref="A29:K29"/>
    <mergeCell ref="A30:K30"/>
    <mergeCell ref="A31:K3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8.13"/>
    <col customWidth="1" min="3" max="3" width="20.5"/>
    <col customWidth="1" min="4" max="4" width="16.5"/>
    <col customWidth="1" min="5" max="5" width="23.25"/>
    <col customWidth="1" min="6" max="6" width="22.63"/>
    <col customWidth="1" min="7" max="7" width="21.38"/>
    <col customWidth="1" min="8" max="9" width="17.88"/>
    <col customWidth="1" min="10" max="10" width="17.63"/>
    <col customWidth="1" min="11" max="11" width="15.5"/>
  </cols>
  <sheetData>
    <row r="1" ht="28.5" customHeight="1">
      <c r="A1" s="2" t="s">
        <v>13</v>
      </c>
    </row>
    <row r="2" ht="7.5" customHeight="1"/>
    <row r="3" ht="21.0" customHeight="1">
      <c r="A3" s="4" t="s">
        <v>50</v>
      </c>
    </row>
    <row r="4" ht="25.5" customHeight="1">
      <c r="A4" s="6" t="s">
        <v>57</v>
      </c>
    </row>
    <row r="5" ht="24.75" customHeight="1"/>
    <row r="6" ht="24.0" customHeight="1">
      <c r="A6" s="7"/>
    </row>
    <row r="7" ht="57.0" customHeight="1">
      <c r="A7" s="13" t="s">
        <v>58</v>
      </c>
      <c r="B7" s="13" t="s">
        <v>65</v>
      </c>
      <c r="C7" s="13" t="s">
        <v>68</v>
      </c>
      <c r="D7" s="13" t="s">
        <v>70</v>
      </c>
      <c r="E7" s="13" t="s">
        <v>71</v>
      </c>
      <c r="F7" s="13" t="s">
        <v>72</v>
      </c>
      <c r="G7" s="13" t="s">
        <v>73</v>
      </c>
      <c r="H7" s="13" t="s">
        <v>74</v>
      </c>
      <c r="I7" s="13" t="s">
        <v>75</v>
      </c>
      <c r="J7" s="13" t="s">
        <v>76</v>
      </c>
      <c r="K7" s="13" t="s">
        <v>79</v>
      </c>
    </row>
    <row r="8" ht="21.0" customHeight="1">
      <c r="A8" s="16" t="str">
        <f t="array" ref="A8">INDEX(src_dim_city!$B$2:$B$18,MATCH(helper_report!$A16,src_dim_city!$A$2:$A$18,0))</f>
        <v>Warszawa</v>
      </c>
      <c r="B8" s="17">
        <f t="array" ref="B8">INDEX(src_city_snapshot!$D$2:$D$18,MATCH(helper_report!$A16,src_city_snapshot!$A$2:$A$18,0))</f>
        <v>16722.65682</v>
      </c>
      <c r="C8" s="17">
        <f t="array" ref="C8">INDEX(src_city_snapshot!$C$2:$C$18,MATCH(helper_report!$A16,src_city_snapshot!$A$2:$A$18,0))</f>
        <v>16783.49148</v>
      </c>
      <c r="D8" s="22">
        <f t="array" ref="D8">INDEX(src_city_snapshot!$K$2:$K$18,MATCH(helper_report!$A16,src_city_snapshot!$A$2:$A$18,0))</f>
        <v>0.3637858676</v>
      </c>
      <c r="E8" s="27">
        <f t="array" ref="E8">INDEX(src_city_snapshot!$U$2:$U$18,MATCH(helper_report!$A16,src_city_snapshot!$A$2:$A$18,0))</f>
        <v>0.7041685476</v>
      </c>
      <c r="F8" s="22">
        <f t="array" ref="F8">INDEX(src_city_snapshot!$I$2:$I$18,MATCH(helper_report!$A16,src_city_snapshot!$A$2:$A$18,0))</f>
        <v>-0.8273864572</v>
      </c>
      <c r="G8" s="33">
        <f t="array" ref="G8">INDEX(src_city_snapshot!$AK$2:$AK$18,MATCH(helper_report!$A16,src_city_snapshot!$A$2:$A$18,0))</f>
        <v>10.64572285</v>
      </c>
      <c r="H8" s="17">
        <f>SUMIFS(src_fact_city_year!$AI$2:$AI$375,src_fact_city_year!$A$2:$A$375,helper_report!$A16,src_fact_city_year!$B$2:$B$375,src_city_snapshot!$AW$2-1)</f>
        <v>8300</v>
      </c>
      <c r="I8" s="17">
        <f>SUMIFS(src_fact_city_year!$AI$2:$AI$375,src_fact_city_year!$A$2:$A$375,helper_report!$A16,src_fact_city_year!$B$2:$B$375,src_city_snapshot!$AW$2)</f>
        <v>6867</v>
      </c>
      <c r="J8" s="34">
        <f t="shared" ref="J8:J24" si="1">IFERROR(I8/H8-1,"")</f>
        <v>-0.1726506024</v>
      </c>
      <c r="K8" s="36">
        <f t="shared" ref="K8:K24" si="2">IF(OR(H8="",I8=""),"",I8-H8)</f>
        <v>-1433</v>
      </c>
    </row>
    <row r="9" ht="21.0" customHeight="1">
      <c r="A9" s="16" t="str">
        <f t="array" ref="A9">INDEX(src_dim_city!$B$2:$B$18,MATCH(helper_report!$A8,src_dim_city!$A$2:$A$18,0))</f>
        <v>Kraków</v>
      </c>
      <c r="B9" s="17">
        <f t="array" ref="B9">INDEX(src_city_snapshot!$D$2:$D$18,MATCH(helper_report!$A8,src_city_snapshot!$A$2:$A$18,0))</f>
        <v>14791.95064</v>
      </c>
      <c r="C9" s="17">
        <f t="array" ref="C9">INDEX(src_city_snapshot!$C$2:$C$18,MATCH(helper_report!$A8,src_city_snapshot!$A$2:$A$18,0))</f>
        <v>15922.87704</v>
      </c>
      <c r="D9" s="22">
        <f t="array" ref="D9">INDEX(src_city_snapshot!$K$2:$K$18,MATCH(helper_report!$A8,src_city_snapshot!$A$2:$A$18,0))</f>
        <v>7.645552788</v>
      </c>
      <c r="E9" s="27">
        <f t="array" ref="E9">INDEX(src_city_snapshot!$U$2:$U$18,MATCH(helper_report!$A8,src_city_snapshot!$A$2:$A$18,0))</f>
        <v>0.761331161</v>
      </c>
      <c r="F9" s="22">
        <f t="array" ref="F9">INDEX(src_city_snapshot!$I$2:$I$18,MATCH(helper_report!$A8,src_city_snapshot!$A$2:$A$18,0))</f>
        <v>-1.084829042</v>
      </c>
      <c r="G9" s="33">
        <f t="array" ref="G9">INDEX(src_city_snapshot!$AK$2:$AK$18,MATCH(helper_report!$A8,src_city_snapshot!$A$2:$A$18,0))</f>
        <v>9.802736279</v>
      </c>
      <c r="H9" s="17">
        <f>SUMIFS(src_fact_city_year!$AI$2:$AI$375,src_fact_city_year!$A$2:$A$375,helper_report!$A8,src_fact_city_year!$B$2:$B$375,src_city_snapshot!$AW$2-1)</f>
        <v>2731</v>
      </c>
      <c r="I9" s="17">
        <f>SUMIFS(src_fact_city_year!$AI$2:$AI$375,src_fact_city_year!$A$2:$A$375,helper_report!$A8,src_fact_city_year!$B$2:$B$375,src_city_snapshot!$AW$2)</f>
        <v>4501</v>
      </c>
      <c r="J9" s="34">
        <f t="shared" si="1"/>
        <v>0.6481142439</v>
      </c>
      <c r="K9" s="36">
        <f t="shared" si="2"/>
        <v>1770</v>
      </c>
    </row>
    <row r="10" ht="21.0" customHeight="1">
      <c r="A10" s="16" t="str">
        <f t="array" ref="A10">INDEX(src_dim_city!$B$2:$B$18,MATCH(helper_report!$A4,src_dim_city!$A$2:$A$18,0))</f>
        <v>Gdańsk</v>
      </c>
      <c r="B10" s="17">
        <f t="array" ref="B10">INDEX(src_city_snapshot!$D$2:$D$18,MATCH(helper_report!$A4,src_city_snapshot!$A$2:$A$18,0))</f>
        <v>14034.64198</v>
      </c>
      <c r="C10" s="17">
        <f t="array" ref="C10">INDEX(src_city_snapshot!$C$2:$C$18,MATCH(helper_report!$A4,src_city_snapshot!$A$2:$A$18,0))</f>
        <v>14490.61458</v>
      </c>
      <c r="D10" s="22">
        <f t="array" ref="D10">INDEX(src_city_snapshot!$K$2:$K$18,MATCH(helper_report!$A4,src_city_snapshot!$A$2:$A$18,0))</f>
        <v>3.248907957</v>
      </c>
      <c r="E10" s="27">
        <f t="array" ref="E10">INDEX(src_city_snapshot!$U$2:$U$18,MATCH(helper_report!$A4,src_city_snapshot!$A$2:$A$18,0))</f>
        <v>0.821034193</v>
      </c>
      <c r="F10" s="22">
        <f t="array" ref="F10">INDEX(src_city_snapshot!$I$2:$I$18,MATCH(helper_report!$A4,src_city_snapshot!$A$2:$A$18,0))</f>
        <v>4.47163988</v>
      </c>
      <c r="G10" s="33">
        <f t="array" ref="G10">INDEX(src_city_snapshot!$AK$2:$AK$18,MATCH(helper_report!$A4,src_city_snapshot!$A$2:$A$18,0))</f>
        <v>11.75484504</v>
      </c>
      <c r="H10" s="17">
        <f>SUMIFS(src_fact_city_year!$AI$2:$AI$375,src_fact_city_year!$A$2:$A$375,helper_report!$A4,src_fact_city_year!$B$2:$B$375,src_city_snapshot!$AW$2-1)</f>
        <v>2194</v>
      </c>
      <c r="I10" s="17">
        <f>SUMIFS(src_fact_city_year!$AI$2:$AI$375,src_fact_city_year!$A$2:$A$375,helper_report!$A4,src_fact_city_year!$B$2:$B$375,src_city_snapshot!$AW$2)</f>
        <v>1618</v>
      </c>
      <c r="J10" s="34">
        <f t="shared" si="1"/>
        <v>-0.2625341841</v>
      </c>
      <c r="K10" s="36">
        <f t="shared" si="2"/>
        <v>-576</v>
      </c>
    </row>
    <row r="11" ht="21.0" customHeight="1">
      <c r="A11" s="16" t="str">
        <f t="array" ref="A11">INDEX(src_dim_city!$B$2:$B$18,MATCH(helper_report!$A17,src_dim_city!$A$2:$A$18,0))</f>
        <v>Wrocław</v>
      </c>
      <c r="B11" s="17">
        <f t="array" ref="B11">INDEX(src_city_snapshot!$D$2:$D$18,MATCH(helper_report!$A17,src_city_snapshot!$A$2:$A$18,0))</f>
        <v>12589.78263</v>
      </c>
      <c r="C11" s="17">
        <f t="array" ref="C11">INDEX(src_city_snapshot!$C$2:$C$18,MATCH(helper_report!$A17,src_city_snapshot!$A$2:$A$18,0))</f>
        <v>14312.25383</v>
      </c>
      <c r="D11" s="22">
        <f t="array" ref="D11">INDEX(src_city_snapshot!$K$2:$K$18,MATCH(helper_report!$A17,src_city_snapshot!$A$2:$A$18,0))</f>
        <v>13.68150074</v>
      </c>
      <c r="E11" s="27">
        <f t="array" ref="E11">INDEX(src_city_snapshot!$U$2:$U$18,MATCH(helper_report!$A17,src_city_snapshot!$A$2:$A$18,0))</f>
        <v>0.8060129294</v>
      </c>
      <c r="F11" s="22">
        <f t="array" ref="F11">INDEX(src_city_snapshot!$I$2:$I$18,MATCH(helper_report!$A17,src_city_snapshot!$A$2:$A$18,0))</f>
        <v>-1.361128523</v>
      </c>
      <c r="G11" s="33">
        <f t="array" ref="G11">INDEX(src_city_snapshot!$AK$2:$AK$18,MATCH(helper_report!$A17,src_city_snapshot!$A$2:$A$18,0))</f>
        <v>11.44904802</v>
      </c>
      <c r="H11" s="17">
        <f>SUMIFS(src_fact_city_year!$AI$2:$AI$375,src_fact_city_year!$A$2:$A$375,helper_report!$A17,src_fact_city_year!$B$2:$B$375,src_city_snapshot!$AW$2-1)</f>
        <v>3481</v>
      </c>
      <c r="I11" s="17">
        <f>SUMIFS(src_fact_city_year!$AI$2:$AI$375,src_fact_city_year!$A$2:$A$375,helper_report!$A17,src_fact_city_year!$B$2:$B$375,src_city_snapshot!$AW$2)</f>
        <v>3182</v>
      </c>
      <c r="J11" s="34">
        <f t="shared" si="1"/>
        <v>-0.0858948578</v>
      </c>
      <c r="K11" s="36">
        <f t="shared" si="2"/>
        <v>-299</v>
      </c>
    </row>
    <row r="12" ht="21.0" customHeight="1">
      <c r="A12" s="16" t="str">
        <f t="array" ref="A12">INDEX(src_dim_city!$B$2:$B$18,MATCH(helper_report!$A5,src_dim_city!$A$2:$A$18,0))</f>
        <v>Gdynia</v>
      </c>
      <c r="B12" s="17">
        <f t="array" ref="B12">INDEX(src_city_snapshot!$D$2:$D$18,MATCH(helper_report!$A5,src_city_snapshot!$A$2:$A$18,0))</f>
        <v>12266.79526</v>
      </c>
      <c r="C12" s="17">
        <f t="array" ref="C12">INDEX(src_city_snapshot!$C$2:$C$18,MATCH(helper_report!$A5,src_city_snapshot!$A$2:$A$18,0))</f>
        <v>12886.98208</v>
      </c>
      <c r="D12" s="22">
        <f t="array" ref="D12">INDEX(src_city_snapshot!$K$2:$K$18,MATCH(helper_report!$A5,src_city_snapshot!$A$2:$A$18,0))</f>
        <v>5.055817832</v>
      </c>
      <c r="E12" s="27">
        <f t="array" ref="E12">INDEX(src_city_snapshot!$U$2:$U$18,MATCH(helper_report!$A5,src_city_snapshot!$A$2:$A$18,0))</f>
        <v>0.8312051551</v>
      </c>
      <c r="F12" s="22">
        <f t="array" ref="F12">INDEX(src_city_snapshot!$I$2:$I$18,MATCH(helper_report!$A5,src_city_snapshot!$A$2:$A$18,0))</f>
        <v>1.493695247</v>
      </c>
      <c r="G12" s="33">
        <f t="array" ref="G12">INDEX(src_city_snapshot!$AK$2:$AK$18,MATCH(helper_report!$A5,src_city_snapshot!$A$2:$A$18,0))</f>
        <v>3.610153557</v>
      </c>
      <c r="H12" s="17">
        <f>SUMIFS(src_fact_city_year!$AI$2:$AI$375,src_fact_city_year!$A$2:$A$375,helper_report!$A5,src_fact_city_year!$B$2:$B$375,src_city_snapshot!$AW$2-1)</f>
        <v>296</v>
      </c>
      <c r="I12" s="17">
        <f>SUMIFS(src_fact_city_year!$AI$2:$AI$375,src_fact_city_year!$A$2:$A$375,helper_report!$A5,src_fact_city_year!$B$2:$B$375,src_city_snapshot!$AW$2)</f>
        <v>247</v>
      </c>
      <c r="J12" s="34">
        <f t="shared" si="1"/>
        <v>-0.1655405405</v>
      </c>
      <c r="K12" s="36">
        <f t="shared" si="2"/>
        <v>-49</v>
      </c>
    </row>
    <row r="13" ht="21.0" customHeight="1">
      <c r="A13" s="16" t="str">
        <f t="array" ref="A13">INDEX(src_dim_city!$B$2:$B$18,MATCH(helper_report!$A14,src_dim_city!$A$2:$A$18,0))</f>
        <v>Rzeszów</v>
      </c>
      <c r="B13" s="17">
        <f t="array" ref="B13">INDEX(src_city_snapshot!$D$2:$D$18,MATCH(helper_report!$A14,src_city_snapshot!$A$2:$A$18,0))</f>
        <v>10973.99387</v>
      </c>
      <c r="C13" s="17">
        <f t="array" ref="C13">INDEX(src_city_snapshot!$C$2:$C$18,MATCH(helper_report!$A14,src_city_snapshot!$A$2:$A$18,0))</f>
        <v>10329.02123</v>
      </c>
      <c r="D13" s="22">
        <f t="array" ref="D13">INDEX(src_city_snapshot!$K$2:$K$18,MATCH(helper_report!$A14,src_city_snapshot!$A$2:$A$18,0))</f>
        <v>-5.877282616</v>
      </c>
      <c r="E13" s="27">
        <f t="array" ref="E13">INDEX(src_city_snapshot!$U$2:$U$18,MATCH(helper_report!$A14,src_city_snapshot!$A$2:$A$18,0))</f>
        <v>0.8943601653</v>
      </c>
      <c r="F13" s="22">
        <f t="array" ref="F13">INDEX(src_city_snapshot!$I$2:$I$18,MATCH(helper_report!$A14,src_city_snapshot!$A$2:$A$18,0))</f>
        <v>1.972363481</v>
      </c>
      <c r="G13" s="33">
        <f t="array" ref="G13">INDEX(src_city_snapshot!$AK$2:$AK$18,MATCH(helper_report!$A14,src_city_snapshot!$A$2:$A$18,0))</f>
        <v>15.59887176</v>
      </c>
      <c r="H13" s="17">
        <f>SUMIFS(src_fact_city_year!$AI$2:$AI$375,src_fact_city_year!$A$2:$A$375,helper_report!$A14,src_fact_city_year!$B$2:$B$375,src_city_snapshot!$AW$2-1)</f>
        <v>1714</v>
      </c>
      <c r="I13" s="17">
        <f>SUMIFS(src_fact_city_year!$AI$2:$AI$375,src_fact_city_year!$A$2:$A$375,helper_report!$A14,src_fact_city_year!$B$2:$B$375,src_city_snapshot!$AW$2)</f>
        <v>1526</v>
      </c>
      <c r="J13" s="34">
        <f t="shared" si="1"/>
        <v>-0.1096849475</v>
      </c>
      <c r="K13" s="36">
        <f t="shared" si="2"/>
        <v>-188</v>
      </c>
    </row>
    <row r="14" ht="21.0" customHeight="1">
      <c r="A14" s="16" t="str">
        <f t="array" ref="A14">INDEX(src_dim_city!$B$2:$B$18,MATCH(helper_report!$A13,src_dim_city!$A$2:$A$18,0))</f>
        <v>Poznań</v>
      </c>
      <c r="B14" s="17">
        <f t="array" ref="B14">INDEX(src_city_snapshot!$D$2:$D$18,MATCH(helper_report!$A13,src_city_snapshot!$A$2:$A$18,0))</f>
        <v>10890.79157</v>
      </c>
      <c r="C14" s="17">
        <f t="array" ref="C14">INDEX(src_city_snapshot!$C$2:$C$18,MATCH(helper_report!$A13,src_city_snapshot!$A$2:$A$18,0))</f>
        <v>12765.8587</v>
      </c>
      <c r="D14" s="22">
        <f t="array" ref="D14">INDEX(src_city_snapshot!$K$2:$K$18,MATCH(helper_report!$A13,src_city_snapshot!$A$2:$A$18,0))</f>
        <v>17.21699589</v>
      </c>
      <c r="E14" s="27">
        <f t="array" ref="E14">INDEX(src_city_snapshot!$U$2:$U$18,MATCH(helper_report!$A13,src_city_snapshot!$A$2:$A$18,0))</f>
        <v>0.9417293938</v>
      </c>
      <c r="F14" s="22">
        <f t="array" ref="F14">INDEX(src_city_snapshot!$I$2:$I$18,MATCH(helper_report!$A13,src_city_snapshot!$A$2:$A$18,0))</f>
        <v>1.699974417</v>
      </c>
      <c r="G14" s="33">
        <f t="array" ref="G14">INDEX(src_city_snapshot!$AK$2:$AK$18,MATCH(helper_report!$A13,src_city_snapshot!$A$2:$A$18,0))</f>
        <v>10.48394786</v>
      </c>
      <c r="H14" s="17">
        <f>SUMIFS(src_fact_city_year!$AI$2:$AI$375,src_fact_city_year!$A$2:$A$375,helper_report!$A13,src_fact_city_year!$B$2:$B$375,src_city_snapshot!$AW$2-1)</f>
        <v>1791</v>
      </c>
      <c r="I14" s="17">
        <f>SUMIFS(src_fact_city_year!$AI$2:$AI$375,src_fact_city_year!$A$2:$A$375,helper_report!$A13,src_fact_city_year!$B$2:$B$375,src_city_snapshot!$AW$2)</f>
        <v>2319</v>
      </c>
      <c r="J14" s="34">
        <f t="shared" si="1"/>
        <v>0.2948073702</v>
      </c>
      <c r="K14" s="36">
        <f t="shared" si="2"/>
        <v>528</v>
      </c>
    </row>
    <row r="15" ht="21.0" customHeight="1">
      <c r="A15" s="16" t="str">
        <f t="array" ref="A15">INDEX(src_dim_city!$B$2:$B$18,MATCH(helper_report!$A9,src_dim_city!$A$2:$A$18,0))</f>
        <v>Lublin</v>
      </c>
      <c r="B15" s="17">
        <f t="array" ref="B15">INDEX(src_city_snapshot!$D$2:$D$18,MATCH(helper_report!$A9,src_city_snapshot!$A$2:$A$18,0))</f>
        <v>10219.03</v>
      </c>
      <c r="C15" s="17">
        <f t="array" ref="C15">INDEX(src_city_snapshot!$C$2:$C$18,MATCH(helper_report!$A9,src_city_snapshot!$A$2:$A$18,0))</f>
        <v>10889.14</v>
      </c>
      <c r="D15" s="22">
        <f t="array" ref="D15">INDEX(src_city_snapshot!$K$2:$K$18,MATCH(helper_report!$A9,src_city_snapshot!$A$2:$A$18,0))</f>
        <v>6.557471697</v>
      </c>
      <c r="E15" s="27">
        <f t="array" ref="E15">INDEX(src_city_snapshot!$U$2:$U$18,MATCH(helper_report!$A9,src_city_snapshot!$A$2:$A$18,0))</f>
        <v>0.9268010854</v>
      </c>
      <c r="F15" s="22">
        <f t="array" ref="F15">INDEX(src_city_snapshot!$I$2:$I$18,MATCH(helper_report!$A9,src_city_snapshot!$A$2:$A$18,0))</f>
        <v>1.958429351</v>
      </c>
      <c r="G15" s="33">
        <f t="array" ref="G15">INDEX(src_city_snapshot!$AK$2:$AK$18,MATCH(helper_report!$A9,src_city_snapshot!$A$2:$A$18,0))</f>
        <v>8.879480976</v>
      </c>
      <c r="H15" s="17">
        <f>SUMIFS(src_fact_city_year!$AI$2:$AI$375,src_fact_city_year!$A$2:$A$375,helper_report!$A9,src_fact_city_year!$B$2:$B$375,src_city_snapshot!$AW$2-1)</f>
        <v>934</v>
      </c>
      <c r="I15" s="17">
        <f>SUMIFS(src_fact_city_year!$AI$2:$AI$375,src_fact_city_year!$A$2:$A$375,helper_report!$A9,src_fact_city_year!$B$2:$B$375,src_city_snapshot!$AW$2)</f>
        <v>1433</v>
      </c>
      <c r="J15" s="34">
        <f t="shared" si="1"/>
        <v>0.534261242</v>
      </c>
      <c r="K15" s="36">
        <f t="shared" si="2"/>
        <v>499</v>
      </c>
    </row>
    <row r="16" ht="21.0" customHeight="1">
      <c r="A16" s="16" t="str">
        <f t="array" ref="A16">INDEX(src_dim_city!$B$2:$B$18,MATCH(helper_report!$A2,src_dim_city!$A$2:$A$18,0))</f>
        <v>Białystok</v>
      </c>
      <c r="B16" s="17">
        <f t="array" ref="B16">INDEX(src_city_snapshot!$D$2:$D$18,MATCH(helper_report!$A2,src_city_snapshot!$A$2:$A$18,0))</f>
        <v>9403.131809</v>
      </c>
      <c r="C16" s="17">
        <f t="array" ref="C16">INDEX(src_city_snapshot!$C$2:$C$18,MATCH(helper_report!$A2,src_city_snapshot!$A$2:$A$18,0))</f>
        <v>10926.21878</v>
      </c>
      <c r="D16" s="22">
        <f t="array" ref="D16">INDEX(src_city_snapshot!$K$2:$K$18,MATCH(helper_report!$A2,src_city_snapshot!$A$2:$A$18,0))</f>
        <v>16.1976563</v>
      </c>
      <c r="E16" s="27">
        <f t="array" ref="E16">INDEX(src_city_snapshot!$U$2:$U$18,MATCH(helper_report!$A2,src_city_snapshot!$A$2:$A$18,0))</f>
        <v>0.9589779098</v>
      </c>
      <c r="F16" s="22">
        <f t="array" ref="F16">INDEX(src_city_snapshot!$I$2:$I$18,MATCH(helper_report!$A2,src_city_snapshot!$A$2:$A$18,0))</f>
        <v>0.6578058468</v>
      </c>
      <c r="G16" s="33">
        <f t="array" ref="G16">INDEX(src_city_snapshot!$AK$2:$AK$18,MATCH(helper_report!$A2,src_city_snapshot!$A$2:$A$18,0))</f>
        <v>5.844279131</v>
      </c>
      <c r="H16" s="17">
        <f>SUMIFS(src_fact_city_year!$AI$2:$AI$375,src_fact_city_year!$A$2:$A$375,helper_report!$A2,src_fact_city_year!$B$2:$B$375,src_city_snapshot!$AW$2-1)</f>
        <v>1120</v>
      </c>
      <c r="I16" s="17">
        <f>SUMIFS(src_fact_city_year!$AI$2:$AI$375,src_fact_city_year!$A$2:$A$375,helper_report!$A2,src_fact_city_year!$B$2:$B$375,src_city_snapshot!$AW$2)</f>
        <v>311</v>
      </c>
      <c r="J16" s="34">
        <f t="shared" si="1"/>
        <v>-0.7223214286</v>
      </c>
      <c r="K16" s="36">
        <f t="shared" si="2"/>
        <v>-809</v>
      </c>
    </row>
    <row r="17" ht="21.0" customHeight="1">
      <c r="A17" s="16" t="str">
        <f t="array" ref="A17">INDEX(src_dim_city!$B$2:$B$18,MATCH(helper_report!$A15,src_dim_city!$A$2:$A$18,0))</f>
        <v>Szczecin</v>
      </c>
      <c r="B17" s="17">
        <f t="array" ref="B17">INDEX(src_city_snapshot!$D$2:$D$18,MATCH(helper_report!$A15,src_city_snapshot!$A$2:$A$18,0))</f>
        <v>9363.216334</v>
      </c>
      <c r="C17" s="17">
        <f t="array" ref="C17">INDEX(src_city_snapshot!$C$2:$C$18,MATCH(helper_report!$A15,src_city_snapshot!$A$2:$A$18,0))</f>
        <v>11427.47021</v>
      </c>
      <c r="D17" s="22">
        <f t="array" ref="D17">INDEX(src_city_snapshot!$K$2:$K$18,MATCH(helper_report!$A15,src_city_snapshot!$A$2:$A$18,0))</f>
        <v>22.04641866</v>
      </c>
      <c r="E17" s="27">
        <f t="array" ref="E17">INDEX(src_city_snapshot!$U$2:$U$18,MATCH(helper_report!$A15,src_city_snapshot!$A$2:$A$18,0))</f>
        <v>1.069479024</v>
      </c>
      <c r="F17" s="22">
        <f t="array" ref="F17">INDEX(src_city_snapshot!$I$2:$I$18,MATCH(helper_report!$A15,src_city_snapshot!$A$2:$A$18,0))</f>
        <v>1.428343867</v>
      </c>
      <c r="G17" s="33">
        <f t="array" ref="G17">INDEX(src_city_snapshot!$AK$2:$AK$18,MATCH(helper_report!$A15,src_city_snapshot!$A$2:$A$18,0))</f>
        <v>6.179282269</v>
      </c>
      <c r="H17" s="17">
        <f>SUMIFS(src_fact_city_year!$AI$2:$AI$375,src_fact_city_year!$A$2:$A$375,helper_report!$A15,src_fact_city_year!$B$2:$B$375,src_city_snapshot!$AW$2-1)</f>
        <v>961</v>
      </c>
      <c r="I17" s="17">
        <f>SUMIFS(src_fact_city_year!$AI$2:$AI$375,src_fact_city_year!$A$2:$A$375,helper_report!$A15,src_fact_city_year!$B$2:$B$375,src_city_snapshot!$AW$2)</f>
        <v>680</v>
      </c>
      <c r="J17" s="34">
        <f t="shared" si="1"/>
        <v>-0.2924037461</v>
      </c>
      <c r="K17" s="36">
        <f t="shared" si="2"/>
        <v>-281</v>
      </c>
    </row>
    <row r="18" ht="21.0" customHeight="1">
      <c r="A18" s="16" t="str">
        <f t="array" ref="A18">INDEX(src_dim_city!$B$2:$B$18,MATCH(helper_report!$A12,src_dim_city!$A$2:$A$18,0))</f>
        <v>Opole</v>
      </c>
      <c r="B18" s="17">
        <f t="array" ref="B18">INDEX(src_city_snapshot!$D$2:$D$18,MATCH(helper_report!$A12,src_city_snapshot!$A$2:$A$18,0))</f>
        <v>9215.276557</v>
      </c>
      <c r="C18" s="17">
        <f t="array" ref="C18">INDEX(src_city_snapshot!$C$2:$C$18,MATCH(helper_report!$A12,src_city_snapshot!$A$2:$A$18,0))</f>
        <v>11624.60133</v>
      </c>
      <c r="D18" s="22">
        <f t="array" ref="D18">INDEX(src_city_snapshot!$K$2:$K$18,MATCH(helper_report!$A12,src_city_snapshot!$A$2:$A$18,0))</f>
        <v>26.14489928</v>
      </c>
      <c r="E18" s="27">
        <f t="array" ref="E18">INDEX(src_city_snapshot!$U$2:$U$18,MATCH(helper_report!$A12,src_city_snapshot!$A$2:$A$18,0))</f>
        <v>1.065799344</v>
      </c>
      <c r="F18" s="22">
        <f t="array" ref="F18">INDEX(src_city_snapshot!$I$2:$I$18,MATCH(helper_report!$A12,src_city_snapshot!$A$2:$A$18,0))</f>
        <v>3.889997785</v>
      </c>
      <c r="G18" s="33">
        <f t="array" ref="G18">INDEX(src_city_snapshot!$AK$2:$AK$18,MATCH(helper_report!$A12,src_city_snapshot!$A$2:$A$18,0))</f>
        <v>2.917782485</v>
      </c>
      <c r="H18" s="17">
        <f>SUMIFS(src_fact_city_year!$AI$2:$AI$375,src_fact_city_year!$A$2:$A$375,helper_report!$A12,src_fact_city_year!$B$2:$B$375,src_city_snapshot!$AW$2-1)</f>
        <v>165</v>
      </c>
      <c r="I18" s="17">
        <f>SUMIFS(src_fact_city_year!$AI$2:$AI$375,src_fact_city_year!$A$2:$A$375,helper_report!$A12,src_fact_city_year!$B$2:$B$375,src_city_snapshot!$AW$2)</f>
        <v>323</v>
      </c>
      <c r="J18" s="34">
        <f t="shared" si="1"/>
        <v>0.9575757576</v>
      </c>
      <c r="K18" s="36">
        <f t="shared" si="2"/>
        <v>158</v>
      </c>
    </row>
    <row r="19" ht="21.0" customHeight="1">
      <c r="A19" s="16" t="str">
        <f t="array" ref="A19">INDEX(src_dim_city!$B$2:$B$18,MATCH(helper_report!$A11,src_dim_city!$A$2:$A$18,0))</f>
        <v>Olsztyn</v>
      </c>
      <c r="B19" s="17">
        <f t="array" ref="B19">INDEX(src_city_snapshot!$D$2:$D$18,MATCH(helper_report!$A11,src_city_snapshot!$A$2:$A$18,0))</f>
        <v>8940.509</v>
      </c>
      <c r="C19" s="17">
        <f t="array" ref="C19">INDEX(src_city_snapshot!$C$2:$C$18,MATCH(helper_report!$A11,src_city_snapshot!$A$2:$A$18,0))</f>
        <v>10680.51</v>
      </c>
      <c r="D19" s="22">
        <f t="array" ref="D19">INDEX(src_city_snapshot!$K$2:$K$18,MATCH(helper_report!$A11,src_city_snapshot!$A$2:$A$18,0))</f>
        <v>19.46199036</v>
      </c>
      <c r="E19" s="27">
        <f t="array" ref="E19">INDEX(src_city_snapshot!$U$2:$U$18,MATCH(helper_report!$A11,src_city_snapshot!$A$2:$A$18,0))</f>
        <v>1.080130708</v>
      </c>
      <c r="F19" s="22">
        <f t="array" ref="F19">INDEX(src_city_snapshot!$I$2:$I$18,MATCH(helper_report!$A11,src_city_snapshot!$A$2:$A$18,0))</f>
        <v>3.869364056</v>
      </c>
      <c r="G19" s="33">
        <f t="array" ref="G19">INDEX(src_city_snapshot!$AK$2:$AK$18,MATCH(helper_report!$A11,src_city_snapshot!$A$2:$A$18,0))</f>
        <v>3.617617799</v>
      </c>
      <c r="H19" s="17">
        <f>SUMIFS(src_fact_city_year!$AI$2:$AI$375,src_fact_city_year!$A$2:$A$375,helper_report!$A11,src_fact_city_year!$B$2:$B$375,src_city_snapshot!$AW$2-1)</f>
        <v>195</v>
      </c>
      <c r="I19" s="17">
        <f>SUMIFS(src_fact_city_year!$AI$2:$AI$375,src_fact_city_year!$A$2:$A$375,helper_report!$A11,src_fact_city_year!$B$2:$B$375,src_city_snapshot!$AW$2)</f>
        <v>778</v>
      </c>
      <c r="J19" s="34">
        <f t="shared" si="1"/>
        <v>2.98974359</v>
      </c>
      <c r="K19" s="36">
        <f t="shared" si="2"/>
        <v>583</v>
      </c>
    </row>
    <row r="20" ht="21.0" customHeight="1">
      <c r="A20" s="16" t="str">
        <f t="array" ref="A20">INDEX(src_dim_city!$B$2:$B$18,MATCH(helper_report!$A18,src_dim_city!$A$2:$A$18,0))</f>
        <v>Zielona Góra</v>
      </c>
      <c r="B20" s="17">
        <f t="array" ref="B20">INDEX(src_city_snapshot!$D$2:$D$18,MATCH(helper_report!$A18,src_city_snapshot!$A$2:$A$18,0))</f>
        <v>8633.384045</v>
      </c>
      <c r="C20" s="17">
        <f t="array" ref="C20">INDEX(src_city_snapshot!$C$2:$C$18,MATCH(helper_report!$A18,src_city_snapshot!$A$2:$A$18,0))</f>
        <v>9457.851067</v>
      </c>
      <c r="D20" s="22">
        <f t="array" ref="D20">INDEX(src_city_snapshot!$K$2:$K$18,MATCH(helper_report!$A18,src_city_snapshot!$A$2:$A$18,0))</f>
        <v>9.549754972</v>
      </c>
      <c r="E20" s="27">
        <f t="array" ref="E20">INDEX(src_city_snapshot!$U$2:$U$18,MATCH(helper_report!$A18,src_city_snapshot!$A$2:$A$18,0))</f>
        <v>1.114317536</v>
      </c>
      <c r="F20" s="22">
        <f t="array" ref="F20">INDEX(src_city_snapshot!$I$2:$I$18,MATCH(helper_report!$A18,src_city_snapshot!$A$2:$A$18,0))</f>
        <v>7.749336576</v>
      </c>
      <c r="G20" s="33">
        <f t="array" ref="G20">INDEX(src_city_snapshot!$AK$2:$AK$18,MATCH(helper_report!$A18,src_city_snapshot!$A$2:$A$18,0))</f>
        <v>7.660709138</v>
      </c>
      <c r="H20" s="17">
        <f>SUMIFS(src_fact_city_year!$AI$2:$AI$375,src_fact_city_year!$A$2:$A$375,helper_report!$A18,src_fact_city_year!$B$2:$B$375,src_city_snapshot!$AW$2-1)</f>
        <v>397</v>
      </c>
      <c r="I20" s="17">
        <f>SUMIFS(src_fact_city_year!$AI$2:$AI$375,src_fact_city_year!$A$2:$A$375,helper_report!$A18,src_fact_city_year!$B$2:$B$375,src_city_snapshot!$AW$2)</f>
        <v>296</v>
      </c>
      <c r="J20" s="34">
        <f t="shared" si="1"/>
        <v>-0.2544080605</v>
      </c>
      <c r="K20" s="36">
        <f t="shared" si="2"/>
        <v>-101</v>
      </c>
    </row>
    <row r="21" ht="21.0" customHeight="1">
      <c r="A21" s="16" t="str">
        <f t="array" ref="A21">INDEX(src_dim_city!$B$2:$B$18,MATCH(helper_report!$A3,src_dim_city!$A$2:$A$18,0))</f>
        <v>Bydgoszcz</v>
      </c>
      <c r="B21" s="17">
        <f t="array" ref="B21">INDEX(src_city_snapshot!$D$2:$D$18,MATCH(helper_report!$A3,src_city_snapshot!$A$2:$A$18,0))</f>
        <v>8341.86741</v>
      </c>
      <c r="C21" s="17">
        <f t="array" ref="C21">INDEX(src_city_snapshot!$C$2:$C$18,MATCH(helper_report!$A3,src_city_snapshot!$A$2:$A$18,0))</f>
        <v>10774.8862</v>
      </c>
      <c r="D21" s="22">
        <f t="array" ref="D21">INDEX(src_city_snapshot!$K$2:$K$18,MATCH(helper_report!$A3,src_city_snapshot!$A$2:$A$18,0))</f>
        <v>29.16635652</v>
      </c>
      <c r="E21" s="27">
        <f t="array" ref="E21">INDEX(src_city_snapshot!$U$2:$U$18,MATCH(helper_report!$A3,src_city_snapshot!$A$2:$A$18,0))</f>
        <v>1.18459364</v>
      </c>
      <c r="F21" s="22">
        <f t="array" ref="F21">INDEX(src_city_snapshot!$I$2:$I$18,MATCH(helper_report!$A3,src_city_snapshot!$A$2:$A$18,0))</f>
        <v>1.864495966</v>
      </c>
      <c r="G21" s="33">
        <f t="array" ref="G21">INDEX(src_city_snapshot!$AK$2:$AK$18,MATCH(helper_report!$A3,src_city_snapshot!$A$2:$A$18,0))</f>
        <v>3.653120969</v>
      </c>
      <c r="H21" s="17">
        <f>SUMIFS(src_fact_city_year!$AI$2:$AI$375,src_fact_city_year!$A$2:$A$375,helper_report!$A3,src_fact_city_year!$B$2:$B$375,src_city_snapshot!$AW$2-1)</f>
        <v>345</v>
      </c>
      <c r="I21" s="17">
        <f>SUMIFS(src_fact_city_year!$AI$2:$AI$375,src_fact_city_year!$A$2:$A$375,helper_report!$A3,src_fact_city_year!$B$2:$B$375,src_city_snapshot!$AW$2)</f>
        <v>985</v>
      </c>
      <c r="J21" s="34">
        <f t="shared" si="1"/>
        <v>1.855072464</v>
      </c>
      <c r="K21" s="36">
        <f t="shared" si="2"/>
        <v>640</v>
      </c>
    </row>
    <row r="22" ht="21.0" customHeight="1">
      <c r="A22" s="16" t="str">
        <f t="array" ref="A22">INDEX(src_dim_city!$B$2:$B$18,MATCH(helper_report!$A7,src_dim_city!$A$2:$A$18,0))</f>
        <v>Kielce</v>
      </c>
      <c r="B22" s="17">
        <f t="array" ref="B22">INDEX(src_city_snapshot!$D$2:$D$18,MATCH(helper_report!$A7,src_city_snapshot!$A$2:$A$18,0))</f>
        <v>8192.646085</v>
      </c>
      <c r="C22" s="17">
        <f t="array" ref="C22">INDEX(src_city_snapshot!$C$2:$C$18,MATCH(helper_report!$A7,src_city_snapshot!$A$2:$A$18,0))</f>
        <v>10401.89885</v>
      </c>
      <c r="D22" s="22">
        <f t="array" ref="D22">INDEX(src_city_snapshot!$K$2:$K$18,MATCH(helper_report!$A7,src_city_snapshot!$A$2:$A$18,0))</f>
        <v>26.96629084</v>
      </c>
      <c r="E22" s="27">
        <f t="array" ref="E22">INDEX(src_city_snapshot!$U$2:$U$18,MATCH(helper_report!$A7,src_city_snapshot!$A$2:$A$18,0))</f>
        <v>1.110575654</v>
      </c>
      <c r="F22" s="22">
        <f t="array" ref="F22">INDEX(src_city_snapshot!$I$2:$I$18,MATCH(helper_report!$A7,src_city_snapshot!$A$2:$A$18,0))</f>
        <v>1.490439417</v>
      </c>
      <c r="G22" s="33">
        <f t="array" ref="G22">INDEX(src_city_snapshot!$AK$2:$AK$18,MATCH(helper_report!$A7,src_city_snapshot!$A$2:$A$18,0))</f>
        <v>5.815441807</v>
      </c>
      <c r="H22" s="17">
        <f>SUMIFS(src_fact_city_year!$AI$2:$AI$375,src_fact_city_year!$A$2:$A$375,helper_report!$A7,src_fact_city_year!$B$2:$B$375,src_city_snapshot!$AW$2-1)</f>
        <v>587</v>
      </c>
      <c r="I22" s="17">
        <f>SUMIFS(src_fact_city_year!$AI$2:$AI$375,src_fact_city_year!$A$2:$A$375,helper_report!$A7,src_fact_city_year!$B$2:$B$375,src_city_snapshot!$AW$2)</f>
        <v>493</v>
      </c>
      <c r="J22" s="34">
        <f t="shared" si="1"/>
        <v>-0.1601362862</v>
      </c>
      <c r="K22" s="36">
        <f t="shared" si="2"/>
        <v>-94</v>
      </c>
    </row>
    <row r="23" ht="21.0" customHeight="1">
      <c r="A23" s="16" t="str">
        <f t="array" ref="A23">INDEX(src_dim_city!$B$2:$B$18,MATCH(helper_report!$A6,src_dim_city!$A$2:$A$18,0))</f>
        <v>Katowice</v>
      </c>
      <c r="B23" s="17">
        <f t="array" ref="B23">INDEX(src_city_snapshot!$D$2:$D$18,MATCH(helper_report!$A6,src_city_snapshot!$A$2:$A$18,0))</f>
        <v>8101.696128</v>
      </c>
      <c r="C23" s="17">
        <f t="array" ref="C23">INDEX(src_city_snapshot!$C$2:$C$18,MATCH(helper_report!$A6,src_city_snapshot!$A$2:$A$18,0))</f>
        <v>11840.14971</v>
      </c>
      <c r="D23" s="22">
        <f t="array" ref="D23">INDEX(src_city_snapshot!$K$2:$K$18,MATCH(helper_report!$A6,src_city_snapshot!$A$2:$A$18,0))</f>
        <v>46.14408537</v>
      </c>
      <c r="E23" s="27">
        <f t="array" ref="E23">INDEX(src_city_snapshot!$U$2:$U$18,MATCH(helper_report!$A6,src_city_snapshot!$A$2:$A$18,0))</f>
        <v>1.323661678</v>
      </c>
      <c r="F23" s="22">
        <f t="array" ref="F23">INDEX(src_city_snapshot!$I$2:$I$18,MATCH(helper_report!$A6,src_city_snapshot!$A$2:$A$18,0))</f>
        <v>1.410591739</v>
      </c>
      <c r="G23" s="33">
        <f t="array" ref="G23">INDEX(src_city_snapshot!$AK$2:$AK$18,MATCH(helper_report!$A6,src_city_snapshot!$A$2:$A$18,0))</f>
        <v>8.39918815</v>
      </c>
      <c r="H23" s="17">
        <f>SUMIFS(src_fact_city_year!$AI$2:$AI$375,src_fact_city_year!$A$2:$A$375,helper_report!$A6,src_fact_city_year!$B$2:$B$375,src_city_snapshot!$AW$2-1)</f>
        <v>1269</v>
      </c>
      <c r="I23" s="17">
        <f>SUMIFS(src_fact_city_year!$AI$2:$AI$375,src_fact_city_year!$A$2:$A$375,helper_report!$A6,src_fact_city_year!$B$2:$B$375,src_city_snapshot!$AW$2)</f>
        <v>1420</v>
      </c>
      <c r="J23" s="34">
        <f t="shared" si="1"/>
        <v>0.1189913318</v>
      </c>
      <c r="K23" s="36">
        <f t="shared" si="2"/>
        <v>151</v>
      </c>
    </row>
    <row r="24" ht="21.0" customHeight="1">
      <c r="A24" s="16" t="str">
        <f t="array" ref="A24">INDEX(src_dim_city!$B$2:$B$18,MATCH(helper_report!$A10,src_dim_city!$A$2:$A$18,0))</f>
        <v>Łódź</v>
      </c>
      <c r="B24" s="17">
        <f t="array" ref="B24">INDEX(src_city_snapshot!$D$2:$D$18,MATCH(helper_report!$A10,src_city_snapshot!$A$2:$A$18,0))</f>
        <v>8019.663004</v>
      </c>
      <c r="C24" s="17">
        <f t="array" ref="C24">INDEX(src_city_snapshot!$C$2:$C$18,MATCH(helper_report!$A10,src_city_snapshot!$A$2:$A$18,0))</f>
        <v>9945.487213</v>
      </c>
      <c r="D24" s="22">
        <f t="array" ref="D24">INDEX(src_city_snapshot!$K$2:$K$18,MATCH(helper_report!$A10,src_city_snapshot!$A$2:$A$18,0))</f>
        <v>24.01377972</v>
      </c>
      <c r="E24" s="27">
        <f t="array" ref="E24">INDEX(src_city_snapshot!$U$2:$U$18,MATCH(helper_report!$A10,src_city_snapshot!$A$2:$A$18,0))</f>
        <v>1.155526209</v>
      </c>
      <c r="F24" s="22">
        <f t="array" ref="F24">INDEX(src_city_snapshot!$I$2:$I$18,MATCH(helper_report!$A10,src_city_snapshot!$A$2:$A$18,0))</f>
        <v>0.7208301244</v>
      </c>
      <c r="G24" s="33">
        <f t="array" ref="G24">INDEX(src_city_snapshot!$AK$2:$AK$18,MATCH(helper_report!$A10,src_city_snapshot!$A$2:$A$18,0))</f>
        <v>9.013523398</v>
      </c>
      <c r="H24" s="17">
        <f>SUMIFS(src_fact_city_year!$AI$2:$AI$375,src_fact_city_year!$A$2:$A$375,helper_report!$A10,src_fact_city_year!$B$2:$B$375,src_city_snapshot!$AW$2-1)</f>
        <v>2263</v>
      </c>
      <c r="I24" s="17">
        <f>SUMIFS(src_fact_city_year!$AI$2:$AI$375,src_fact_city_year!$A$2:$A$375,helper_report!$A10,src_fact_city_year!$B$2:$B$375,src_city_snapshot!$AW$2)</f>
        <v>2602</v>
      </c>
      <c r="J24" s="34">
        <f t="shared" si="1"/>
        <v>0.1498011489</v>
      </c>
      <c r="K24" s="36">
        <f t="shared" si="2"/>
        <v>339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2"/>
    <mergeCell ref="A3:K3"/>
    <mergeCell ref="A4:K5"/>
    <mergeCell ref="A6:K6"/>
  </mergeCells>
  <conditionalFormatting sqref="B8:B24">
    <cfRule type="colorScale" priority="1">
      <colorScale>
        <cfvo type="min"/>
        <cfvo type="percentile" val="50"/>
        <cfvo type="max"/>
        <color rgb="FFFFFFFF"/>
        <color rgb="FFFFF7F8"/>
        <color rgb="FFF3A6B3"/>
      </colorScale>
    </cfRule>
  </conditionalFormatting>
  <conditionalFormatting sqref="C8:C24">
    <cfRule type="colorScale" priority="2">
      <colorScale>
        <cfvo type="min"/>
        <cfvo type="percentile" val="50"/>
        <cfvo type="max"/>
        <color rgb="FFFFFFFF"/>
        <color rgb="FFFFF7F8"/>
        <color rgb="FFF3A6B3"/>
      </colorScale>
    </cfRule>
  </conditionalFormatting>
  <conditionalFormatting sqref="D8:D24">
    <cfRule type="colorScale" priority="3">
      <colorScale>
        <cfvo type="min"/>
        <cfvo type="percentile" val="50"/>
        <cfvo type="max"/>
        <color rgb="FFFFFFFF"/>
        <color rgb="FFFFF7F8"/>
        <color rgb="FFF3A6B3"/>
      </colorScale>
    </cfRule>
  </conditionalFormatting>
  <conditionalFormatting sqref="F8:F24">
    <cfRule type="colorScale" priority="4">
      <colorScale>
        <cfvo type="min"/>
        <cfvo type="percentile" val="50"/>
        <cfvo type="max"/>
        <color rgb="FFFFFFFF"/>
        <color rgb="FFFFF7F8"/>
        <color rgb="FFF3A6B3"/>
      </colorScale>
    </cfRule>
  </conditionalFormatting>
  <conditionalFormatting sqref="E8:E24">
    <cfRule type="colorScale" priority="5">
      <colorScale>
        <cfvo type="min"/>
        <cfvo type="percentile" val="50"/>
        <cfvo type="max"/>
        <color rgb="FFF3A6B3"/>
        <color rgb="FFFFF7F8"/>
        <color rgb="FFFFFFFF"/>
      </colorScale>
    </cfRule>
  </conditionalFormatting>
  <conditionalFormatting sqref="G8:G24">
    <cfRule type="colorScale" priority="6">
      <colorScale>
        <cfvo type="min"/>
        <cfvo type="percentile" val="50"/>
        <cfvo type="max"/>
        <color rgb="FFF3A6B3"/>
        <color rgb="FFFFF7F8"/>
        <color rgb="FFFFFFFF"/>
      </colorScale>
    </cfRule>
  </conditionalFormatting>
  <conditionalFormatting sqref="J8:J24">
    <cfRule type="expression" dxfId="5" priority="7">
      <formula>J8&lt;0</formula>
    </cfRule>
  </conditionalFormatting>
  <conditionalFormatting sqref="J8:J24">
    <cfRule type="expression" dxfId="6" priority="8">
      <formula>J8&gt;=0</formula>
    </cfRule>
  </conditionalFormatting>
  <conditionalFormatting sqref="K8:K24">
    <cfRule type="expression" dxfId="5" priority="9">
      <formula>K8&lt;0</formula>
    </cfRule>
  </conditionalFormatting>
  <conditionalFormatting sqref="K8:K24">
    <cfRule type="expression" dxfId="6" priority="10">
      <formula>K8&gt;=0</formula>
    </cfRule>
  </conditionalFormatting>
  <dataValidations>
    <dataValidation type="custom" allowBlank="1" showDropDown="1" sqref="B8:K24">
      <formula1>AND(ISNUMBER(B8),(NOT(OR(NOT(ISERROR(DATEVALUE(B8))), AND(ISNUMBER(B8), LEFT(CELL("format", B8))="D")))))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41.88"/>
    <col customWidth="1" min="3" max="3" width="48.75"/>
    <col customWidth="1" min="4" max="4" width="3.5"/>
    <col customWidth="1" min="5" max="5" width="20.63"/>
    <col customWidth="1" min="6" max="6" width="31.88"/>
    <col customWidth="1" min="7" max="7" width="35.63"/>
  </cols>
  <sheetData>
    <row r="1" ht="28.5" customHeight="1">
      <c r="A1" s="3" t="s">
        <v>12</v>
      </c>
    </row>
    <row r="2" ht="6.0" customHeight="1"/>
    <row r="3" ht="19.5" customHeight="1">
      <c r="A3" s="8" t="s">
        <v>59</v>
      </c>
    </row>
    <row r="4" ht="7.5" customHeight="1">
      <c r="A4" s="10"/>
      <c r="B4" s="10"/>
      <c r="C4" s="10"/>
      <c r="D4" s="10"/>
      <c r="E4" s="10"/>
      <c r="F4" s="10"/>
      <c r="G4" s="10"/>
    </row>
    <row r="5" ht="21.0" customHeight="1">
      <c r="A5" s="11" t="s">
        <v>60</v>
      </c>
    </row>
    <row r="6" ht="21.0" customHeight="1">
      <c r="A6" s="12" t="s">
        <v>62</v>
      </c>
      <c r="B6" s="12" t="s">
        <v>63</v>
      </c>
      <c r="C6" s="12" t="s">
        <v>64</v>
      </c>
      <c r="D6" s="10"/>
      <c r="E6" s="12" t="s">
        <v>62</v>
      </c>
      <c r="F6" s="12" t="s">
        <v>63</v>
      </c>
      <c r="G6" s="12" t="s">
        <v>64</v>
      </c>
    </row>
    <row r="7" ht="31.5" customHeight="1">
      <c r="A7" s="14" t="s">
        <v>66</v>
      </c>
      <c r="B7" s="15" t="s">
        <v>67</v>
      </c>
      <c r="C7" s="15" t="s">
        <v>69</v>
      </c>
      <c r="D7" s="10"/>
      <c r="E7" s="14" t="str">
        <f>"H1 "&amp;(src_city_snapshot!$AW$2-1)&amp;" / H1 "&amp;src_city_snapshot!$AW$2</f>
        <v>H1 2025 / H1 2026</v>
      </c>
      <c r="F7" s="15" t="s">
        <v>77</v>
      </c>
      <c r="G7" s="15" t="s">
        <v>78</v>
      </c>
    </row>
    <row r="8" ht="37.5" customHeight="1">
      <c r="A8" s="14" t="s">
        <v>80</v>
      </c>
      <c r="B8" s="15" t="s">
        <v>81</v>
      </c>
      <c r="C8" s="15" t="s">
        <v>82</v>
      </c>
      <c r="D8" s="10"/>
      <c r="E8" s="14" t="s">
        <v>83</v>
      </c>
      <c r="F8" s="15" t="str">
        <f>"H1 "&amp;src_city_snapshot!$AW$2&amp;" completed / H1 "&amp;(src_city_snapshot!$AW$2-1)&amp;" completed - 1."</f>
        <v>H1 2026 completed / H1 2025 completed - 1.</v>
      </c>
      <c r="G8" s="15" t="s">
        <v>84</v>
      </c>
    </row>
    <row r="9" ht="34.5" customHeight="1">
      <c r="A9" s="14" t="s">
        <v>85</v>
      </c>
      <c r="B9" s="15" t="s">
        <v>86</v>
      </c>
      <c r="C9" s="15" t="s">
        <v>87</v>
      </c>
      <c r="D9" s="10"/>
      <c r="E9" s="10"/>
      <c r="F9" s="10"/>
      <c r="G9" s="10"/>
    </row>
    <row r="10" ht="31.5" customHeight="1">
      <c r="A10" s="14" t="s">
        <v>88</v>
      </c>
      <c r="B10" s="15" t="s">
        <v>89</v>
      </c>
      <c r="C10" s="15" t="s">
        <v>90</v>
      </c>
      <c r="D10" s="10"/>
      <c r="E10" s="10"/>
      <c r="F10" s="10"/>
      <c r="G10" s="10"/>
    </row>
    <row r="11" ht="33.0" customHeight="1">
      <c r="A11" s="14" t="s">
        <v>91</v>
      </c>
      <c r="B11" s="15" t="str">
        <f>"Completed dwellings in "&amp;src_city_snapshot!$AV$2&amp;" / mid-year population × 1,000."</f>
        <v>Completed dwellings in 2025 / mid-year population × 1,000.</v>
      </c>
      <c r="C11" s="15" t="s">
        <v>92</v>
      </c>
      <c r="D11" s="10"/>
      <c r="E11" s="10"/>
      <c r="F11" s="10"/>
      <c r="G11" s="10"/>
    </row>
    <row r="12" ht="7.5" customHeight="1">
      <c r="A12" s="10"/>
      <c r="B12" s="10"/>
      <c r="C12" s="10"/>
      <c r="D12" s="10"/>
      <c r="E12" s="10"/>
      <c r="F12" s="10"/>
      <c r="G12" s="10"/>
    </row>
    <row r="13" ht="21.0" customHeight="1">
      <c r="A13" s="11" t="s">
        <v>93</v>
      </c>
    </row>
    <row r="14" ht="19.5" customHeight="1">
      <c r="A14" s="12" t="s">
        <v>62</v>
      </c>
      <c r="B14" s="12" t="s">
        <v>94</v>
      </c>
      <c r="C14" s="12" t="s">
        <v>95</v>
      </c>
      <c r="D14" s="10"/>
      <c r="E14" s="10"/>
      <c r="F14" s="10"/>
      <c r="G14" s="10"/>
    </row>
    <row r="15" ht="21.0" customHeight="1">
      <c r="A15" s="14" t="s">
        <v>96</v>
      </c>
      <c r="B15" s="15" t="str">
        <f>src_city_snapshot!$AS$2</f>
        <v>2026Q2</v>
      </c>
      <c r="C15" s="15" t="s">
        <v>97</v>
      </c>
      <c r="D15" s="10"/>
      <c r="E15" s="10"/>
      <c r="F15" s="10"/>
      <c r="G15" s="10"/>
    </row>
    <row r="16" ht="21.0" customHeight="1">
      <c r="A16" s="14" t="s">
        <v>85</v>
      </c>
      <c r="B16" s="15">
        <f>src_city_snapshot!$AT$2</f>
        <v>2025</v>
      </c>
      <c r="C16" s="15" t="s">
        <v>98</v>
      </c>
      <c r="D16" s="10"/>
      <c r="E16" s="10"/>
      <c r="F16" s="10"/>
      <c r="G16" s="10"/>
    </row>
    <row r="17" ht="27.0" customHeight="1">
      <c r="A17" s="14" t="s">
        <v>91</v>
      </c>
      <c r="B17" s="15">
        <f>src_city_snapshot!$AV$2</f>
        <v>2025</v>
      </c>
      <c r="C17" s="15" t="s">
        <v>99</v>
      </c>
      <c r="D17" s="10"/>
      <c r="E17" s="10"/>
      <c r="F17" s="10"/>
      <c r="G17" s="10"/>
    </row>
    <row r="18" ht="22.5" customHeight="1">
      <c r="A18" s="14" t="s">
        <v>83</v>
      </c>
      <c r="B18" s="15" t="str">
        <f>"H1 "&amp;src_city_snapshot!$AW$2&amp;" vs H1 "&amp;(src_city_snapshot!$AW$2-1)</f>
        <v>H1 2026 vs H1 2025</v>
      </c>
      <c r="C18" s="15" t="s">
        <v>100</v>
      </c>
      <c r="D18" s="10"/>
      <c r="E18" s="10"/>
      <c r="F18" s="10"/>
      <c r="G18" s="10"/>
    </row>
    <row r="19" ht="28.5" customHeight="1">
      <c r="A19" s="14" t="s">
        <v>88</v>
      </c>
      <c r="B19" s="15" t="str">
        <f>"Latest 4 NBP YoY periods through "&amp;src_city_snapshot!$AS$2</f>
        <v>Latest 4 NBP YoY periods through 2026Q2</v>
      </c>
      <c r="C19" s="15" t="s">
        <v>101</v>
      </c>
      <c r="D19" s="10"/>
      <c r="E19" s="10"/>
      <c r="F19" s="10"/>
      <c r="G19" s="10"/>
    </row>
    <row r="20" ht="7.5" customHeight="1">
      <c r="A20" s="10"/>
      <c r="B20" s="10"/>
      <c r="C20" s="10"/>
      <c r="D20" s="10"/>
      <c r="E20" s="10"/>
      <c r="F20" s="10"/>
      <c r="G20" s="10"/>
    </row>
    <row r="21" ht="21.0" customHeight="1">
      <c r="A21" s="11" t="s">
        <v>102</v>
      </c>
    </row>
    <row r="22" ht="21.0" customHeight="1">
      <c r="A22" s="15" t="s">
        <v>104</v>
      </c>
    </row>
    <row r="23" ht="22.5" customHeight="1">
      <c r="A23" s="15" t="str">
        <f>"• H1 "&amp;src_city_snapshot!$AW$2&amp;" is partial-year data and is compared only with H1 "&amp;(src_city_snapshot!$AW$2-1)&amp;"; it is not mechanically annualized."</f>
        <v>• H1 2026 is partial-year data and is compared only with H1 2025; it is not mechanically annualized.</v>
      </c>
    </row>
    <row r="24" ht="21.0" customHeight="1">
      <c r="A24" s="15" t="s">
        <v>105</v>
      </c>
    </row>
    <row r="25" ht="20.25" customHeight="1">
      <c r="A25" s="15" t="s">
        <v>106</v>
      </c>
    </row>
    <row r="26" ht="20.25" customHeight="1">
      <c r="A26" s="15" t="s">
        <v>107</v>
      </c>
    </row>
    <row r="27" ht="9.75" customHeight="1">
      <c r="A27" s="15"/>
    </row>
    <row r="28" ht="7.5" customHeight="1">
      <c r="A28" s="10"/>
      <c r="B28" s="10"/>
      <c r="C28" s="10"/>
      <c r="D28" s="10"/>
      <c r="E28" s="10"/>
      <c r="F28" s="10"/>
      <c r="G28" s="10"/>
    </row>
    <row r="29" ht="22.5" customHeight="1">
      <c r="A29" s="11" t="s">
        <v>110</v>
      </c>
    </row>
    <row r="30" ht="21.0" customHeight="1">
      <c r="A30" s="12" t="s">
        <v>112</v>
      </c>
      <c r="B30" s="12" t="s">
        <v>113</v>
      </c>
      <c r="C30" s="12" t="s">
        <v>115</v>
      </c>
      <c r="D30" s="10"/>
      <c r="E30" s="21" t="s">
        <v>116</v>
      </c>
    </row>
    <row r="31" ht="31.5" customHeight="1">
      <c r="A31" s="14" t="s">
        <v>117</v>
      </c>
      <c r="B31" s="15">
        <v>17.0</v>
      </c>
      <c r="C31" s="15" t="s">
        <v>118</v>
      </c>
      <c r="D31" s="10"/>
    </row>
    <row r="32" ht="21.0" customHeight="1">
      <c r="A32" s="14" t="s">
        <v>119</v>
      </c>
      <c r="B32" s="15">
        <v>17.0</v>
      </c>
      <c r="C32" s="15" t="s">
        <v>120</v>
      </c>
      <c r="D32" s="10"/>
    </row>
    <row r="33" ht="21.0" customHeight="1">
      <c r="A33" s="14" t="s">
        <v>121</v>
      </c>
      <c r="B33" s="15">
        <v>80.0</v>
      </c>
      <c r="C33" s="15" t="s">
        <v>122</v>
      </c>
      <c r="D33" s="10"/>
    </row>
    <row r="34" ht="21.0" customHeight="1">
      <c r="A34" s="14" t="s">
        <v>123</v>
      </c>
      <c r="B34" s="15">
        <v>22.0</v>
      </c>
      <c r="C34" s="15" t="s">
        <v>124</v>
      </c>
      <c r="D34" s="10"/>
    </row>
    <row r="35" ht="25.5" customHeight="1">
      <c r="A35" s="14" t="s">
        <v>125</v>
      </c>
      <c r="B35" s="15">
        <v>374.0</v>
      </c>
      <c r="C35" s="15" t="s">
        <v>126</v>
      </c>
      <c r="D35" s="10"/>
      <c r="E35" s="10"/>
      <c r="F35" s="10"/>
      <c r="G35" s="10"/>
    </row>
    <row r="36" ht="25.5" customHeight="1">
      <c r="A36" s="14" t="s">
        <v>127</v>
      </c>
      <c r="B36" s="15">
        <v>1200.0</v>
      </c>
      <c r="C36" s="15" t="s">
        <v>128</v>
      </c>
      <c r="D36" s="10"/>
      <c r="E36" s="10"/>
      <c r="F36" s="10"/>
      <c r="G36" s="10"/>
    </row>
    <row r="37" ht="25.5" customHeight="1">
      <c r="A37" s="14" t="s">
        <v>129</v>
      </c>
      <c r="B37" s="15">
        <v>1360.0</v>
      </c>
      <c r="C37" s="15" t="s">
        <v>130</v>
      </c>
      <c r="D37" s="10"/>
      <c r="E37" s="10"/>
      <c r="F37" s="25"/>
      <c r="G37" s="2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4:G24"/>
    <mergeCell ref="A25:G25"/>
    <mergeCell ref="A26:G26"/>
    <mergeCell ref="A27:G27"/>
    <mergeCell ref="A29:G29"/>
    <mergeCell ref="E30:G34"/>
    <mergeCell ref="A1:G2"/>
    <mergeCell ref="A3:G3"/>
    <mergeCell ref="A5:G5"/>
    <mergeCell ref="A13:G13"/>
    <mergeCell ref="A21:G21"/>
    <mergeCell ref="A22:G22"/>
    <mergeCell ref="A23:G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54" width="15.0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</row>
    <row r="2">
      <c r="A2" s="5">
        <v>1.0</v>
      </c>
      <c r="B2" s="5">
        <v>20262.0</v>
      </c>
      <c r="C2" s="5">
        <v>10926.218780942</v>
      </c>
      <c r="D2" s="5">
        <v>9403.131809282217</v>
      </c>
      <c r="E2" s="5">
        <v>4.48563696588713</v>
      </c>
      <c r="F2" s="5">
        <v>1.9246065172738662</v>
      </c>
      <c r="G2" s="5">
        <v>-8.181532434384888</v>
      </c>
      <c r="H2" s="5">
        <v>-0.17664209662298092</v>
      </c>
      <c r="I2" s="5">
        <v>0.6578058468041306</v>
      </c>
      <c r="J2" s="5">
        <v>-13.318624121075054</v>
      </c>
      <c r="K2" s="5">
        <v>16.19765629740808</v>
      </c>
      <c r="L2" s="9" t="b">
        <v>0</v>
      </c>
      <c r="N2" s="5">
        <v>13.395127419385977</v>
      </c>
      <c r="O2" s="5">
        <v>-1.5217602286644039</v>
      </c>
      <c r="P2" s="5">
        <v>24.38788245393968</v>
      </c>
      <c r="Q2" s="5">
        <v>9090.46</v>
      </c>
      <c r="R2" s="5">
        <v>10348.073492134024</v>
      </c>
      <c r="S2" s="5">
        <v>9479.321585038813</v>
      </c>
      <c r="T2" s="5">
        <v>0.8784688287061367</v>
      </c>
      <c r="U2" s="5">
        <v>0.9589779098060611</v>
      </c>
      <c r="V2" s="5">
        <v>7.619547942830529</v>
      </c>
      <c r="W2" s="5">
        <v>2.5774569877948794</v>
      </c>
      <c r="X2" s="5">
        <v>1.9917958461096008</v>
      </c>
      <c r="Y2" s="5">
        <v>7.005099221184508</v>
      </c>
      <c r="Z2" s="5">
        <v>9.76310962835778</v>
      </c>
      <c r="AA2" s="5">
        <v>0.8504589706003165</v>
      </c>
      <c r="AB2" s="5">
        <v>0.9154585411314442</v>
      </c>
      <c r="AC2" s="5">
        <v>4402.0</v>
      </c>
      <c r="AD2" s="5">
        <v>15.131983761133283</v>
      </c>
      <c r="AE2" s="5">
        <v>4395.0</v>
      </c>
      <c r="AF2" s="5">
        <v>15.107921088182822</v>
      </c>
      <c r="AG2" s="5">
        <v>49.15629259427533</v>
      </c>
      <c r="AH2" s="5">
        <v>1891.0</v>
      </c>
      <c r="AI2" s="5">
        <v>6.527780175017692</v>
      </c>
      <c r="AJ2" s="5">
        <v>1693.0</v>
      </c>
      <c r="AK2" s="5">
        <v>5.844279130779985</v>
      </c>
      <c r="AL2" s="5">
        <v>1351.0</v>
      </c>
      <c r="AM2" s="5">
        <v>311.0</v>
      </c>
      <c r="AN2" s="5">
        <v>6.967537608867769</v>
      </c>
      <c r="AO2" s="5">
        <v>-72.23214285714286</v>
      </c>
      <c r="AP2" s="5">
        <v>2.8025288780221036</v>
      </c>
      <c r="AQ2" s="5">
        <v>3.2934990486429783</v>
      </c>
      <c r="AR2" s="5">
        <v>4.75383283013886</v>
      </c>
      <c r="AS2" s="5" t="s">
        <v>61</v>
      </c>
      <c r="AT2" s="5">
        <v>2025.0</v>
      </c>
      <c r="AU2" s="5">
        <v>2024.0</v>
      </c>
      <c r="AV2" s="5">
        <v>2025.0</v>
      </c>
      <c r="AW2" s="5">
        <v>2026.0</v>
      </c>
      <c r="AX2" s="9" t="b">
        <v>1</v>
      </c>
      <c r="AY2" s="5">
        <v>9.0</v>
      </c>
      <c r="AZ2" s="5">
        <v>9.0</v>
      </c>
      <c r="BA2" s="5">
        <v>12.0</v>
      </c>
      <c r="BB2" s="5">
        <v>4.0</v>
      </c>
    </row>
    <row r="3">
      <c r="A3" s="5">
        <v>2.0</v>
      </c>
      <c r="B3" s="5">
        <v>20262.0</v>
      </c>
      <c r="C3" s="5">
        <v>10774.886199051813</v>
      </c>
      <c r="D3" s="5">
        <v>8341.867409677412</v>
      </c>
      <c r="E3" s="5">
        <v>10.450537522138315</v>
      </c>
      <c r="F3" s="5">
        <v>13.545043811084906</v>
      </c>
      <c r="G3" s="5">
        <v>6.474033514500476</v>
      </c>
      <c r="H3" s="5">
        <v>6.892201559167255</v>
      </c>
      <c r="I3" s="5">
        <v>1.8644959664350813</v>
      </c>
      <c r="J3" s="5">
        <v>-3.2718331573753145</v>
      </c>
      <c r="K3" s="5">
        <v>29.166356522903403</v>
      </c>
      <c r="L3" s="9" t="b">
        <v>0</v>
      </c>
      <c r="N3" s="5">
        <v>25.947045338068286</v>
      </c>
      <c r="O3" s="5">
        <v>-1.2833677370262753</v>
      </c>
      <c r="P3" s="5">
        <v>41.98659961613469</v>
      </c>
      <c r="Q3" s="5">
        <v>9219.1</v>
      </c>
      <c r="R3" s="5">
        <v>9950.43141948026</v>
      </c>
      <c r="S3" s="5">
        <v>7782.5</v>
      </c>
      <c r="T3" s="5">
        <v>0.9265025415834223</v>
      </c>
      <c r="U3" s="5">
        <v>1.1845936395759717</v>
      </c>
      <c r="V3" s="5">
        <v>0.2112559402153158</v>
      </c>
      <c r="W3" s="5">
        <v>8.802131881941587</v>
      </c>
      <c r="X3" s="5">
        <v>8.894586923743187</v>
      </c>
      <c r="Y3" s="5">
        <v>0.2964108512146346</v>
      </c>
      <c r="Z3" s="5">
        <v>9.124633207192524</v>
      </c>
      <c r="AA3" s="5">
        <v>0.813752462245568</v>
      </c>
      <c r="AB3" s="5">
        <v>1.0072859539117216</v>
      </c>
      <c r="AC3" s="5">
        <v>4328.0</v>
      </c>
      <c r="AD3" s="5">
        <v>13.317578711567338</v>
      </c>
      <c r="AG3" s="5">
        <v>49.42185767097966</v>
      </c>
      <c r="AH3" s="5">
        <v>1756.0</v>
      </c>
      <c r="AI3" s="5">
        <v>5.445569117792994</v>
      </c>
      <c r="AJ3" s="5">
        <v>1178.0</v>
      </c>
      <c r="AK3" s="5">
        <v>3.653120968542225</v>
      </c>
      <c r="AL3" s="5">
        <v>539.0</v>
      </c>
      <c r="AM3" s="5">
        <v>985.0</v>
      </c>
      <c r="AN3" s="5">
        <v>21.39639639639639</v>
      </c>
      <c r="AO3" s="5">
        <v>185.50724637681157</v>
      </c>
      <c r="AP3" s="5">
        <v>3.2193111848351172</v>
      </c>
      <c r="AQ3" s="5">
        <v>13.855574584280571</v>
      </c>
      <c r="AR3" s="5">
        <v>17.602517435658527</v>
      </c>
      <c r="AS3" s="5" t="s">
        <v>61</v>
      </c>
      <c r="AT3" s="5">
        <v>2025.0</v>
      </c>
      <c r="AU3" s="5">
        <v>2024.0</v>
      </c>
      <c r="AV3" s="5">
        <v>2025.0</v>
      </c>
      <c r="AW3" s="5">
        <v>2026.0</v>
      </c>
      <c r="AX3" s="9" t="b">
        <v>0</v>
      </c>
      <c r="AY3" s="5">
        <v>4.0</v>
      </c>
      <c r="AZ3" s="5">
        <v>2.0</v>
      </c>
      <c r="BA3" s="5">
        <v>14.0</v>
      </c>
      <c r="BB3" s="5">
        <v>11.0</v>
      </c>
    </row>
    <row r="4">
      <c r="A4" s="5">
        <v>3.0</v>
      </c>
      <c r="B4" s="5">
        <v>20262.0</v>
      </c>
      <c r="C4" s="5">
        <v>14490.6145771808</v>
      </c>
      <c r="D4" s="5">
        <v>14034.641977208776</v>
      </c>
      <c r="E4" s="5">
        <v>2.8979080150234315</v>
      </c>
      <c r="F4" s="5">
        <v>7.61070438341952</v>
      </c>
      <c r="G4" s="5">
        <v>-0.5509866765098295</v>
      </c>
      <c r="H4" s="5">
        <v>4.612928420802986</v>
      </c>
      <c r="I4" s="5">
        <v>4.471639879981143</v>
      </c>
      <c r="J4" s="5">
        <v>-5.936951881575657</v>
      </c>
      <c r="K4" s="5">
        <v>3.2489079572709523</v>
      </c>
      <c r="L4" s="9" t="b">
        <v>0</v>
      </c>
      <c r="N4" s="5">
        <v>6.960697243505177</v>
      </c>
      <c r="O4" s="5">
        <v>-5.167811564721358</v>
      </c>
      <c r="P4" s="5">
        <v>34.87708479194058</v>
      </c>
      <c r="Q4" s="5">
        <v>10972.26</v>
      </c>
      <c r="R4" s="5">
        <v>14142.416377835161</v>
      </c>
      <c r="S4" s="5">
        <v>13363.950117693337</v>
      </c>
      <c r="T4" s="5">
        <v>0.7758405428648234</v>
      </c>
      <c r="U4" s="5">
        <v>0.8210341929870844</v>
      </c>
      <c r="V4" s="5">
        <v>-1.3986052306360741</v>
      </c>
      <c r="W4" s="5">
        <v>3.0119394190291082</v>
      </c>
      <c r="X4" s="5">
        <v>10.097388091901816</v>
      </c>
      <c r="Y4" s="5">
        <v>5.383473872545319</v>
      </c>
      <c r="Z4" s="5">
        <v>8.55756026325476</v>
      </c>
      <c r="AA4" s="5">
        <v>0.7311406140045533</v>
      </c>
      <c r="AB4" s="5">
        <v>0.7946214310512266</v>
      </c>
      <c r="AC4" s="5">
        <v>10037.0</v>
      </c>
      <c r="AD4" s="5">
        <v>20.574621695084804</v>
      </c>
      <c r="AE4" s="5">
        <v>9985.0</v>
      </c>
      <c r="AF4" s="5">
        <v>20.468028058724897</v>
      </c>
      <c r="AG4" s="5">
        <v>53.412374215403005</v>
      </c>
      <c r="AH4" s="5">
        <v>5337.0</v>
      </c>
      <c r="AI4" s="5">
        <v>10.910540518439774</v>
      </c>
      <c r="AJ4" s="5">
        <v>5750.0</v>
      </c>
      <c r="AK4" s="5">
        <v>11.754845040477553</v>
      </c>
      <c r="AL4" s="5">
        <v>3109.0</v>
      </c>
      <c r="AM4" s="5">
        <v>1618.0</v>
      </c>
      <c r="AN4" s="5">
        <v>-17.66419491525424</v>
      </c>
      <c r="AO4" s="5">
        <v>-26.253418413855968</v>
      </c>
      <c r="AP4" s="5">
        <v>-3.7117892862342243</v>
      </c>
      <c r="AQ4" s="5">
        <v>6.11372532233474</v>
      </c>
      <c r="AR4" s="5">
        <v>3.3239428114738345</v>
      </c>
      <c r="AS4" s="5" t="s">
        <v>61</v>
      </c>
      <c r="AT4" s="5">
        <v>2025.0</v>
      </c>
      <c r="AU4" s="5">
        <v>2024.0</v>
      </c>
      <c r="AV4" s="5">
        <v>2025.0</v>
      </c>
      <c r="AW4" s="5">
        <v>2026.0</v>
      </c>
      <c r="AX4" s="9" t="b">
        <v>0</v>
      </c>
      <c r="AY4" s="5">
        <v>15.0</v>
      </c>
      <c r="AZ4" s="5">
        <v>14.0</v>
      </c>
      <c r="BA4" s="5">
        <v>2.0</v>
      </c>
      <c r="BB4" s="5">
        <v>16.0</v>
      </c>
    </row>
    <row r="5">
      <c r="A5" s="5">
        <v>4.0</v>
      </c>
      <c r="B5" s="5">
        <v>20262.0</v>
      </c>
      <c r="C5" s="5">
        <v>12886.98208212585</v>
      </c>
      <c r="D5" s="5">
        <v>12266.795259976028</v>
      </c>
      <c r="E5" s="5">
        <v>-0.8712033392653362</v>
      </c>
      <c r="F5" s="5">
        <v>3.173483981492287</v>
      </c>
      <c r="G5" s="5">
        <v>-5.832232451720209</v>
      </c>
      <c r="H5" s="5">
        <v>3.891305739682527</v>
      </c>
      <c r="I5" s="5">
        <v>1.4936952466197861</v>
      </c>
      <c r="J5" s="5">
        <v>-10.711979321560989</v>
      </c>
      <c r="K5" s="5">
        <v>5.0558178318452995</v>
      </c>
      <c r="L5" s="9" t="b">
        <v>0</v>
      </c>
      <c r="N5" s="5">
        <v>16.721063465711374</v>
      </c>
      <c r="O5" s="5">
        <v>-1.098493867478334</v>
      </c>
      <c r="P5" s="5">
        <v>39.905508937944845</v>
      </c>
      <c r="Q5" s="5">
        <v>9795.07</v>
      </c>
      <c r="R5" s="5">
        <v>13246.876763752434</v>
      </c>
      <c r="S5" s="5">
        <v>11784.178598583316</v>
      </c>
      <c r="T5" s="5">
        <v>0.7394248602661082</v>
      </c>
      <c r="U5" s="5">
        <v>0.8312051551202351</v>
      </c>
      <c r="V5" s="5">
        <v>4.734971203565874</v>
      </c>
      <c r="W5" s="5">
        <v>5.352076067312028</v>
      </c>
      <c r="X5" s="5">
        <v>3.9232901490837246</v>
      </c>
      <c r="Y5" s="5">
        <v>3.314554467723929</v>
      </c>
      <c r="Z5" s="5">
        <v>8.84402801144104</v>
      </c>
      <c r="AA5" s="5">
        <v>0.691835019502581</v>
      </c>
      <c r="AB5" s="5">
        <v>0.7973346961243728</v>
      </c>
      <c r="AC5" s="5">
        <v>2676.0</v>
      </c>
      <c r="AD5" s="5">
        <v>11.12432135819816</v>
      </c>
      <c r="AG5" s="5">
        <v>55.69319880418535</v>
      </c>
      <c r="AH5" s="5">
        <v>1786.0</v>
      </c>
      <c r="AI5" s="5">
        <v>7.462655384936801</v>
      </c>
      <c r="AJ5" s="5">
        <v>864.0</v>
      </c>
      <c r="AK5" s="5">
        <v>3.6101535568787217</v>
      </c>
      <c r="AL5" s="5">
        <v>1533.0</v>
      </c>
      <c r="AM5" s="5">
        <v>247.0</v>
      </c>
      <c r="AN5" s="5">
        <v>376.0869565217392</v>
      </c>
      <c r="AO5" s="5">
        <v>-16.554054054054056</v>
      </c>
      <c r="AP5" s="5">
        <v>-11.665245633866075</v>
      </c>
      <c r="AQ5" s="5">
        <v>6.878784597770671</v>
      </c>
      <c r="AR5" s="5">
        <v>4.2479600048132005</v>
      </c>
      <c r="AS5" s="5" t="s">
        <v>61</v>
      </c>
      <c r="AT5" s="5">
        <v>2025.0</v>
      </c>
      <c r="AU5" s="5">
        <v>2024.0</v>
      </c>
      <c r="AV5" s="5">
        <v>2025.0</v>
      </c>
      <c r="AW5" s="5">
        <v>2026.0</v>
      </c>
      <c r="AX5" s="9" t="b">
        <v>0</v>
      </c>
      <c r="AY5" s="5">
        <v>13.0</v>
      </c>
      <c r="AZ5" s="5">
        <v>13.0</v>
      </c>
      <c r="BA5" s="5">
        <v>16.0</v>
      </c>
      <c r="BB5" s="5">
        <v>9.0</v>
      </c>
    </row>
    <row r="6">
      <c r="A6" s="5">
        <v>5.0</v>
      </c>
      <c r="B6" s="5">
        <v>20262.0</v>
      </c>
      <c r="C6" s="5">
        <v>11840.14970595999</v>
      </c>
      <c r="D6" s="5">
        <v>8101.69612802429</v>
      </c>
      <c r="E6" s="5">
        <v>0.833197362121707</v>
      </c>
      <c r="F6" s="5">
        <v>0.323361181156533</v>
      </c>
      <c r="G6" s="5">
        <v>-12.632607462862174</v>
      </c>
      <c r="H6" s="5">
        <v>-0.6447376809966987</v>
      </c>
      <c r="I6" s="5">
        <v>1.4105917385782236</v>
      </c>
      <c r="J6" s="5">
        <v>-8.164565786645014</v>
      </c>
      <c r="K6" s="5">
        <v>46.14408537249561</v>
      </c>
      <c r="L6" s="9" t="b">
        <v>0</v>
      </c>
      <c r="N6" s="5">
        <v>43.83058761092255</v>
      </c>
      <c r="O6" s="5">
        <v>26.71687857044194</v>
      </c>
      <c r="P6" s="5">
        <v>84.68384982272772</v>
      </c>
      <c r="Q6" s="5">
        <v>10801.86</v>
      </c>
      <c r="R6" s="5">
        <v>11885.467285214052</v>
      </c>
      <c r="S6" s="5">
        <v>8160.589806789118</v>
      </c>
      <c r="T6" s="5">
        <v>0.9088292231840057</v>
      </c>
      <c r="U6" s="5">
        <v>1.3236616783524036</v>
      </c>
      <c r="V6" s="5">
        <v>3.8864768577232978</v>
      </c>
      <c r="W6" s="5">
        <v>2.6643376433233</v>
      </c>
      <c r="X6" s="5">
        <v>3.4443847251263815</v>
      </c>
      <c r="Y6" s="5">
        <v>4.67580979428015</v>
      </c>
      <c r="Z6" s="5">
        <v>7.464726798082677</v>
      </c>
      <c r="AA6" s="5">
        <v>0.9343236550211634</v>
      </c>
      <c r="AB6" s="5">
        <v>1.3302382233296317</v>
      </c>
      <c r="AC6" s="5">
        <v>5565.0</v>
      </c>
      <c r="AD6" s="5">
        <v>20.01150706605775</v>
      </c>
      <c r="AE6" s="5">
        <v>5710.0</v>
      </c>
      <c r="AF6" s="5">
        <v>20.532920996799596</v>
      </c>
      <c r="AG6" s="5">
        <v>52.78136567834681</v>
      </c>
      <c r="AH6" s="5">
        <v>3291.0</v>
      </c>
      <c r="AI6" s="5">
        <v>11.84307120956946</v>
      </c>
      <c r="AJ6" s="5">
        <v>2334.0</v>
      </c>
      <c r="AK6" s="5">
        <v>8.399188150451268</v>
      </c>
      <c r="AL6" s="5">
        <v>1532.0</v>
      </c>
      <c r="AM6" s="5">
        <v>1420.0</v>
      </c>
      <c r="AN6" s="5">
        <v>-34.10752688172043</v>
      </c>
      <c r="AO6" s="5">
        <v>11.899133175728927</v>
      </c>
      <c r="AP6" s="5">
        <v>2.3134977615730605</v>
      </c>
      <c r="AQ6" s="5">
        <v>-2.728651008689298</v>
      </c>
      <c r="AR6" s="5">
        <v>-0.4943885134173098</v>
      </c>
      <c r="AS6" s="5" t="s">
        <v>61</v>
      </c>
      <c r="AT6" s="5">
        <v>2025.0</v>
      </c>
      <c r="AU6" s="5">
        <v>2024.0</v>
      </c>
      <c r="AV6" s="5">
        <v>2025.0</v>
      </c>
      <c r="AW6" s="5">
        <v>2026.0</v>
      </c>
      <c r="AX6" s="9" t="b">
        <v>1</v>
      </c>
      <c r="AY6" s="5">
        <v>2.0</v>
      </c>
      <c r="AZ6" s="5">
        <v>1.0</v>
      </c>
      <c r="BA6" s="5">
        <v>9.0</v>
      </c>
      <c r="BB6" s="5">
        <v>6.0</v>
      </c>
    </row>
    <row r="7">
      <c r="A7" s="5">
        <v>6.0</v>
      </c>
      <c r="B7" s="5">
        <v>20262.0</v>
      </c>
      <c r="C7" s="5">
        <v>10401.898854973932</v>
      </c>
      <c r="D7" s="5">
        <v>8192.64608455164</v>
      </c>
      <c r="E7" s="5">
        <v>7.665144224355713</v>
      </c>
      <c r="F7" s="5">
        <v>3.3788700201748094</v>
      </c>
      <c r="G7" s="5">
        <v>-10.780714624524354</v>
      </c>
      <c r="H7" s="5">
        <v>2.2291938479605644</v>
      </c>
      <c r="I7" s="5">
        <v>1.4904394167867419</v>
      </c>
      <c r="J7" s="5">
        <v>-10.731231054647914</v>
      </c>
      <c r="K7" s="5">
        <v>26.966290837195352</v>
      </c>
      <c r="L7" s="9" t="b">
        <v>0</v>
      </c>
      <c r="N7" s="5">
        <v>21.730710365489703</v>
      </c>
      <c r="O7" s="5">
        <v>-17.532161300786274</v>
      </c>
      <c r="P7" s="5">
        <v>34.436147236832994</v>
      </c>
      <c r="Q7" s="5">
        <v>9008.73</v>
      </c>
      <c r="R7" s="5">
        <v>9900.424621027254</v>
      </c>
      <c r="S7" s="5">
        <v>8111.766150731651</v>
      </c>
      <c r="T7" s="5">
        <v>0.9099336992947346</v>
      </c>
      <c r="U7" s="5">
        <v>1.1105756542534755</v>
      </c>
      <c r="V7" s="5">
        <v>4.659118830127662</v>
      </c>
      <c r="W7" s="5">
        <v>6.050282420577724</v>
      </c>
      <c r="X7" s="5">
        <v>4.800923444509131</v>
      </c>
      <c r="Y7" s="5">
        <v>3.426148897814918</v>
      </c>
      <c r="Z7" s="5">
        <v>9.683723002859956</v>
      </c>
      <c r="AA7" s="5">
        <v>0.9504204671629376</v>
      </c>
      <c r="AB7" s="5">
        <v>1.1634442014935145</v>
      </c>
      <c r="AC7" s="5">
        <v>2227.0</v>
      </c>
      <c r="AD7" s="5">
        <v>12.289540921908713</v>
      </c>
      <c r="AG7" s="5">
        <v>51.047148630444546</v>
      </c>
      <c r="AH7" s="5">
        <v>1120.0</v>
      </c>
      <c r="AI7" s="5">
        <v>6.2328180128440565</v>
      </c>
      <c r="AJ7" s="5">
        <v>1045.0</v>
      </c>
      <c r="AK7" s="5">
        <v>5.815441806626821</v>
      </c>
      <c r="AL7" s="5">
        <v>785.0</v>
      </c>
      <c r="AM7" s="5">
        <v>493.0</v>
      </c>
      <c r="AN7" s="5">
        <v>56.37450199203187</v>
      </c>
      <c r="AO7" s="5">
        <v>-16.013628620102217</v>
      </c>
      <c r="AP7" s="5">
        <v>5.235580471705649</v>
      </c>
      <c r="AQ7" s="5">
        <v>-4.259879628756158</v>
      </c>
      <c r="AR7" s="5">
        <v>-4.54414119492551</v>
      </c>
      <c r="AS7" s="5" t="s">
        <v>61</v>
      </c>
      <c r="AT7" s="5">
        <v>2025.0</v>
      </c>
      <c r="AU7" s="5">
        <v>2024.0</v>
      </c>
      <c r="AV7" s="5">
        <v>2025.0</v>
      </c>
      <c r="AW7" s="5">
        <v>2026.0</v>
      </c>
      <c r="AX7" s="9" t="b">
        <v>0</v>
      </c>
      <c r="AY7" s="5">
        <v>3.0</v>
      </c>
      <c r="AZ7" s="5">
        <v>5.0</v>
      </c>
      <c r="BA7" s="5">
        <v>13.0</v>
      </c>
      <c r="BB7" s="5">
        <v>8.0</v>
      </c>
    </row>
    <row r="8">
      <c r="A8" s="5">
        <v>7.0</v>
      </c>
      <c r="B8" s="5">
        <v>20262.0</v>
      </c>
      <c r="C8" s="5">
        <v>15922.87703568673</v>
      </c>
      <c r="D8" s="5">
        <v>14791.950641039952</v>
      </c>
      <c r="E8" s="5">
        <v>1.4105936680913533</v>
      </c>
      <c r="F8" s="5">
        <v>-0.48398421295795346</v>
      </c>
      <c r="G8" s="5">
        <v>-14.05194103021966</v>
      </c>
      <c r="H8" s="5">
        <v>-1.1093815996230938</v>
      </c>
      <c r="I8" s="5">
        <v>-1.0848290420177626</v>
      </c>
      <c r="J8" s="5">
        <v>-15.534469960351664</v>
      </c>
      <c r="K8" s="5">
        <v>7.6455527880754826</v>
      </c>
      <c r="L8" s="9" t="b">
        <v>0</v>
      </c>
      <c r="N8" s="5">
        <v>4.845912663875451</v>
      </c>
      <c r="O8" s="5">
        <v>-3.012403427512955</v>
      </c>
      <c r="P8" s="5">
        <v>38.30479080970848</v>
      </c>
      <c r="Q8" s="5">
        <v>11419.23</v>
      </c>
      <c r="R8" s="5">
        <v>15644.821075091553</v>
      </c>
      <c r="S8" s="5">
        <v>14999.031413066234</v>
      </c>
      <c r="T8" s="5">
        <v>0.7299048001373947</v>
      </c>
      <c r="U8" s="5">
        <v>0.761331161027656</v>
      </c>
      <c r="V8" s="5">
        <v>7.544283906320959</v>
      </c>
      <c r="W8" s="5">
        <v>7.072090533856534</v>
      </c>
      <c r="X8" s="5">
        <v>1.5563711580962147</v>
      </c>
      <c r="Y8" s="5">
        <v>2.004239927196494</v>
      </c>
      <c r="Z8" s="5">
        <v>9.218072123220056</v>
      </c>
      <c r="AA8" s="5">
        <v>0.7539180086887678</v>
      </c>
      <c r="AB8" s="5">
        <v>0.7644935794037243</v>
      </c>
      <c r="AC8" s="5">
        <v>15120.0</v>
      </c>
      <c r="AD8" s="5">
        <v>18.721119701254516</v>
      </c>
      <c r="AE8" s="5">
        <v>14770.0</v>
      </c>
      <c r="AF8" s="5">
        <v>18.28776044891066</v>
      </c>
      <c r="AG8" s="5">
        <v>52.23219576719577</v>
      </c>
      <c r="AH8" s="5">
        <v>7962.0</v>
      </c>
      <c r="AI8" s="5">
        <v>9.82247498735489</v>
      </c>
      <c r="AJ8" s="5">
        <v>7946.0</v>
      </c>
      <c r="AK8" s="5">
        <v>9.802736278513182</v>
      </c>
      <c r="AL8" s="5">
        <v>3573.0</v>
      </c>
      <c r="AM8" s="5">
        <v>4501.0</v>
      </c>
      <c r="AN8" s="5">
        <v>-33.99224090153334</v>
      </c>
      <c r="AO8" s="5">
        <v>64.81142438667156</v>
      </c>
      <c r="AP8" s="5">
        <v>2.7996401242000317</v>
      </c>
      <c r="AQ8" s="5">
        <v>-3.185122025820486</v>
      </c>
      <c r="AR8" s="5">
        <v>-0.41366186208324773</v>
      </c>
      <c r="AS8" s="5" t="s">
        <v>61</v>
      </c>
      <c r="AT8" s="5">
        <v>2025.0</v>
      </c>
      <c r="AU8" s="5">
        <v>2024.0</v>
      </c>
      <c r="AV8" s="5">
        <v>2025.0</v>
      </c>
      <c r="AW8" s="5">
        <v>2026.0</v>
      </c>
      <c r="AX8" s="9" t="b">
        <v>0</v>
      </c>
      <c r="AY8" s="5">
        <v>16.0</v>
      </c>
      <c r="AZ8" s="5">
        <v>16.0</v>
      </c>
      <c r="BA8" s="5">
        <v>6.0</v>
      </c>
      <c r="BB8" s="5">
        <v>2.0</v>
      </c>
    </row>
    <row r="9">
      <c r="A9" s="5">
        <v>8.0</v>
      </c>
      <c r="B9" s="5">
        <v>20262.0</v>
      </c>
      <c r="C9" s="5">
        <v>10889.14</v>
      </c>
      <c r="D9" s="5">
        <v>10219.03</v>
      </c>
      <c r="E9" s="5">
        <v>-0.8114248029279736</v>
      </c>
      <c r="F9" s="5">
        <v>0.04319419190045859</v>
      </c>
      <c r="G9" s="5">
        <v>-10.281055412120581</v>
      </c>
      <c r="H9" s="5">
        <v>2.049675547096097</v>
      </c>
      <c r="I9" s="5">
        <v>1.9584293507102057</v>
      </c>
      <c r="J9" s="5">
        <v>-9.894700734159189</v>
      </c>
      <c r="K9" s="5">
        <v>6.557471697411588</v>
      </c>
      <c r="L9" s="9" t="b">
        <v>0</v>
      </c>
      <c r="N9" s="5">
        <v>6.519461320924536</v>
      </c>
      <c r="O9" s="5">
        <v>-11.502859799106691</v>
      </c>
      <c r="P9" s="5">
        <v>18.921888046415546</v>
      </c>
      <c r="Q9" s="5">
        <v>9288.09</v>
      </c>
      <c r="R9" s="5">
        <v>11002.3125</v>
      </c>
      <c r="S9" s="5">
        <v>10021.665</v>
      </c>
      <c r="T9" s="5">
        <v>0.8441943455069105</v>
      </c>
      <c r="U9" s="5">
        <v>0.926801085448376</v>
      </c>
      <c r="V9" s="5">
        <v>5.441237963174994</v>
      </c>
      <c r="W9" s="5">
        <v>4.092589092696719</v>
      </c>
      <c r="X9" s="5">
        <v>3.541626278235044</v>
      </c>
      <c r="Y9" s="5">
        <v>4.883136740649152</v>
      </c>
      <c r="Z9" s="5">
        <v>9.175572554975165</v>
      </c>
      <c r="AA9" s="5">
        <v>0.8473803021868734</v>
      </c>
      <c r="AB9" s="5">
        <v>0.9029841314641631</v>
      </c>
      <c r="AC9" s="5">
        <v>5644.0</v>
      </c>
      <c r="AD9" s="5">
        <v>17.161900823430678</v>
      </c>
      <c r="AG9" s="5">
        <v>50.998051027639974</v>
      </c>
      <c r="AH9" s="5">
        <v>2155.0</v>
      </c>
      <c r="AI9" s="5">
        <v>6.582484177601837</v>
      </c>
      <c r="AJ9" s="5">
        <v>2907.0</v>
      </c>
      <c r="AK9" s="5">
        <v>8.879480976468</v>
      </c>
      <c r="AL9" s="5">
        <v>1433.0</v>
      </c>
      <c r="AM9" s="5">
        <v>1433.0</v>
      </c>
      <c r="AN9" s="5">
        <v>10.999225406661495</v>
      </c>
      <c r="AO9" s="5">
        <v>53.426124197002146</v>
      </c>
      <c r="AP9" s="5">
        <v>0.03801037648705208</v>
      </c>
      <c r="AQ9" s="5">
        <v>-0.37597719368042126</v>
      </c>
      <c r="AR9" s="5">
        <v>2.637582782943748</v>
      </c>
      <c r="AS9" s="5" t="s">
        <v>61</v>
      </c>
      <c r="AT9" s="5">
        <v>2025.0</v>
      </c>
      <c r="AU9" s="5">
        <v>2024.0</v>
      </c>
      <c r="AV9" s="5">
        <v>2025.0</v>
      </c>
      <c r="AW9" s="5">
        <v>2026.0</v>
      </c>
      <c r="AX9" s="9" t="b">
        <v>0</v>
      </c>
      <c r="AY9" s="5">
        <v>10.0</v>
      </c>
      <c r="AZ9" s="5">
        <v>11.0</v>
      </c>
      <c r="BA9" s="5">
        <v>8.0</v>
      </c>
      <c r="BB9" s="5">
        <v>12.0</v>
      </c>
    </row>
    <row r="10">
      <c r="A10" s="5">
        <v>9.0</v>
      </c>
      <c r="B10" s="5">
        <v>20262.0</v>
      </c>
      <c r="C10" s="5">
        <v>10680.51</v>
      </c>
      <c r="D10" s="5">
        <v>8940.509</v>
      </c>
      <c r="E10" s="5">
        <v>6.849218042129612</v>
      </c>
      <c r="F10" s="5">
        <v>8.904325611270137</v>
      </c>
      <c r="G10" s="5">
        <v>0.27523845635089117</v>
      </c>
      <c r="H10" s="5">
        <v>5.276675255137153</v>
      </c>
      <c r="I10" s="5">
        <v>3.869364056442958</v>
      </c>
      <c r="J10" s="5">
        <v>-6.805902819792541</v>
      </c>
      <c r="K10" s="5">
        <v>19.461990363188498</v>
      </c>
      <c r="L10" s="9" t="b">
        <v>0</v>
      </c>
      <c r="N10" s="5">
        <v>12.030250984180146</v>
      </c>
      <c r="O10" s="5">
        <v>-29.79813260493782</v>
      </c>
      <c r="P10" s="5">
        <v>28.917278780489486</v>
      </c>
      <c r="Q10" s="5">
        <v>9304.52</v>
      </c>
      <c r="R10" s="5">
        <v>10043.432499999999</v>
      </c>
      <c r="S10" s="5">
        <v>8614.25375</v>
      </c>
      <c r="T10" s="5">
        <v>0.9264282903280329</v>
      </c>
      <c r="U10" s="5">
        <v>1.0801307077818552</v>
      </c>
      <c r="V10" s="5">
        <v>-1.3537492974327825</v>
      </c>
      <c r="W10" s="5">
        <v>2.9348263481466796</v>
      </c>
      <c r="X10" s="5">
        <v>9.507106493092143</v>
      </c>
      <c r="Y10" s="5">
        <v>4.944709813704273</v>
      </c>
      <c r="Z10" s="5">
        <v>8.024654808302945</v>
      </c>
      <c r="AA10" s="5">
        <v>0.8640965310550939</v>
      </c>
      <c r="AB10" s="5">
        <v>0.9814745917912882</v>
      </c>
      <c r="AC10" s="5">
        <v>2646.0</v>
      </c>
      <c r="AD10" s="5">
        <v>15.873111093780933</v>
      </c>
      <c r="AE10" s="5">
        <v>2696.0</v>
      </c>
      <c r="AF10" s="5">
        <v>16.173056503716325</v>
      </c>
      <c r="AG10" s="5">
        <v>51.58730158730159</v>
      </c>
      <c r="AH10" s="5">
        <v>1092.0</v>
      </c>
      <c r="AI10" s="5">
        <v>6.584064393596816</v>
      </c>
      <c r="AJ10" s="5">
        <v>600.0</v>
      </c>
      <c r="AK10" s="5">
        <v>3.6176177986795697</v>
      </c>
      <c r="AL10" s="5">
        <v>336.0</v>
      </c>
      <c r="AM10" s="5">
        <v>778.0</v>
      </c>
      <c r="AN10" s="5">
        <v>-50.14836795252226</v>
      </c>
      <c r="AO10" s="5">
        <v>298.974358974359</v>
      </c>
      <c r="AP10" s="5">
        <v>7.431739379008352</v>
      </c>
      <c r="AQ10" s="5">
        <v>7.213518054149537</v>
      </c>
      <c r="AR10" s="5">
        <v>10.051825774777301</v>
      </c>
      <c r="AS10" s="5" t="s">
        <v>61</v>
      </c>
      <c r="AT10" s="5">
        <v>2025.0</v>
      </c>
      <c r="AU10" s="5">
        <v>2024.0</v>
      </c>
      <c r="AV10" s="5">
        <v>2025.0</v>
      </c>
      <c r="AW10" s="5">
        <v>2026.0</v>
      </c>
      <c r="AX10" s="9" t="b">
        <v>0</v>
      </c>
      <c r="AY10" s="5">
        <v>6.0</v>
      </c>
      <c r="AZ10" s="5">
        <v>6.0</v>
      </c>
      <c r="BA10" s="5">
        <v>15.0</v>
      </c>
      <c r="BB10" s="5">
        <v>14.0</v>
      </c>
    </row>
    <row r="11">
      <c r="A11" s="5">
        <v>10.0</v>
      </c>
      <c r="B11" s="5">
        <v>20262.0</v>
      </c>
      <c r="C11" s="5">
        <v>11624.601331814729</v>
      </c>
      <c r="D11" s="5">
        <v>9215.276557318051</v>
      </c>
      <c r="E11" s="5">
        <v>5.3213775635692295</v>
      </c>
      <c r="F11" s="5">
        <v>3.792539579392881</v>
      </c>
      <c r="G11" s="5">
        <v>-5.879315251728371</v>
      </c>
      <c r="H11" s="5">
        <v>5.358730216408647</v>
      </c>
      <c r="I11" s="5">
        <v>3.889997785065991</v>
      </c>
      <c r="J11" s="5">
        <v>-8.3784712256308</v>
      </c>
      <c r="K11" s="5">
        <v>26.1448992823051</v>
      </c>
      <c r="L11" s="9" t="b">
        <v>0</v>
      </c>
      <c r="N11" s="5">
        <v>15.514616539844916</v>
      </c>
      <c r="O11" s="5">
        <v>-14.369935875729823</v>
      </c>
      <c r="P11" s="5">
        <v>30.892218500212575</v>
      </c>
      <c r="Q11" s="5">
        <v>9465.22</v>
      </c>
      <c r="R11" s="5">
        <v>11166.635889473753</v>
      </c>
      <c r="S11" s="5">
        <v>8880.864916275761</v>
      </c>
      <c r="T11" s="5">
        <v>0.8476339780114442</v>
      </c>
      <c r="U11" s="5">
        <v>1.0657993437838813</v>
      </c>
      <c r="V11" s="5">
        <v>2.930033064929649</v>
      </c>
      <c r="W11" s="5">
        <v>4.972357740382072</v>
      </c>
      <c r="X11" s="5">
        <v>7.376289406645653</v>
      </c>
      <c r="Y11" s="5">
        <v>5.287194237838633</v>
      </c>
      <c r="Z11" s="5">
        <v>10.52245019015492</v>
      </c>
      <c r="AA11" s="5">
        <v>0.9470660819146446</v>
      </c>
      <c r="AB11" s="5">
        <v>1.0476435565926834</v>
      </c>
      <c r="AC11" s="5">
        <v>1500.0</v>
      </c>
      <c r="AD11" s="5">
        <v>11.922551108002416</v>
      </c>
      <c r="AE11" s="5">
        <v>1499.0</v>
      </c>
      <c r="AF11" s="5">
        <v>11.914602740597081</v>
      </c>
      <c r="AG11" s="5">
        <v>53.37466666666667</v>
      </c>
      <c r="AH11" s="5">
        <v>686.0</v>
      </c>
      <c r="AI11" s="5">
        <v>5.48383228746153</v>
      </c>
      <c r="AJ11" s="5">
        <v>365.0</v>
      </c>
      <c r="AK11" s="5">
        <v>2.9177824853111636</v>
      </c>
      <c r="AL11" s="5">
        <v>277.0</v>
      </c>
      <c r="AM11" s="5">
        <v>323.0</v>
      </c>
      <c r="AN11" s="5">
        <v>53.8888888888889</v>
      </c>
      <c r="AO11" s="5">
        <v>95.75757575757575</v>
      </c>
      <c r="AP11" s="5">
        <v>10.630282742460185</v>
      </c>
      <c r="AQ11" s="5">
        <v>-10.498961561603238</v>
      </c>
      <c r="AR11" s="5">
        <v>1.7330118700149333</v>
      </c>
      <c r="AS11" s="5" t="s">
        <v>61</v>
      </c>
      <c r="AT11" s="5">
        <v>2025.0</v>
      </c>
      <c r="AU11" s="5">
        <v>2024.0</v>
      </c>
      <c r="AV11" s="5">
        <v>2025.0</v>
      </c>
      <c r="AW11" s="5">
        <v>2026.0</v>
      </c>
      <c r="AX11" s="9" t="b">
        <v>0</v>
      </c>
      <c r="AY11" s="5">
        <v>7.0</v>
      </c>
      <c r="AZ11" s="5">
        <v>8.0</v>
      </c>
      <c r="BA11" s="5">
        <v>17.0</v>
      </c>
      <c r="BB11" s="5">
        <v>15.0</v>
      </c>
    </row>
    <row r="12">
      <c r="A12" s="5">
        <v>11.0</v>
      </c>
      <c r="B12" s="5">
        <v>20262.0</v>
      </c>
      <c r="C12" s="5">
        <v>12765.858702352003</v>
      </c>
      <c r="D12" s="5">
        <v>10890.791565790669</v>
      </c>
      <c r="E12" s="5">
        <v>2.4374453224200066</v>
      </c>
      <c r="F12" s="5">
        <v>1.824535002648986</v>
      </c>
      <c r="G12" s="5">
        <v>-6.210366067828415</v>
      </c>
      <c r="H12" s="5">
        <v>0.09464820730631374</v>
      </c>
      <c r="I12" s="5">
        <v>1.6999744173456122</v>
      </c>
      <c r="J12" s="5">
        <v>-9.137328754460256</v>
      </c>
      <c r="K12" s="5">
        <v>17.216995892669118</v>
      </c>
      <c r="L12" s="9" t="b">
        <v>0</v>
      </c>
      <c r="N12" s="5">
        <v>17.325584488684378</v>
      </c>
      <c r="O12" s="5">
        <v>-6.02971493240807</v>
      </c>
      <c r="P12" s="5">
        <v>50.975229117693324</v>
      </c>
      <c r="Q12" s="5">
        <v>10294.78</v>
      </c>
      <c r="R12" s="5">
        <v>12441.147141432131</v>
      </c>
      <c r="S12" s="5">
        <v>10931.781536543083</v>
      </c>
      <c r="T12" s="5">
        <v>0.8274783573385937</v>
      </c>
      <c r="U12" s="5">
        <v>0.9417293938399981</v>
      </c>
      <c r="V12" s="5">
        <v>6.277302645875449</v>
      </c>
      <c r="W12" s="5">
        <v>3.82675534250847</v>
      </c>
      <c r="X12" s="5">
        <v>2.0183689911829727</v>
      </c>
      <c r="Y12" s="5">
        <v>4.426234268302798</v>
      </c>
      <c r="Z12" s="5">
        <v>8.422370767145493</v>
      </c>
      <c r="AA12" s="5">
        <v>0.7979140304211475</v>
      </c>
      <c r="AB12" s="5">
        <v>0.9011224552179861</v>
      </c>
      <c r="AC12" s="5">
        <v>9744.0</v>
      </c>
      <c r="AD12" s="5">
        <v>18.151403268891876</v>
      </c>
      <c r="AE12" s="5">
        <v>9583.0</v>
      </c>
      <c r="AF12" s="5">
        <v>17.851487841316796</v>
      </c>
      <c r="AG12" s="5">
        <v>52.88375410509032</v>
      </c>
      <c r="AH12" s="5">
        <v>3130.0</v>
      </c>
      <c r="AI12" s="5">
        <v>5.851418828856281</v>
      </c>
      <c r="AJ12" s="5">
        <v>5608.0</v>
      </c>
      <c r="AK12" s="5">
        <v>10.48394785694122</v>
      </c>
      <c r="AL12" s="5">
        <v>2515.0</v>
      </c>
      <c r="AM12" s="5">
        <v>2319.0</v>
      </c>
      <c r="AN12" s="5">
        <v>31.813417190775684</v>
      </c>
      <c r="AO12" s="5">
        <v>29.48073701842546</v>
      </c>
      <c r="AP12" s="5">
        <v>-0.1085885960152595</v>
      </c>
      <c r="AQ12" s="5">
        <v>3.7052020380994977</v>
      </c>
      <c r="AR12" s="5">
        <v>4.506261983249438</v>
      </c>
      <c r="AS12" s="5" t="s">
        <v>61</v>
      </c>
      <c r="AT12" s="5">
        <v>2025.0</v>
      </c>
      <c r="AU12" s="5">
        <v>2024.0</v>
      </c>
      <c r="AV12" s="5">
        <v>2025.0</v>
      </c>
      <c r="AW12" s="5">
        <v>2026.0</v>
      </c>
      <c r="AX12" s="9" t="b">
        <v>1</v>
      </c>
      <c r="AY12" s="5">
        <v>11.0</v>
      </c>
      <c r="AZ12" s="5">
        <v>10.0</v>
      </c>
      <c r="BA12" s="5">
        <v>5.0</v>
      </c>
      <c r="BB12" s="5">
        <v>10.0</v>
      </c>
    </row>
    <row r="13">
      <c r="A13" s="5">
        <v>12.0</v>
      </c>
      <c r="B13" s="5">
        <v>20262.0</v>
      </c>
      <c r="C13" s="5">
        <v>10329.0212314799</v>
      </c>
      <c r="D13" s="5">
        <v>10973.993865217552</v>
      </c>
      <c r="E13" s="5">
        <v>-3.994030524665093</v>
      </c>
      <c r="F13" s="5">
        <v>1.3220908704518013</v>
      </c>
      <c r="G13" s="5">
        <v>-8.392935722984543</v>
      </c>
      <c r="H13" s="5">
        <v>2.3645890266279945</v>
      </c>
      <c r="I13" s="5">
        <v>1.9723634811573882</v>
      </c>
      <c r="J13" s="5">
        <v>-12.982477243128166</v>
      </c>
      <c r="K13" s="5">
        <v>-5.877282616148671</v>
      </c>
      <c r="L13" s="9" t="b">
        <v>0</v>
      </c>
      <c r="N13" s="5">
        <v>-0.09752963953723603</v>
      </c>
      <c r="O13" s="5">
        <v>-12.874421439795125</v>
      </c>
      <c r="P13" s="5">
        <v>12.005769717772852</v>
      </c>
      <c r="Q13" s="5">
        <v>9537.56</v>
      </c>
      <c r="R13" s="5">
        <v>10344.723525998546</v>
      </c>
      <c r="S13" s="5">
        <v>10664.115387247004</v>
      </c>
      <c r="T13" s="5">
        <v>0.9219734076053392</v>
      </c>
      <c r="U13" s="5">
        <v>0.8943601652515661</v>
      </c>
      <c r="V13" s="5">
        <v>4.410232298005035</v>
      </c>
      <c r="W13" s="5">
        <v>3.5384548092972423</v>
      </c>
      <c r="X13" s="5">
        <v>5.232522279264851</v>
      </c>
      <c r="Y13" s="5">
        <v>6.1185635493608</v>
      </c>
      <c r="Z13" s="5">
        <v>9.873520964830318</v>
      </c>
      <c r="AA13" s="5">
        <v>0.9094925797565094</v>
      </c>
      <c r="AB13" s="5">
        <v>0.9342335621391864</v>
      </c>
      <c r="AC13" s="5">
        <v>3574.0</v>
      </c>
      <c r="AD13" s="5">
        <v>18.07734717206357</v>
      </c>
      <c r="AG13" s="5">
        <v>53.0376329043089</v>
      </c>
      <c r="AH13" s="5">
        <v>1824.0</v>
      </c>
      <c r="AI13" s="5">
        <v>9.187065578724692</v>
      </c>
      <c r="AJ13" s="5">
        <v>3097.0</v>
      </c>
      <c r="AK13" s="5">
        <v>15.598871763876298</v>
      </c>
      <c r="AL13" s="5">
        <v>1942.0</v>
      </c>
      <c r="AM13" s="5">
        <v>1526.0</v>
      </c>
      <c r="AN13" s="5">
        <v>75.90579710144927</v>
      </c>
      <c r="AO13" s="5">
        <v>-10.968494749124858</v>
      </c>
      <c r="AP13" s="5">
        <v>-5.779752976611435</v>
      </c>
      <c r="AQ13" s="5">
        <v>1.3722847361955504</v>
      </c>
      <c r="AR13" s="5">
        <v>-4.268033016959816</v>
      </c>
      <c r="AS13" s="5" t="s">
        <v>61</v>
      </c>
      <c r="AT13" s="5">
        <v>2025.0</v>
      </c>
      <c r="AU13" s="5">
        <v>2024.0</v>
      </c>
      <c r="AV13" s="5">
        <v>2025.0</v>
      </c>
      <c r="AW13" s="5">
        <v>2026.0</v>
      </c>
      <c r="AX13" s="9" t="b">
        <v>1</v>
      </c>
      <c r="AY13" s="5">
        <v>12.0</v>
      </c>
      <c r="AZ13" s="5">
        <v>12.0</v>
      </c>
      <c r="BA13" s="5">
        <v>1.0</v>
      </c>
      <c r="BB13" s="5">
        <v>13.0</v>
      </c>
    </row>
    <row r="14">
      <c r="A14" s="5">
        <v>13.0</v>
      </c>
      <c r="B14" s="5">
        <v>20262.0</v>
      </c>
      <c r="C14" s="5">
        <v>11427.47020676481</v>
      </c>
      <c r="D14" s="5">
        <v>9363.216333634064</v>
      </c>
      <c r="E14" s="5">
        <v>-1.9058343137681844</v>
      </c>
      <c r="F14" s="5">
        <v>-2.3432433648906237</v>
      </c>
      <c r="G14" s="5">
        <v>-6.904590105488204</v>
      </c>
      <c r="H14" s="5">
        <v>1.719485539179999</v>
      </c>
      <c r="I14" s="5">
        <v>1.4283438671086484</v>
      </c>
      <c r="J14" s="5">
        <v>-7.215341769064654</v>
      </c>
      <c r="K14" s="5">
        <v>22.046418661882683</v>
      </c>
      <c r="L14" s="9" t="b">
        <v>0</v>
      </c>
      <c r="N14" s="5">
        <v>22.690182256053724</v>
      </c>
      <c r="O14" s="5">
        <v>2.7567427655553756</v>
      </c>
      <c r="P14" s="5">
        <v>49.51839221508108</v>
      </c>
      <c r="Q14" s="5">
        <v>9908.84</v>
      </c>
      <c r="R14" s="5">
        <v>11765.396546162168</v>
      </c>
      <c r="S14" s="5">
        <v>9265.109250137419</v>
      </c>
      <c r="T14" s="5">
        <v>0.8422019573349807</v>
      </c>
      <c r="U14" s="5">
        <v>1.0694790242061132</v>
      </c>
      <c r="V14" s="5">
        <v>11.012717121373928</v>
      </c>
      <c r="W14" s="5">
        <v>7.0384349120441225</v>
      </c>
      <c r="X14" s="5">
        <v>-1.3134793455530924</v>
      </c>
      <c r="Y14" s="5">
        <v>2.350700569445796</v>
      </c>
      <c r="Z14" s="5">
        <v>9.554588011047404</v>
      </c>
      <c r="AA14" s="5">
        <v>0.8367336963364271</v>
      </c>
      <c r="AB14" s="5">
        <v>1.0237543897070753</v>
      </c>
      <c r="AC14" s="5">
        <v>2224.0</v>
      </c>
      <c r="AD14" s="5">
        <v>5.736394119164302</v>
      </c>
      <c r="AG14" s="5">
        <v>55.08408273381295</v>
      </c>
      <c r="AH14" s="5">
        <v>2109.0</v>
      </c>
      <c r="AI14" s="5">
        <v>5.475674917825931</v>
      </c>
      <c r="AJ14" s="5">
        <v>2380.0</v>
      </c>
      <c r="AK14" s="5">
        <v>6.179282268575494</v>
      </c>
      <c r="AL14" s="5">
        <v>2691.0</v>
      </c>
      <c r="AM14" s="5">
        <v>680.0</v>
      </c>
      <c r="AN14" s="5">
        <v>97.72226304188096</v>
      </c>
      <c r="AO14" s="5">
        <v>-29.240374609781483</v>
      </c>
      <c r="AP14" s="5">
        <v>-0.6437635941710411</v>
      </c>
      <c r="AQ14" s="5">
        <v>0.6535246545580575</v>
      </c>
      <c r="AR14" s="5">
        <v>4.466367613048372</v>
      </c>
      <c r="AS14" s="5" t="s">
        <v>61</v>
      </c>
      <c r="AT14" s="5">
        <v>2025.0</v>
      </c>
      <c r="AU14" s="5">
        <v>2024.0</v>
      </c>
      <c r="AV14" s="5">
        <v>2025.0</v>
      </c>
      <c r="AW14" s="5">
        <v>2026.0</v>
      </c>
      <c r="AX14" s="9" t="b">
        <v>0</v>
      </c>
      <c r="AY14" s="5">
        <v>8.0</v>
      </c>
      <c r="AZ14" s="5">
        <v>7.0</v>
      </c>
      <c r="BA14" s="5">
        <v>11.0</v>
      </c>
      <c r="BB14" s="5">
        <v>7.0</v>
      </c>
    </row>
    <row r="15">
      <c r="A15" s="5">
        <v>14.0</v>
      </c>
      <c r="B15" s="5">
        <v>20262.0</v>
      </c>
      <c r="C15" s="5">
        <v>16783.491477744396</v>
      </c>
      <c r="D15" s="5">
        <v>16722.656815563725</v>
      </c>
      <c r="E15" s="5">
        <v>2.4213366855434515</v>
      </c>
      <c r="F15" s="5">
        <v>0.6502965812836797</v>
      </c>
      <c r="G15" s="5">
        <v>-7.634686424989187</v>
      </c>
      <c r="H15" s="5">
        <v>1.305189821660191</v>
      </c>
      <c r="I15" s="5">
        <v>-0.8273864571873402</v>
      </c>
      <c r="J15" s="5">
        <v>-14.193608617018729</v>
      </c>
      <c r="K15" s="5">
        <v>0.3637858675904493</v>
      </c>
      <c r="L15" s="9" t="b">
        <v>0</v>
      </c>
      <c r="N15" s="5">
        <v>-0.25266953475229226</v>
      </c>
      <c r="O15" s="5">
        <v>-12.082684326856386</v>
      </c>
      <c r="P15" s="5">
        <v>5.918120098762292</v>
      </c>
      <c r="Q15" s="5">
        <v>11687.95</v>
      </c>
      <c r="R15" s="5">
        <v>16422.88993069854</v>
      </c>
      <c r="S15" s="5">
        <v>16598.227852904445</v>
      </c>
      <c r="T15" s="5">
        <v>0.7116865575620928</v>
      </c>
      <c r="U15" s="5">
        <v>0.7041685476052061</v>
      </c>
      <c r="V15" s="5">
        <v>7.5130632558705335</v>
      </c>
      <c r="W15" s="5">
        <v>7.340029560927497</v>
      </c>
      <c r="X15" s="5">
        <v>1.4577762126113614</v>
      </c>
      <c r="Y15" s="5">
        <v>1.621327629269076</v>
      </c>
      <c r="Z15" s="5">
        <v>9.08036311746443</v>
      </c>
      <c r="AA15" s="5">
        <v>0.7482068308454579</v>
      </c>
      <c r="AB15" s="5">
        <v>0.728802519300639</v>
      </c>
      <c r="AC15" s="5">
        <v>24395.0</v>
      </c>
      <c r="AD15" s="5">
        <v>13.098675796095579</v>
      </c>
      <c r="AE15" s="5">
        <v>24405.0</v>
      </c>
      <c r="AF15" s="5">
        <v>13.104045206137021</v>
      </c>
      <c r="AG15" s="5">
        <v>57.02746464439434</v>
      </c>
      <c r="AH15" s="5">
        <v>14399.0</v>
      </c>
      <c r="AI15" s="5">
        <v>7.724640363512488</v>
      </c>
      <c r="AJ15" s="5">
        <v>19844.0</v>
      </c>
      <c r="AK15" s="5">
        <v>10.64572285391637</v>
      </c>
      <c r="AL15" s="5">
        <v>6528.0</v>
      </c>
      <c r="AM15" s="5">
        <v>6867.0</v>
      </c>
      <c r="AN15" s="5">
        <v>-6.782807368270738</v>
      </c>
      <c r="AO15" s="5">
        <v>-17.26506024096386</v>
      </c>
      <c r="AP15" s="5">
        <v>0.6164554023427415</v>
      </c>
      <c r="AQ15" s="5">
        <v>-4.8810398111572955</v>
      </c>
      <c r="AR15" s="5">
        <v>-3.3800612707914013</v>
      </c>
      <c r="AS15" s="5" t="s">
        <v>61</v>
      </c>
      <c r="AT15" s="5">
        <v>2025.0</v>
      </c>
      <c r="AU15" s="5">
        <v>2024.0</v>
      </c>
      <c r="AV15" s="5">
        <v>2025.0</v>
      </c>
      <c r="AW15" s="5">
        <v>2026.0</v>
      </c>
      <c r="AX15" s="9" t="b">
        <v>0</v>
      </c>
      <c r="AY15" s="5">
        <v>17.0</v>
      </c>
      <c r="AZ15" s="5">
        <v>17.0</v>
      </c>
      <c r="BA15" s="5">
        <v>4.0</v>
      </c>
      <c r="BB15" s="5">
        <v>3.0</v>
      </c>
    </row>
    <row r="16">
      <c r="A16" s="5">
        <v>15.0</v>
      </c>
      <c r="B16" s="5">
        <v>20262.0</v>
      </c>
      <c r="C16" s="5">
        <v>14312.25383255804</v>
      </c>
      <c r="D16" s="5">
        <v>12589.78262918211</v>
      </c>
      <c r="E16" s="5">
        <v>-4.711998241241789</v>
      </c>
      <c r="F16" s="5">
        <v>-2.273132676660472</v>
      </c>
      <c r="G16" s="5">
        <v>-17.491447695024327</v>
      </c>
      <c r="H16" s="5">
        <v>-0.278989801324947</v>
      </c>
      <c r="I16" s="5">
        <v>-1.361128522965994</v>
      </c>
      <c r="J16" s="5">
        <v>-11.0918947386213</v>
      </c>
      <c r="K16" s="5">
        <v>13.681500738411323</v>
      </c>
      <c r="L16" s="9" t="b">
        <v>0</v>
      </c>
      <c r="N16" s="5">
        <v>8.3350317306905</v>
      </c>
      <c r="O16" s="5">
        <v>-26.411445570127746</v>
      </c>
      <c r="P16" s="5">
        <v>25.014636422804017</v>
      </c>
      <c r="Q16" s="5">
        <v>10155.68</v>
      </c>
      <c r="R16" s="5">
        <v>14466.830435140608</v>
      </c>
      <c r="S16" s="5">
        <v>12599.89713556861</v>
      </c>
      <c r="T16" s="5">
        <v>0.7019975830594778</v>
      </c>
      <c r="U16" s="5">
        <v>0.806012929369974</v>
      </c>
      <c r="V16" s="5">
        <v>2.858469594845392</v>
      </c>
      <c r="W16" s="5">
        <v>6.950048186753888</v>
      </c>
      <c r="X16" s="5">
        <v>4.755316004696297</v>
      </c>
      <c r="Y16" s="5">
        <v>0.7477010889462177</v>
      </c>
      <c r="Z16" s="5">
        <v>7.74971486167475</v>
      </c>
      <c r="AA16" s="5">
        <v>0.7738090781454087</v>
      </c>
      <c r="AB16" s="5">
        <v>0.8504198170877255</v>
      </c>
      <c r="AC16" s="5">
        <v>13194.0</v>
      </c>
      <c r="AD16" s="5">
        <v>19.589298785059633</v>
      </c>
      <c r="AE16" s="5">
        <v>13958.0</v>
      </c>
      <c r="AF16" s="5">
        <v>20.72361925434761</v>
      </c>
      <c r="AG16" s="5">
        <v>54.262460209185996</v>
      </c>
      <c r="AH16" s="5">
        <v>5009.0</v>
      </c>
      <c r="AI16" s="5">
        <v>7.4478287698220935</v>
      </c>
      <c r="AJ16" s="5">
        <v>7700.0</v>
      </c>
      <c r="AK16" s="5">
        <v>11.44904801909166</v>
      </c>
      <c r="AL16" s="5">
        <v>2657.0</v>
      </c>
      <c r="AM16" s="5">
        <v>3182.0</v>
      </c>
      <c r="AN16" s="5">
        <v>1.2190476190476085</v>
      </c>
      <c r="AO16" s="5">
        <v>-8.58948577994829</v>
      </c>
      <c r="AP16" s="5">
        <v>5.346469007720822</v>
      </c>
      <c r="AQ16" s="5">
        <v>-9.280260094394578</v>
      </c>
      <c r="AR16" s="5">
        <v>-5.221760691069443</v>
      </c>
      <c r="AS16" s="5" t="s">
        <v>61</v>
      </c>
      <c r="AT16" s="5">
        <v>2025.0</v>
      </c>
      <c r="AU16" s="5">
        <v>2024.0</v>
      </c>
      <c r="AV16" s="5">
        <v>2025.0</v>
      </c>
      <c r="AW16" s="5">
        <v>2026.0</v>
      </c>
      <c r="AX16" s="9" t="b">
        <v>1</v>
      </c>
      <c r="AY16" s="5">
        <v>14.0</v>
      </c>
      <c r="AZ16" s="5">
        <v>15.0</v>
      </c>
      <c r="BA16" s="5">
        <v>3.0</v>
      </c>
      <c r="BB16" s="5">
        <v>1.0</v>
      </c>
    </row>
    <row r="17">
      <c r="A17" s="5">
        <v>16.0</v>
      </c>
      <c r="B17" s="5">
        <v>20262.0</v>
      </c>
      <c r="C17" s="5">
        <v>9457.851066538282</v>
      </c>
      <c r="D17" s="5">
        <v>8633.38404450276</v>
      </c>
      <c r="E17" s="5">
        <v>-0.8196842914075964</v>
      </c>
      <c r="F17" s="5">
        <v>3.2157533113120427</v>
      </c>
      <c r="G17" s="5">
        <v>-12.551758618809837</v>
      </c>
      <c r="H17" s="5">
        <v>6.910833252187487</v>
      </c>
      <c r="I17" s="5">
        <v>7.749336576317848</v>
      </c>
      <c r="J17" s="5">
        <v>-4.999927611901144</v>
      </c>
      <c r="K17" s="5">
        <v>9.549754971927783</v>
      </c>
      <c r="L17" s="9" t="b">
        <v>0</v>
      </c>
      <c r="N17" s="5">
        <v>16.81475564066284</v>
      </c>
      <c r="O17" s="5">
        <v>2.253682426568271</v>
      </c>
      <c r="P17" s="5">
        <v>27.98576279685987</v>
      </c>
      <c r="Q17" s="5">
        <v>9302.48</v>
      </c>
      <c r="R17" s="5">
        <v>9350.753668551022</v>
      </c>
      <c r="S17" s="5">
        <v>8348.141081484864</v>
      </c>
      <c r="T17" s="5">
        <v>0.994837456929982</v>
      </c>
      <c r="U17" s="5">
        <v>1.1143175359879507</v>
      </c>
      <c r="V17" s="5">
        <v>-4.801238429315601</v>
      </c>
      <c r="W17" s="5">
        <v>-0.5291347238086441</v>
      </c>
      <c r="X17" s="5">
        <v>12.57753206806127</v>
      </c>
      <c r="Y17" s="5">
        <v>7.742519418182314</v>
      </c>
      <c r="Z17" s="5">
        <v>7.172416335634413</v>
      </c>
      <c r="AA17" s="5">
        <v>1.089495714126684</v>
      </c>
      <c r="AB17" s="5">
        <v>1.1731235309646562</v>
      </c>
      <c r="AC17" s="5">
        <v>1789.0</v>
      </c>
      <c r="AD17" s="5">
        <v>12.880975181262464</v>
      </c>
      <c r="AG17" s="5">
        <v>56.08205701509223</v>
      </c>
      <c r="AH17" s="5">
        <v>842.0</v>
      </c>
      <c r="AI17" s="5">
        <v>6.068031132891322</v>
      </c>
      <c r="AJ17" s="5">
        <v>1063.0</v>
      </c>
      <c r="AK17" s="5">
        <v>7.660709138080138</v>
      </c>
      <c r="AL17" s="5">
        <v>464.0</v>
      </c>
      <c r="AM17" s="5">
        <v>296.0</v>
      </c>
      <c r="AN17" s="5">
        <v>-17.290552584670227</v>
      </c>
      <c r="AO17" s="5">
        <v>-25.440806045340047</v>
      </c>
      <c r="AP17" s="5">
        <v>-7.2650006687350555</v>
      </c>
      <c r="AQ17" s="5">
        <v>-8.688263383631378</v>
      </c>
      <c r="AR17" s="5">
        <v>-5.012770899612717</v>
      </c>
      <c r="AS17" s="5" t="s">
        <v>61</v>
      </c>
      <c r="AT17" s="5">
        <v>2025.0</v>
      </c>
      <c r="AU17" s="5">
        <v>2024.0</v>
      </c>
      <c r="AV17" s="5">
        <v>2025.0</v>
      </c>
      <c r="AW17" s="5">
        <v>2026.0</v>
      </c>
      <c r="AX17" s="9" t="b">
        <v>0</v>
      </c>
      <c r="AY17" s="5">
        <v>5.0</v>
      </c>
      <c r="AZ17" s="5">
        <v>4.0</v>
      </c>
      <c r="BA17" s="5">
        <v>10.0</v>
      </c>
      <c r="BB17" s="5">
        <v>17.0</v>
      </c>
    </row>
    <row r="18">
      <c r="A18" s="5">
        <v>17.0</v>
      </c>
      <c r="B18" s="5">
        <v>20262.0</v>
      </c>
      <c r="C18" s="5">
        <v>9945.487212511169</v>
      </c>
      <c r="D18" s="5">
        <v>8019.663004462572</v>
      </c>
      <c r="E18" s="5">
        <v>-1.0520382827656993</v>
      </c>
      <c r="F18" s="5">
        <v>-1.3342872540208326</v>
      </c>
      <c r="G18" s="5">
        <v>-6.406273606707166</v>
      </c>
      <c r="H18" s="5">
        <v>-1.6521647086792601</v>
      </c>
      <c r="I18" s="5">
        <v>0.7208301244264073</v>
      </c>
      <c r="J18" s="5">
        <v>-9.349070431567807</v>
      </c>
      <c r="K18" s="5">
        <v>24.01377971838674</v>
      </c>
      <c r="L18" s="9" t="b">
        <v>0</v>
      </c>
      <c r="N18" s="5">
        <v>27.58618388006606</v>
      </c>
      <c r="O18" s="5">
        <v>13.04298987705872</v>
      </c>
      <c r="P18" s="5">
        <v>62.860374897088114</v>
      </c>
      <c r="Q18" s="5">
        <v>9374.53</v>
      </c>
      <c r="R18" s="5">
        <v>9844.45478867829</v>
      </c>
      <c r="S18" s="5">
        <v>8112.780073449537</v>
      </c>
      <c r="T18" s="5">
        <v>0.9522650264777761</v>
      </c>
      <c r="U18" s="5">
        <v>1.1555262086642477</v>
      </c>
      <c r="V18" s="5">
        <v>10.518096791326204</v>
      </c>
      <c r="W18" s="5">
        <v>4.579889794342962</v>
      </c>
      <c r="X18" s="5">
        <v>-1.617088062804528</v>
      </c>
      <c r="Y18" s="5">
        <v>3.9692449998703916</v>
      </c>
      <c r="Z18" s="5">
        <v>8.730921840874895</v>
      </c>
      <c r="AA18" s="5">
        <v>0.8849283912615964</v>
      </c>
      <c r="AB18" s="5">
        <v>1.0856448593538286</v>
      </c>
      <c r="AC18" s="5">
        <v>9633.0</v>
      </c>
      <c r="AD18" s="5">
        <v>14.849447596849753</v>
      </c>
      <c r="AE18" s="5">
        <v>9679.0</v>
      </c>
      <c r="AF18" s="5">
        <v>14.920357447307044</v>
      </c>
      <c r="AG18" s="5">
        <v>48.667891622547494</v>
      </c>
      <c r="AH18" s="5">
        <v>7520.0</v>
      </c>
      <c r="AI18" s="5">
        <v>11.702640875208143</v>
      </c>
      <c r="AJ18" s="5">
        <v>5792.0</v>
      </c>
      <c r="AK18" s="5">
        <v>9.01352339750074</v>
      </c>
      <c r="AL18" s="5">
        <v>3182.0</v>
      </c>
      <c r="AM18" s="5">
        <v>2602.0</v>
      </c>
      <c r="AN18" s="5">
        <v>-27.118644067796616</v>
      </c>
      <c r="AO18" s="5">
        <v>14.98011489173663</v>
      </c>
      <c r="AP18" s="5">
        <v>-3.5724041616793194</v>
      </c>
      <c r="AQ18" s="5">
        <v>7.609275042038299</v>
      </c>
      <c r="AR18" s="5">
        <v>6.436851674682287</v>
      </c>
      <c r="AS18" s="5" t="s">
        <v>61</v>
      </c>
      <c r="AT18" s="5">
        <v>2025.0</v>
      </c>
      <c r="AU18" s="5">
        <v>2024.0</v>
      </c>
      <c r="AV18" s="5">
        <v>2025.0</v>
      </c>
      <c r="AW18" s="5">
        <v>2026.0</v>
      </c>
      <c r="AX18" s="9" t="b">
        <v>1</v>
      </c>
      <c r="AY18" s="5">
        <v>1.0</v>
      </c>
      <c r="AZ18" s="5">
        <v>3.0</v>
      </c>
      <c r="BA18" s="5">
        <v>7.0</v>
      </c>
      <c r="BB18" s="5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4" width="15.0"/>
    <col customWidth="1" min="5" max="6" width="8.63"/>
  </cols>
  <sheetData>
    <row r="1" ht="33.75" customHeight="1">
      <c r="A1" s="1" t="s">
        <v>0</v>
      </c>
      <c r="B1" s="1" t="s">
        <v>131</v>
      </c>
      <c r="C1" s="1" t="s">
        <v>132</v>
      </c>
      <c r="D1" s="1" t="s">
        <v>133</v>
      </c>
    </row>
    <row r="2">
      <c r="A2" s="5">
        <v>1.0</v>
      </c>
      <c r="B2" s="5" t="s">
        <v>134</v>
      </c>
      <c r="C2" s="5" t="s">
        <v>135</v>
      </c>
      <c r="D2" s="5" t="s">
        <v>136</v>
      </c>
    </row>
    <row r="3">
      <c r="A3" s="5">
        <v>2.0</v>
      </c>
      <c r="B3" s="5" t="s">
        <v>137</v>
      </c>
      <c r="C3" s="5" t="s">
        <v>138</v>
      </c>
      <c r="D3" s="5" t="s">
        <v>139</v>
      </c>
    </row>
    <row r="4">
      <c r="A4" s="5">
        <v>3.0</v>
      </c>
      <c r="B4" s="5" t="s">
        <v>140</v>
      </c>
      <c r="C4" s="5" t="s">
        <v>141</v>
      </c>
      <c r="D4" s="5" t="s">
        <v>142</v>
      </c>
    </row>
    <row r="5">
      <c r="A5" s="5">
        <v>4.0</v>
      </c>
      <c r="B5" s="5" t="s">
        <v>143</v>
      </c>
      <c r="C5" s="5" t="s">
        <v>144</v>
      </c>
      <c r="D5" s="5" t="s">
        <v>145</v>
      </c>
    </row>
    <row r="6">
      <c r="A6" s="5">
        <v>5.0</v>
      </c>
      <c r="B6" s="5" t="s">
        <v>146</v>
      </c>
      <c r="C6" s="5" t="s">
        <v>147</v>
      </c>
      <c r="D6" s="5" t="s">
        <v>148</v>
      </c>
    </row>
    <row r="7">
      <c r="A7" s="5">
        <v>6.0</v>
      </c>
      <c r="B7" s="5" t="s">
        <v>149</v>
      </c>
      <c r="C7" s="5" t="s">
        <v>150</v>
      </c>
      <c r="D7" s="5" t="s">
        <v>151</v>
      </c>
    </row>
    <row r="8">
      <c r="A8" s="5">
        <v>7.0</v>
      </c>
      <c r="B8" s="5" t="s">
        <v>152</v>
      </c>
      <c r="C8" s="5" t="s">
        <v>153</v>
      </c>
      <c r="D8" s="5" t="s">
        <v>154</v>
      </c>
    </row>
    <row r="9">
      <c r="A9" s="5">
        <v>8.0</v>
      </c>
      <c r="B9" s="5" t="s">
        <v>155</v>
      </c>
      <c r="C9" s="5" t="s">
        <v>156</v>
      </c>
      <c r="D9" s="5" t="s">
        <v>157</v>
      </c>
    </row>
    <row r="10">
      <c r="A10" s="5">
        <v>9.0</v>
      </c>
      <c r="B10" s="5" t="s">
        <v>158</v>
      </c>
      <c r="C10" s="5" t="s">
        <v>159</v>
      </c>
      <c r="D10" s="5" t="s">
        <v>160</v>
      </c>
    </row>
    <row r="11">
      <c r="A11" s="5">
        <v>10.0</v>
      </c>
      <c r="B11" s="5" t="s">
        <v>161</v>
      </c>
      <c r="C11" s="5" t="s">
        <v>162</v>
      </c>
      <c r="D11" s="5" t="s">
        <v>163</v>
      </c>
    </row>
    <row r="12">
      <c r="A12" s="5">
        <v>11.0</v>
      </c>
      <c r="B12" s="5" t="s">
        <v>164</v>
      </c>
      <c r="C12" s="5" t="s">
        <v>165</v>
      </c>
      <c r="D12" s="5" t="s">
        <v>166</v>
      </c>
    </row>
    <row r="13">
      <c r="A13" s="5">
        <v>12.0</v>
      </c>
      <c r="B13" s="5" t="s">
        <v>167</v>
      </c>
      <c r="C13" s="5" t="s">
        <v>168</v>
      </c>
      <c r="D13" s="5" t="s">
        <v>169</v>
      </c>
    </row>
    <row r="14">
      <c r="A14" s="5">
        <v>13.0</v>
      </c>
      <c r="B14" s="5" t="s">
        <v>170</v>
      </c>
      <c r="C14" s="5" t="s">
        <v>171</v>
      </c>
      <c r="D14" s="5" t="s">
        <v>172</v>
      </c>
    </row>
    <row r="15">
      <c r="A15" s="5">
        <v>14.0</v>
      </c>
      <c r="B15" s="5" t="s">
        <v>173</v>
      </c>
      <c r="C15" s="5" t="s">
        <v>174</v>
      </c>
      <c r="D15" s="5" t="s">
        <v>175</v>
      </c>
    </row>
    <row r="16">
      <c r="A16" s="5">
        <v>15.0</v>
      </c>
      <c r="B16" s="5" t="s">
        <v>176</v>
      </c>
      <c r="C16" s="5" t="s">
        <v>177</v>
      </c>
      <c r="D16" s="5" t="s">
        <v>178</v>
      </c>
    </row>
    <row r="17">
      <c r="A17" s="5">
        <v>16.0</v>
      </c>
      <c r="B17" s="5" t="s">
        <v>179</v>
      </c>
      <c r="C17" s="5" t="s">
        <v>180</v>
      </c>
      <c r="D17" s="5" t="s">
        <v>181</v>
      </c>
    </row>
    <row r="18">
      <c r="A18" s="5">
        <v>17.0</v>
      </c>
      <c r="B18" s="5" t="s">
        <v>182</v>
      </c>
      <c r="C18" s="5" t="s">
        <v>183</v>
      </c>
      <c r="D18" s="5" t="s">
        <v>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4" width="15.0"/>
    <col customWidth="1" min="5" max="6" width="8.63"/>
  </cols>
  <sheetData>
    <row r="1" ht="33.75" customHeight="1">
      <c r="A1" s="1" t="s">
        <v>1</v>
      </c>
      <c r="B1" s="1" t="s">
        <v>186</v>
      </c>
      <c r="C1" s="1" t="s">
        <v>187</v>
      </c>
      <c r="D1" s="1" t="s">
        <v>188</v>
      </c>
    </row>
    <row r="2">
      <c r="A2" s="5">
        <v>20063.0</v>
      </c>
      <c r="B2" s="5" t="s">
        <v>189</v>
      </c>
      <c r="C2" s="5">
        <v>2006.0</v>
      </c>
      <c r="D2" s="5">
        <v>3.0</v>
      </c>
    </row>
    <row r="3">
      <c r="A3" s="5">
        <v>20064.0</v>
      </c>
      <c r="B3" s="5" t="s">
        <v>190</v>
      </c>
      <c r="C3" s="5">
        <v>2006.0</v>
      </c>
      <c r="D3" s="5">
        <v>4.0</v>
      </c>
    </row>
    <row r="4">
      <c r="A4" s="5">
        <v>20071.0</v>
      </c>
      <c r="B4" s="5" t="s">
        <v>191</v>
      </c>
      <c r="C4" s="5">
        <v>2007.0</v>
      </c>
      <c r="D4" s="5">
        <v>1.0</v>
      </c>
    </row>
    <row r="5">
      <c r="A5" s="5">
        <v>20072.0</v>
      </c>
      <c r="B5" s="5" t="s">
        <v>192</v>
      </c>
      <c r="C5" s="5">
        <v>2007.0</v>
      </c>
      <c r="D5" s="5">
        <v>2.0</v>
      </c>
    </row>
    <row r="6">
      <c r="A6" s="5">
        <v>20073.0</v>
      </c>
      <c r="B6" s="5" t="s">
        <v>193</v>
      </c>
      <c r="C6" s="5">
        <v>2007.0</v>
      </c>
      <c r="D6" s="5">
        <v>3.0</v>
      </c>
    </row>
    <row r="7">
      <c r="A7" s="5">
        <v>20074.0</v>
      </c>
      <c r="B7" s="5" t="s">
        <v>194</v>
      </c>
      <c r="C7" s="5">
        <v>2007.0</v>
      </c>
      <c r="D7" s="5">
        <v>4.0</v>
      </c>
    </row>
    <row r="8">
      <c r="A8" s="5">
        <v>20081.0</v>
      </c>
      <c r="B8" s="5" t="s">
        <v>195</v>
      </c>
      <c r="C8" s="5">
        <v>2008.0</v>
      </c>
      <c r="D8" s="5">
        <v>1.0</v>
      </c>
    </row>
    <row r="9">
      <c r="A9" s="5">
        <v>20082.0</v>
      </c>
      <c r="B9" s="5" t="s">
        <v>196</v>
      </c>
      <c r="C9" s="5">
        <v>2008.0</v>
      </c>
      <c r="D9" s="5">
        <v>2.0</v>
      </c>
    </row>
    <row r="10">
      <c r="A10" s="5">
        <v>20083.0</v>
      </c>
      <c r="B10" s="5" t="s">
        <v>197</v>
      </c>
      <c r="C10" s="5">
        <v>2008.0</v>
      </c>
      <c r="D10" s="5">
        <v>3.0</v>
      </c>
    </row>
    <row r="11">
      <c r="A11" s="5">
        <v>20084.0</v>
      </c>
      <c r="B11" s="5" t="s">
        <v>198</v>
      </c>
      <c r="C11" s="5">
        <v>2008.0</v>
      </c>
      <c r="D11" s="5">
        <v>4.0</v>
      </c>
    </row>
    <row r="12">
      <c r="A12" s="5">
        <v>20091.0</v>
      </c>
      <c r="B12" s="5" t="s">
        <v>199</v>
      </c>
      <c r="C12" s="5">
        <v>2009.0</v>
      </c>
      <c r="D12" s="5">
        <v>1.0</v>
      </c>
    </row>
    <row r="13">
      <c r="A13" s="5">
        <v>20092.0</v>
      </c>
      <c r="B13" s="5" t="s">
        <v>200</v>
      </c>
      <c r="C13" s="5">
        <v>2009.0</v>
      </c>
      <c r="D13" s="5">
        <v>2.0</v>
      </c>
    </row>
    <row r="14">
      <c r="A14" s="5">
        <v>20093.0</v>
      </c>
      <c r="B14" s="5" t="s">
        <v>201</v>
      </c>
      <c r="C14" s="5">
        <v>2009.0</v>
      </c>
      <c r="D14" s="5">
        <v>3.0</v>
      </c>
    </row>
    <row r="15">
      <c r="A15" s="5">
        <v>20094.0</v>
      </c>
      <c r="B15" s="5" t="s">
        <v>202</v>
      </c>
      <c r="C15" s="5">
        <v>2009.0</v>
      </c>
      <c r="D15" s="5">
        <v>4.0</v>
      </c>
    </row>
    <row r="16">
      <c r="A16" s="5">
        <v>20101.0</v>
      </c>
      <c r="B16" s="5" t="s">
        <v>203</v>
      </c>
      <c r="C16" s="5">
        <v>2010.0</v>
      </c>
      <c r="D16" s="5">
        <v>1.0</v>
      </c>
    </row>
    <row r="17">
      <c r="A17" s="5">
        <v>20102.0</v>
      </c>
      <c r="B17" s="5" t="s">
        <v>204</v>
      </c>
      <c r="C17" s="5">
        <v>2010.0</v>
      </c>
      <c r="D17" s="5">
        <v>2.0</v>
      </c>
    </row>
    <row r="18">
      <c r="A18" s="5">
        <v>20103.0</v>
      </c>
      <c r="B18" s="5" t="s">
        <v>205</v>
      </c>
      <c r="C18" s="5">
        <v>2010.0</v>
      </c>
      <c r="D18" s="5">
        <v>3.0</v>
      </c>
    </row>
    <row r="19">
      <c r="A19" s="5">
        <v>20104.0</v>
      </c>
      <c r="B19" s="5" t="s">
        <v>206</v>
      </c>
      <c r="C19" s="5">
        <v>2010.0</v>
      </c>
      <c r="D19" s="5">
        <v>4.0</v>
      </c>
    </row>
    <row r="20">
      <c r="A20" s="5">
        <v>20111.0</v>
      </c>
      <c r="B20" s="5" t="s">
        <v>207</v>
      </c>
      <c r="C20" s="5">
        <v>2011.0</v>
      </c>
      <c r="D20" s="5">
        <v>1.0</v>
      </c>
    </row>
    <row r="21" ht="15.75" customHeight="1">
      <c r="A21" s="5">
        <v>20112.0</v>
      </c>
      <c r="B21" s="5" t="s">
        <v>208</v>
      </c>
      <c r="C21" s="5">
        <v>2011.0</v>
      </c>
      <c r="D21" s="5">
        <v>2.0</v>
      </c>
    </row>
    <row r="22" ht="15.75" customHeight="1">
      <c r="A22" s="5">
        <v>20113.0</v>
      </c>
      <c r="B22" s="5" t="s">
        <v>209</v>
      </c>
      <c r="C22" s="5">
        <v>2011.0</v>
      </c>
      <c r="D22" s="5">
        <v>3.0</v>
      </c>
    </row>
    <row r="23" ht="15.75" customHeight="1">
      <c r="A23" s="5">
        <v>20114.0</v>
      </c>
      <c r="B23" s="5" t="s">
        <v>210</v>
      </c>
      <c r="C23" s="5">
        <v>2011.0</v>
      </c>
      <c r="D23" s="5">
        <v>4.0</v>
      </c>
    </row>
    <row r="24" ht="15.75" customHeight="1">
      <c r="A24" s="5">
        <v>20121.0</v>
      </c>
      <c r="B24" s="5" t="s">
        <v>211</v>
      </c>
      <c r="C24" s="5">
        <v>2012.0</v>
      </c>
      <c r="D24" s="5">
        <v>1.0</v>
      </c>
    </row>
    <row r="25" ht="15.75" customHeight="1">
      <c r="A25" s="5">
        <v>20122.0</v>
      </c>
      <c r="B25" s="5" t="s">
        <v>212</v>
      </c>
      <c r="C25" s="5">
        <v>2012.0</v>
      </c>
      <c r="D25" s="5">
        <v>2.0</v>
      </c>
    </row>
    <row r="26" ht="15.75" customHeight="1">
      <c r="A26" s="5">
        <v>20123.0</v>
      </c>
      <c r="B26" s="5" t="s">
        <v>213</v>
      </c>
      <c r="C26" s="5">
        <v>2012.0</v>
      </c>
      <c r="D26" s="5">
        <v>3.0</v>
      </c>
    </row>
    <row r="27" ht="15.75" customHeight="1">
      <c r="A27" s="5">
        <v>20124.0</v>
      </c>
      <c r="B27" s="5" t="s">
        <v>214</v>
      </c>
      <c r="C27" s="5">
        <v>2012.0</v>
      </c>
      <c r="D27" s="5">
        <v>4.0</v>
      </c>
    </row>
    <row r="28" ht="15.75" customHeight="1">
      <c r="A28" s="5">
        <v>20131.0</v>
      </c>
      <c r="B28" s="5" t="s">
        <v>215</v>
      </c>
      <c r="C28" s="5">
        <v>2013.0</v>
      </c>
      <c r="D28" s="5">
        <v>1.0</v>
      </c>
    </row>
    <row r="29" ht="15.75" customHeight="1">
      <c r="A29" s="5">
        <v>20132.0</v>
      </c>
      <c r="B29" s="5" t="s">
        <v>216</v>
      </c>
      <c r="C29" s="5">
        <v>2013.0</v>
      </c>
      <c r="D29" s="5">
        <v>2.0</v>
      </c>
    </row>
    <row r="30" ht="15.75" customHeight="1">
      <c r="A30" s="5">
        <v>20133.0</v>
      </c>
      <c r="B30" s="5" t="s">
        <v>217</v>
      </c>
      <c r="C30" s="5">
        <v>2013.0</v>
      </c>
      <c r="D30" s="5">
        <v>3.0</v>
      </c>
    </row>
    <row r="31" ht="15.75" customHeight="1">
      <c r="A31" s="5">
        <v>20134.0</v>
      </c>
      <c r="B31" s="5" t="s">
        <v>218</v>
      </c>
      <c r="C31" s="5">
        <v>2013.0</v>
      </c>
      <c r="D31" s="5">
        <v>4.0</v>
      </c>
    </row>
    <row r="32" ht="15.75" customHeight="1">
      <c r="A32" s="5">
        <v>20141.0</v>
      </c>
      <c r="B32" s="5" t="s">
        <v>219</v>
      </c>
      <c r="C32" s="5">
        <v>2014.0</v>
      </c>
      <c r="D32" s="5">
        <v>1.0</v>
      </c>
    </row>
    <row r="33" ht="15.75" customHeight="1">
      <c r="A33" s="5">
        <v>20142.0</v>
      </c>
      <c r="B33" s="5" t="s">
        <v>220</v>
      </c>
      <c r="C33" s="5">
        <v>2014.0</v>
      </c>
      <c r="D33" s="5">
        <v>2.0</v>
      </c>
    </row>
    <row r="34" ht="15.75" customHeight="1">
      <c r="A34" s="5">
        <v>20143.0</v>
      </c>
      <c r="B34" s="5" t="s">
        <v>221</v>
      </c>
      <c r="C34" s="5">
        <v>2014.0</v>
      </c>
      <c r="D34" s="5">
        <v>3.0</v>
      </c>
    </row>
    <row r="35" ht="15.75" customHeight="1">
      <c r="A35" s="5">
        <v>20144.0</v>
      </c>
      <c r="B35" s="5" t="s">
        <v>222</v>
      </c>
      <c r="C35" s="5">
        <v>2014.0</v>
      </c>
      <c r="D35" s="5">
        <v>4.0</v>
      </c>
    </row>
    <row r="36" ht="15.75" customHeight="1">
      <c r="A36" s="5">
        <v>20151.0</v>
      </c>
      <c r="B36" s="5" t="s">
        <v>223</v>
      </c>
      <c r="C36" s="5">
        <v>2015.0</v>
      </c>
      <c r="D36" s="5">
        <v>1.0</v>
      </c>
    </row>
    <row r="37" ht="15.75" customHeight="1">
      <c r="A37" s="5">
        <v>20152.0</v>
      </c>
      <c r="B37" s="5" t="s">
        <v>224</v>
      </c>
      <c r="C37" s="5">
        <v>2015.0</v>
      </c>
      <c r="D37" s="5">
        <v>2.0</v>
      </c>
    </row>
    <row r="38" ht="15.75" customHeight="1">
      <c r="A38" s="5">
        <v>20153.0</v>
      </c>
      <c r="B38" s="5" t="s">
        <v>225</v>
      </c>
      <c r="C38" s="5">
        <v>2015.0</v>
      </c>
      <c r="D38" s="5">
        <v>3.0</v>
      </c>
    </row>
    <row r="39" ht="15.75" customHeight="1">
      <c r="A39" s="5">
        <v>20154.0</v>
      </c>
      <c r="B39" s="5" t="s">
        <v>226</v>
      </c>
      <c r="C39" s="5">
        <v>2015.0</v>
      </c>
      <c r="D39" s="5">
        <v>4.0</v>
      </c>
    </row>
    <row r="40" ht="15.75" customHeight="1">
      <c r="A40" s="5">
        <v>20161.0</v>
      </c>
      <c r="B40" s="5" t="s">
        <v>227</v>
      </c>
      <c r="C40" s="5">
        <v>2016.0</v>
      </c>
      <c r="D40" s="5">
        <v>1.0</v>
      </c>
    </row>
    <row r="41" ht="15.75" customHeight="1">
      <c r="A41" s="5">
        <v>20162.0</v>
      </c>
      <c r="B41" s="5" t="s">
        <v>228</v>
      </c>
      <c r="C41" s="5">
        <v>2016.0</v>
      </c>
      <c r="D41" s="5">
        <v>2.0</v>
      </c>
    </row>
    <row r="42" ht="15.75" customHeight="1">
      <c r="A42" s="5">
        <v>20163.0</v>
      </c>
      <c r="B42" s="5" t="s">
        <v>229</v>
      </c>
      <c r="C42" s="5">
        <v>2016.0</v>
      </c>
      <c r="D42" s="5">
        <v>3.0</v>
      </c>
    </row>
    <row r="43" ht="15.75" customHeight="1">
      <c r="A43" s="5">
        <v>20164.0</v>
      </c>
      <c r="B43" s="5" t="s">
        <v>230</v>
      </c>
      <c r="C43" s="5">
        <v>2016.0</v>
      </c>
      <c r="D43" s="5">
        <v>4.0</v>
      </c>
    </row>
    <row r="44" ht="15.75" customHeight="1">
      <c r="A44" s="5">
        <v>20171.0</v>
      </c>
      <c r="B44" s="5" t="s">
        <v>231</v>
      </c>
      <c r="C44" s="5">
        <v>2017.0</v>
      </c>
      <c r="D44" s="5">
        <v>1.0</v>
      </c>
    </row>
    <row r="45" ht="15.75" customHeight="1">
      <c r="A45" s="5">
        <v>20172.0</v>
      </c>
      <c r="B45" s="5" t="s">
        <v>232</v>
      </c>
      <c r="C45" s="5">
        <v>2017.0</v>
      </c>
      <c r="D45" s="5">
        <v>2.0</v>
      </c>
    </row>
    <row r="46" ht="15.75" customHeight="1">
      <c r="A46" s="5">
        <v>20173.0</v>
      </c>
      <c r="B46" s="5" t="s">
        <v>233</v>
      </c>
      <c r="C46" s="5">
        <v>2017.0</v>
      </c>
      <c r="D46" s="5">
        <v>3.0</v>
      </c>
    </row>
    <row r="47" ht="15.75" customHeight="1">
      <c r="A47" s="5">
        <v>20174.0</v>
      </c>
      <c r="B47" s="5" t="s">
        <v>234</v>
      </c>
      <c r="C47" s="5">
        <v>2017.0</v>
      </c>
      <c r="D47" s="5">
        <v>4.0</v>
      </c>
    </row>
    <row r="48" ht="15.75" customHeight="1">
      <c r="A48" s="5">
        <v>20181.0</v>
      </c>
      <c r="B48" s="5" t="s">
        <v>235</v>
      </c>
      <c r="C48" s="5">
        <v>2018.0</v>
      </c>
      <c r="D48" s="5">
        <v>1.0</v>
      </c>
    </row>
    <row r="49" ht="15.75" customHeight="1">
      <c r="A49" s="5">
        <v>20182.0</v>
      </c>
      <c r="B49" s="5" t="s">
        <v>236</v>
      </c>
      <c r="C49" s="5">
        <v>2018.0</v>
      </c>
      <c r="D49" s="5">
        <v>2.0</v>
      </c>
    </row>
    <row r="50" ht="15.75" customHeight="1">
      <c r="A50" s="5">
        <v>20183.0</v>
      </c>
      <c r="B50" s="5" t="s">
        <v>237</v>
      </c>
      <c r="C50" s="5">
        <v>2018.0</v>
      </c>
      <c r="D50" s="5">
        <v>3.0</v>
      </c>
    </row>
    <row r="51" ht="15.75" customHeight="1">
      <c r="A51" s="5">
        <v>20184.0</v>
      </c>
      <c r="B51" s="5" t="s">
        <v>238</v>
      </c>
      <c r="C51" s="5">
        <v>2018.0</v>
      </c>
      <c r="D51" s="5">
        <v>4.0</v>
      </c>
    </row>
    <row r="52" ht="15.75" customHeight="1">
      <c r="A52" s="5">
        <v>20191.0</v>
      </c>
      <c r="B52" s="5" t="s">
        <v>239</v>
      </c>
      <c r="C52" s="5">
        <v>2019.0</v>
      </c>
      <c r="D52" s="5">
        <v>1.0</v>
      </c>
    </row>
    <row r="53" ht="15.75" customHeight="1">
      <c r="A53" s="5">
        <v>20192.0</v>
      </c>
      <c r="B53" s="5" t="s">
        <v>240</v>
      </c>
      <c r="C53" s="5">
        <v>2019.0</v>
      </c>
      <c r="D53" s="5">
        <v>2.0</v>
      </c>
    </row>
    <row r="54" ht="15.75" customHeight="1">
      <c r="A54" s="5">
        <v>20193.0</v>
      </c>
      <c r="B54" s="5" t="s">
        <v>241</v>
      </c>
      <c r="C54" s="5">
        <v>2019.0</v>
      </c>
      <c r="D54" s="5">
        <v>3.0</v>
      </c>
    </row>
    <row r="55" ht="15.75" customHeight="1">
      <c r="A55" s="5">
        <v>20194.0</v>
      </c>
      <c r="B55" s="5" t="s">
        <v>242</v>
      </c>
      <c r="C55" s="5">
        <v>2019.0</v>
      </c>
      <c r="D55" s="5">
        <v>4.0</v>
      </c>
    </row>
    <row r="56" ht="15.75" customHeight="1">
      <c r="A56" s="5">
        <v>20201.0</v>
      </c>
      <c r="B56" s="5" t="s">
        <v>243</v>
      </c>
      <c r="C56" s="5">
        <v>2020.0</v>
      </c>
      <c r="D56" s="5">
        <v>1.0</v>
      </c>
    </row>
    <row r="57" ht="15.75" customHeight="1">
      <c r="A57" s="5">
        <v>20202.0</v>
      </c>
      <c r="B57" s="5" t="s">
        <v>244</v>
      </c>
      <c r="C57" s="5">
        <v>2020.0</v>
      </c>
      <c r="D57" s="5">
        <v>2.0</v>
      </c>
    </row>
    <row r="58" ht="15.75" customHeight="1">
      <c r="A58" s="5">
        <v>20203.0</v>
      </c>
      <c r="B58" s="5" t="s">
        <v>245</v>
      </c>
      <c r="C58" s="5">
        <v>2020.0</v>
      </c>
      <c r="D58" s="5">
        <v>3.0</v>
      </c>
    </row>
    <row r="59" ht="15.75" customHeight="1">
      <c r="A59" s="5">
        <v>20204.0</v>
      </c>
      <c r="B59" s="5" t="s">
        <v>246</v>
      </c>
      <c r="C59" s="5">
        <v>2020.0</v>
      </c>
      <c r="D59" s="5">
        <v>4.0</v>
      </c>
    </row>
    <row r="60" ht="15.75" customHeight="1">
      <c r="A60" s="5">
        <v>20211.0</v>
      </c>
      <c r="B60" s="5" t="s">
        <v>247</v>
      </c>
      <c r="C60" s="5">
        <v>2021.0</v>
      </c>
      <c r="D60" s="5">
        <v>1.0</v>
      </c>
    </row>
    <row r="61" ht="15.75" customHeight="1">
      <c r="A61" s="5">
        <v>20212.0</v>
      </c>
      <c r="B61" s="5" t="s">
        <v>248</v>
      </c>
      <c r="C61" s="5">
        <v>2021.0</v>
      </c>
      <c r="D61" s="5">
        <v>2.0</v>
      </c>
    </row>
    <row r="62" ht="15.75" customHeight="1">
      <c r="A62" s="5">
        <v>20213.0</v>
      </c>
      <c r="B62" s="5" t="s">
        <v>250</v>
      </c>
      <c r="C62" s="5">
        <v>2021.0</v>
      </c>
      <c r="D62" s="5">
        <v>3.0</v>
      </c>
    </row>
    <row r="63" ht="15.75" customHeight="1">
      <c r="A63" s="5">
        <v>20214.0</v>
      </c>
      <c r="B63" s="5" t="s">
        <v>251</v>
      </c>
      <c r="C63" s="5">
        <v>2021.0</v>
      </c>
      <c r="D63" s="5">
        <v>4.0</v>
      </c>
    </row>
    <row r="64" ht="15.75" customHeight="1">
      <c r="A64" s="5">
        <v>20221.0</v>
      </c>
      <c r="B64" s="5" t="s">
        <v>252</v>
      </c>
      <c r="C64" s="5">
        <v>2022.0</v>
      </c>
      <c r="D64" s="5">
        <v>1.0</v>
      </c>
    </row>
    <row r="65" ht="15.75" customHeight="1">
      <c r="A65" s="5">
        <v>20222.0</v>
      </c>
      <c r="B65" s="5" t="s">
        <v>253</v>
      </c>
      <c r="C65" s="5">
        <v>2022.0</v>
      </c>
      <c r="D65" s="5">
        <v>2.0</v>
      </c>
    </row>
    <row r="66" ht="15.75" customHeight="1">
      <c r="A66" s="5">
        <v>20223.0</v>
      </c>
      <c r="B66" s="5" t="s">
        <v>254</v>
      </c>
      <c r="C66" s="5">
        <v>2022.0</v>
      </c>
      <c r="D66" s="5">
        <v>3.0</v>
      </c>
    </row>
    <row r="67" ht="15.75" customHeight="1">
      <c r="A67" s="5">
        <v>20224.0</v>
      </c>
      <c r="B67" s="5" t="s">
        <v>255</v>
      </c>
      <c r="C67" s="5">
        <v>2022.0</v>
      </c>
      <c r="D67" s="5">
        <v>4.0</v>
      </c>
    </row>
    <row r="68" ht="15.75" customHeight="1">
      <c r="A68" s="5">
        <v>20231.0</v>
      </c>
      <c r="B68" s="5" t="s">
        <v>256</v>
      </c>
      <c r="C68" s="5">
        <v>2023.0</v>
      </c>
      <c r="D68" s="5">
        <v>1.0</v>
      </c>
    </row>
    <row r="69" ht="15.75" customHeight="1">
      <c r="A69" s="5">
        <v>20232.0</v>
      </c>
      <c r="B69" s="5" t="s">
        <v>257</v>
      </c>
      <c r="C69" s="5">
        <v>2023.0</v>
      </c>
      <c r="D69" s="5">
        <v>2.0</v>
      </c>
    </row>
    <row r="70" ht="15.75" customHeight="1">
      <c r="A70" s="5">
        <v>20233.0</v>
      </c>
      <c r="B70" s="5" t="s">
        <v>258</v>
      </c>
      <c r="C70" s="5">
        <v>2023.0</v>
      </c>
      <c r="D70" s="5">
        <v>3.0</v>
      </c>
    </row>
    <row r="71" ht="15.75" customHeight="1">
      <c r="A71" s="5">
        <v>20234.0</v>
      </c>
      <c r="B71" s="5" t="s">
        <v>259</v>
      </c>
      <c r="C71" s="5">
        <v>2023.0</v>
      </c>
      <c r="D71" s="5">
        <v>4.0</v>
      </c>
    </row>
    <row r="72" ht="15.75" customHeight="1">
      <c r="A72" s="5">
        <v>20241.0</v>
      </c>
      <c r="B72" s="5" t="s">
        <v>260</v>
      </c>
      <c r="C72" s="5">
        <v>2024.0</v>
      </c>
      <c r="D72" s="5">
        <v>1.0</v>
      </c>
    </row>
    <row r="73" ht="15.75" customHeight="1">
      <c r="A73" s="5">
        <v>20242.0</v>
      </c>
      <c r="B73" s="5" t="s">
        <v>261</v>
      </c>
      <c r="C73" s="5">
        <v>2024.0</v>
      </c>
      <c r="D73" s="5">
        <v>2.0</v>
      </c>
    </row>
    <row r="74" ht="15.75" customHeight="1">
      <c r="A74" s="5">
        <v>20243.0</v>
      </c>
      <c r="B74" s="5" t="s">
        <v>262</v>
      </c>
      <c r="C74" s="5">
        <v>2024.0</v>
      </c>
      <c r="D74" s="5">
        <v>3.0</v>
      </c>
    </row>
    <row r="75" ht="15.75" customHeight="1">
      <c r="A75" s="5">
        <v>20244.0</v>
      </c>
      <c r="B75" s="5" t="s">
        <v>263</v>
      </c>
      <c r="C75" s="5">
        <v>2024.0</v>
      </c>
      <c r="D75" s="5">
        <v>4.0</v>
      </c>
    </row>
    <row r="76" ht="15.75" customHeight="1">
      <c r="A76" s="5">
        <v>20251.0</v>
      </c>
      <c r="B76" s="5" t="s">
        <v>264</v>
      </c>
      <c r="C76" s="5">
        <v>2025.0</v>
      </c>
      <c r="D76" s="5">
        <v>1.0</v>
      </c>
    </row>
    <row r="77" ht="15.75" customHeight="1">
      <c r="A77" s="5">
        <v>20252.0</v>
      </c>
      <c r="B77" s="5" t="s">
        <v>265</v>
      </c>
      <c r="C77" s="5">
        <v>2025.0</v>
      </c>
      <c r="D77" s="5">
        <v>2.0</v>
      </c>
    </row>
    <row r="78" ht="15.75" customHeight="1">
      <c r="A78" s="5">
        <v>20253.0</v>
      </c>
      <c r="B78" s="5" t="s">
        <v>266</v>
      </c>
      <c r="C78" s="5">
        <v>2025.0</v>
      </c>
      <c r="D78" s="5">
        <v>3.0</v>
      </c>
    </row>
    <row r="79" ht="15.75" customHeight="1">
      <c r="A79" s="5">
        <v>20254.0</v>
      </c>
      <c r="B79" s="5" t="s">
        <v>267</v>
      </c>
      <c r="C79" s="5">
        <v>2025.0</v>
      </c>
      <c r="D79" s="5">
        <v>4.0</v>
      </c>
    </row>
    <row r="80" ht="15.75" customHeight="1">
      <c r="A80" s="5">
        <v>20261.0</v>
      </c>
      <c r="B80" s="5" t="s">
        <v>268</v>
      </c>
      <c r="C80" s="5">
        <v>2026.0</v>
      </c>
      <c r="D80" s="5">
        <v>1.0</v>
      </c>
    </row>
    <row r="81" ht="15.75" customHeight="1">
      <c r="A81" s="5">
        <v>20262.0</v>
      </c>
      <c r="B81" s="5" t="s">
        <v>61</v>
      </c>
      <c r="C81" s="5">
        <v>2026.0</v>
      </c>
      <c r="D81" s="5">
        <v>2.0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6" width="8.63"/>
  </cols>
  <sheetData>
    <row r="1" ht="33.75" customHeight="1">
      <c r="A1" s="1" t="s">
        <v>249</v>
      </c>
    </row>
    <row r="2">
      <c r="A2" s="5">
        <v>2005.0</v>
      </c>
    </row>
    <row r="3">
      <c r="A3" s="5">
        <v>2006.0</v>
      </c>
    </row>
    <row r="4">
      <c r="A4" s="5">
        <v>2007.0</v>
      </c>
    </row>
    <row r="5">
      <c r="A5" s="5">
        <v>2008.0</v>
      </c>
    </row>
    <row r="6">
      <c r="A6" s="5">
        <v>2009.0</v>
      </c>
    </row>
    <row r="7">
      <c r="A7" s="5">
        <v>2010.0</v>
      </c>
    </row>
    <row r="8">
      <c r="A8" s="5">
        <v>2011.0</v>
      </c>
    </row>
    <row r="9">
      <c r="A9" s="5">
        <v>2012.0</v>
      </c>
    </row>
    <row r="10">
      <c r="A10" s="5">
        <v>2013.0</v>
      </c>
    </row>
    <row r="11">
      <c r="A11" s="5">
        <v>2014.0</v>
      </c>
    </row>
    <row r="12">
      <c r="A12" s="5">
        <v>2015.0</v>
      </c>
    </row>
    <row r="13">
      <c r="A13" s="5">
        <v>2016.0</v>
      </c>
    </row>
    <row r="14">
      <c r="A14" s="5">
        <v>2017.0</v>
      </c>
    </row>
    <row r="15">
      <c r="A15" s="5">
        <v>2018.0</v>
      </c>
    </row>
    <row r="16">
      <c r="A16" s="5">
        <v>2019.0</v>
      </c>
    </row>
    <row r="17">
      <c r="A17" s="5">
        <v>2020.0</v>
      </c>
    </row>
    <row r="18">
      <c r="A18" s="5">
        <v>2021.0</v>
      </c>
    </row>
    <row r="19">
      <c r="A19" s="5">
        <v>2022.0</v>
      </c>
    </row>
    <row r="20">
      <c r="A20" s="5">
        <v>2023.0</v>
      </c>
    </row>
    <row r="21" ht="15.75" customHeight="1">
      <c r="A21" s="5">
        <v>2024.0</v>
      </c>
    </row>
    <row r="22" ht="15.75" customHeight="1">
      <c r="A22" s="5">
        <v>2025.0</v>
      </c>
    </row>
    <row r="23" ht="15.75" customHeight="1">
      <c r="A23" s="5">
        <v>2026.0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40" width="15.0"/>
  </cols>
  <sheetData>
    <row r="1" ht="33.75" customHeight="1">
      <c r="A1" s="1" t="s">
        <v>0</v>
      </c>
      <c r="B1" s="1" t="s">
        <v>249</v>
      </c>
      <c r="C1" s="1" t="s">
        <v>18</v>
      </c>
      <c r="D1" s="1" t="s">
        <v>269</v>
      </c>
      <c r="E1" s="1" t="s">
        <v>19</v>
      </c>
      <c r="F1" s="1" t="s">
        <v>20</v>
      </c>
      <c r="G1" s="1" t="s">
        <v>270</v>
      </c>
      <c r="H1" s="1" t="s">
        <v>271</v>
      </c>
      <c r="I1" s="1" t="s">
        <v>21</v>
      </c>
      <c r="J1" s="1" t="s">
        <v>25</v>
      </c>
      <c r="K1" s="1" t="s">
        <v>23</v>
      </c>
      <c r="L1" s="1" t="s">
        <v>22</v>
      </c>
      <c r="M1" s="1" t="s">
        <v>26</v>
      </c>
      <c r="N1" s="1" t="s">
        <v>24</v>
      </c>
      <c r="O1" s="1" t="s">
        <v>27</v>
      </c>
      <c r="P1" s="1" t="s">
        <v>32</v>
      </c>
      <c r="Q1" s="1" t="s">
        <v>272</v>
      </c>
      <c r="R1" s="1" t="s">
        <v>30</v>
      </c>
      <c r="S1" s="1" t="s">
        <v>273</v>
      </c>
      <c r="T1" s="1" t="s">
        <v>274</v>
      </c>
      <c r="U1" s="1" t="s">
        <v>275</v>
      </c>
      <c r="V1" s="1" t="s">
        <v>34</v>
      </c>
      <c r="W1" s="1" t="s">
        <v>276</v>
      </c>
      <c r="X1" s="1" t="s">
        <v>277</v>
      </c>
      <c r="Y1" s="1" t="s">
        <v>33</v>
      </c>
      <c r="Z1" s="1" t="s">
        <v>31</v>
      </c>
      <c r="AA1" s="1" t="s">
        <v>37</v>
      </c>
      <c r="AB1" s="1" t="s">
        <v>35</v>
      </c>
      <c r="AC1" s="1" t="s">
        <v>278</v>
      </c>
      <c r="AD1" s="1" t="s">
        <v>279</v>
      </c>
      <c r="AE1" s="1" t="s">
        <v>280</v>
      </c>
      <c r="AF1" s="1" t="s">
        <v>281</v>
      </c>
      <c r="AG1" s="1" t="s">
        <v>36</v>
      </c>
      <c r="AH1" s="1" t="s">
        <v>38</v>
      </c>
      <c r="AI1" s="1" t="s">
        <v>40</v>
      </c>
      <c r="AJ1" s="1" t="s">
        <v>39</v>
      </c>
      <c r="AK1" s="1" t="s">
        <v>282</v>
      </c>
      <c r="AL1" s="1" t="s">
        <v>283</v>
      </c>
      <c r="AM1" s="1" t="s">
        <v>41</v>
      </c>
      <c r="AN1" s="1" t="s">
        <v>42</v>
      </c>
    </row>
    <row r="2">
      <c r="A2" s="5">
        <v>1.0</v>
      </c>
      <c r="B2" s="5">
        <v>2005.0</v>
      </c>
      <c r="C2" s="5">
        <v>2365.0</v>
      </c>
      <c r="D2" s="5">
        <v>292138.0</v>
      </c>
      <c r="AA2" s="5">
        <v>1225.0</v>
      </c>
      <c r="AB2" s="5">
        <v>1338.0</v>
      </c>
      <c r="AC2" s="5">
        <v>12.0</v>
      </c>
      <c r="AD2" s="5">
        <v>12.0</v>
      </c>
      <c r="AE2" s="9" t="b">
        <v>1</v>
      </c>
      <c r="AF2" s="9" t="b">
        <v>1</v>
      </c>
      <c r="AG2" s="5">
        <v>4.580027247396778</v>
      </c>
      <c r="AH2" s="5">
        <v>4.193223750419323</v>
      </c>
      <c r="AI2" s="5">
        <v>383.0</v>
      </c>
      <c r="AJ2" s="5">
        <v>386.0</v>
      </c>
      <c r="AK2" s="5">
        <v>6.0</v>
      </c>
      <c r="AL2" s="5">
        <v>6.0</v>
      </c>
    </row>
    <row r="3">
      <c r="A3" s="5">
        <v>1.0</v>
      </c>
      <c r="B3" s="5">
        <v>2006.0</v>
      </c>
      <c r="C3" s="5">
        <v>2478.96</v>
      </c>
      <c r="D3" s="5">
        <v>295210.0</v>
      </c>
      <c r="AA3" s="5">
        <v>1219.0</v>
      </c>
      <c r="AB3" s="5">
        <v>1850.0</v>
      </c>
      <c r="AC3" s="5">
        <v>12.0</v>
      </c>
      <c r="AD3" s="5">
        <v>12.0</v>
      </c>
      <c r="AE3" s="9" t="b">
        <v>1</v>
      </c>
      <c r="AF3" s="9" t="b">
        <v>1</v>
      </c>
      <c r="AG3" s="5">
        <v>6.266725381931506</v>
      </c>
      <c r="AH3" s="5">
        <v>4.129263913824057</v>
      </c>
      <c r="AI3" s="5">
        <v>496.0</v>
      </c>
      <c r="AJ3" s="5">
        <v>540.0</v>
      </c>
      <c r="AK3" s="5">
        <v>6.0</v>
      </c>
      <c r="AL3" s="5">
        <v>6.0</v>
      </c>
      <c r="AM3" s="5">
        <v>39.896373056994825</v>
      </c>
      <c r="AN3" s="5">
        <v>29.503916449086166</v>
      </c>
    </row>
    <row r="4">
      <c r="A4" s="5">
        <v>1.0</v>
      </c>
      <c r="B4" s="5">
        <v>2007.0</v>
      </c>
      <c r="C4" s="5">
        <v>2715.96</v>
      </c>
      <c r="D4" s="5">
        <v>294817.0</v>
      </c>
      <c r="E4" s="5">
        <v>4413.0</v>
      </c>
      <c r="F4" s="5">
        <v>4029.657867142557</v>
      </c>
      <c r="G4" s="5">
        <v>4.0</v>
      </c>
      <c r="H4" s="5">
        <v>4.0</v>
      </c>
      <c r="I4" s="5">
        <v>0.6154452753229096</v>
      </c>
      <c r="L4" s="5">
        <v>0.6739927034862381</v>
      </c>
      <c r="AA4" s="5">
        <v>1667.0</v>
      </c>
      <c r="AB4" s="5">
        <v>1722.0</v>
      </c>
      <c r="AC4" s="5">
        <v>12.0</v>
      </c>
      <c r="AD4" s="5">
        <v>12.0</v>
      </c>
      <c r="AE4" s="9" t="b">
        <v>1</v>
      </c>
      <c r="AF4" s="9" t="b">
        <v>1</v>
      </c>
      <c r="AG4" s="5">
        <v>5.840911480681236</v>
      </c>
      <c r="AH4" s="5">
        <v>5.654355074503845</v>
      </c>
      <c r="AI4" s="5">
        <v>402.0</v>
      </c>
      <c r="AJ4" s="5">
        <v>608.0</v>
      </c>
      <c r="AK4" s="5">
        <v>6.0</v>
      </c>
      <c r="AL4" s="5">
        <v>6.0</v>
      </c>
      <c r="AM4" s="5">
        <v>12.592592592592599</v>
      </c>
      <c r="AN4" s="5">
        <v>-18.95161290322581</v>
      </c>
    </row>
    <row r="5">
      <c r="A5" s="5">
        <v>1.0</v>
      </c>
      <c r="B5" s="5">
        <v>2008.0</v>
      </c>
      <c r="C5" s="5">
        <v>2994.05</v>
      </c>
      <c r="D5" s="5">
        <v>294265.0</v>
      </c>
      <c r="E5" s="5">
        <v>5112.75</v>
      </c>
      <c r="F5" s="5">
        <v>4410.509268237246</v>
      </c>
      <c r="G5" s="5">
        <v>4.0</v>
      </c>
      <c r="H5" s="5">
        <v>4.0</v>
      </c>
      <c r="I5" s="5">
        <v>0.5856046159112024</v>
      </c>
      <c r="J5" s="5">
        <v>15.85656016315431</v>
      </c>
      <c r="K5" s="5">
        <v>-4.848629213385469</v>
      </c>
      <c r="L5" s="5">
        <v>0.6788445093091565</v>
      </c>
      <c r="M5" s="5">
        <v>9.451209349560784</v>
      </c>
      <c r="N5" s="5">
        <v>0.719860288964913</v>
      </c>
      <c r="O5" s="5">
        <v>10.239105141460115</v>
      </c>
      <c r="AA5" s="5">
        <v>1574.0</v>
      </c>
      <c r="AB5" s="5">
        <v>2058.0</v>
      </c>
      <c r="AC5" s="5">
        <v>12.0</v>
      </c>
      <c r="AD5" s="5">
        <v>12.0</v>
      </c>
      <c r="AE5" s="9" t="b">
        <v>1</v>
      </c>
      <c r="AF5" s="9" t="b">
        <v>1</v>
      </c>
      <c r="AG5" s="5">
        <v>6.993696158224729</v>
      </c>
      <c r="AH5" s="5">
        <v>5.348920190984317</v>
      </c>
      <c r="AI5" s="5">
        <v>628.0</v>
      </c>
      <c r="AJ5" s="5">
        <v>675.0</v>
      </c>
      <c r="AK5" s="5">
        <v>6.0</v>
      </c>
      <c r="AL5" s="5">
        <v>6.0</v>
      </c>
      <c r="AM5" s="5">
        <v>11.019736842105265</v>
      </c>
      <c r="AN5" s="5">
        <v>56.21890547263681</v>
      </c>
    </row>
    <row r="6">
      <c r="A6" s="5">
        <v>1.0</v>
      </c>
      <c r="B6" s="5">
        <v>2009.0</v>
      </c>
      <c r="C6" s="5">
        <v>3144.6</v>
      </c>
      <c r="D6" s="5">
        <v>294399.0</v>
      </c>
      <c r="E6" s="5">
        <v>4901.5</v>
      </c>
      <c r="F6" s="5">
        <v>4043.3258123678147</v>
      </c>
      <c r="G6" s="5">
        <v>4.0</v>
      </c>
      <c r="H6" s="5">
        <v>4.0</v>
      </c>
      <c r="I6" s="5">
        <v>0.6415587065184127</v>
      </c>
      <c r="J6" s="5">
        <v>-4.1318272945088275</v>
      </c>
      <c r="K6" s="5">
        <v>9.554926495950799</v>
      </c>
      <c r="L6" s="5">
        <v>0.7777260962698647</v>
      </c>
      <c r="M6" s="5">
        <v>-8.325194065767915</v>
      </c>
      <c r="N6" s="5">
        <v>14.566161411740296</v>
      </c>
      <c r="O6" s="5">
        <v>5.0283061405119955</v>
      </c>
      <c r="AA6" s="5">
        <v>1533.0</v>
      </c>
      <c r="AB6" s="5">
        <v>1300.0</v>
      </c>
      <c r="AC6" s="5">
        <v>12.0</v>
      </c>
      <c r="AD6" s="5">
        <v>12.0</v>
      </c>
      <c r="AE6" s="9" t="b">
        <v>1</v>
      </c>
      <c r="AF6" s="9" t="b">
        <v>1</v>
      </c>
      <c r="AG6" s="5">
        <v>4.415775868803903</v>
      </c>
      <c r="AH6" s="5">
        <v>5.207218774520294</v>
      </c>
      <c r="AI6" s="5">
        <v>483.0</v>
      </c>
      <c r="AJ6" s="5">
        <v>345.0</v>
      </c>
      <c r="AK6" s="5">
        <v>6.0</v>
      </c>
      <c r="AL6" s="5">
        <v>6.0</v>
      </c>
      <c r="AM6" s="5">
        <v>-48.88888888888889</v>
      </c>
      <c r="AN6" s="5">
        <v>-23.089171974522294</v>
      </c>
    </row>
    <row r="7">
      <c r="A7" s="5">
        <v>1.0</v>
      </c>
      <c r="B7" s="5">
        <v>2010.0</v>
      </c>
      <c r="C7" s="5">
        <v>3241.41</v>
      </c>
      <c r="D7" s="5">
        <v>293946.0</v>
      </c>
      <c r="E7" s="5">
        <v>4769.75</v>
      </c>
      <c r="F7" s="5">
        <v>4150.916042361164</v>
      </c>
      <c r="G7" s="5">
        <v>4.0</v>
      </c>
      <c r="H7" s="5">
        <v>4.0</v>
      </c>
      <c r="I7" s="5">
        <v>0.6795764977200063</v>
      </c>
      <c r="J7" s="5">
        <v>-2.6879526675507526</v>
      </c>
      <c r="K7" s="5">
        <v>5.9258475982513215</v>
      </c>
      <c r="L7" s="5">
        <v>0.780890282270366</v>
      </c>
      <c r="M7" s="5">
        <v>2.6609339683745015</v>
      </c>
      <c r="N7" s="5">
        <v>0.4068509486408578</v>
      </c>
      <c r="O7" s="5">
        <v>3.0786109521083738</v>
      </c>
      <c r="P7" s="5">
        <v>1491.0</v>
      </c>
      <c r="Q7" s="5">
        <v>4.0</v>
      </c>
      <c r="R7" s="5">
        <v>1496.0</v>
      </c>
      <c r="S7" s="5">
        <v>4.0</v>
      </c>
      <c r="T7" s="5">
        <v>80612.1</v>
      </c>
      <c r="U7" s="5">
        <v>4.0</v>
      </c>
      <c r="V7" s="5">
        <v>53.885093582887706</v>
      </c>
      <c r="W7" s="9" t="b">
        <v>1</v>
      </c>
      <c r="X7" s="9" t="b">
        <v>1</v>
      </c>
      <c r="Y7" s="5">
        <v>5.072360229429895</v>
      </c>
      <c r="Z7" s="5">
        <v>5.089370156423288</v>
      </c>
      <c r="AA7" s="5">
        <v>1630.0</v>
      </c>
      <c r="AB7" s="5">
        <v>2075.0</v>
      </c>
      <c r="AC7" s="5">
        <v>12.0</v>
      </c>
      <c r="AD7" s="5">
        <v>12.0</v>
      </c>
      <c r="AE7" s="9" t="b">
        <v>1</v>
      </c>
      <c r="AF7" s="9" t="b">
        <v>1</v>
      </c>
      <c r="AG7" s="5">
        <v>7.059119702258237</v>
      </c>
      <c r="AH7" s="5">
        <v>5.54523619984623</v>
      </c>
      <c r="AI7" s="5">
        <v>736.0</v>
      </c>
      <c r="AJ7" s="5">
        <v>578.0</v>
      </c>
      <c r="AK7" s="5">
        <v>6.0</v>
      </c>
      <c r="AL7" s="5">
        <v>6.0</v>
      </c>
      <c r="AM7" s="5">
        <v>67.53623188405797</v>
      </c>
      <c r="AN7" s="5">
        <v>52.38095238095237</v>
      </c>
    </row>
    <row r="8">
      <c r="A8" s="5">
        <v>1.0</v>
      </c>
      <c r="B8" s="5">
        <v>2011.0</v>
      </c>
      <c r="C8" s="5">
        <v>3360.36</v>
      </c>
      <c r="D8" s="5">
        <v>294197.0</v>
      </c>
      <c r="E8" s="5">
        <v>4761.75</v>
      </c>
      <c r="F8" s="5">
        <v>4308.561283587652</v>
      </c>
      <c r="G8" s="5">
        <v>4.0</v>
      </c>
      <c r="H8" s="5">
        <v>4.0</v>
      </c>
      <c r="I8" s="5">
        <v>0.7056985352023941</v>
      </c>
      <c r="J8" s="5">
        <v>-0.16772367524503506</v>
      </c>
      <c r="K8" s="5">
        <v>3.8438700528973246</v>
      </c>
      <c r="L8" s="5">
        <v>0.779926239601238</v>
      </c>
      <c r="M8" s="5">
        <v>3.797842202002588</v>
      </c>
      <c r="N8" s="5">
        <v>-0.12345430478725161</v>
      </c>
      <c r="O8" s="5">
        <v>3.6696992975279397</v>
      </c>
      <c r="P8" s="5">
        <v>1766.0</v>
      </c>
      <c r="Q8" s="5">
        <v>4.0</v>
      </c>
      <c r="R8" s="5">
        <v>1822.0</v>
      </c>
      <c r="S8" s="5">
        <v>4.0</v>
      </c>
      <c r="T8" s="5">
        <v>98722.1</v>
      </c>
      <c r="U8" s="5">
        <v>4.0</v>
      </c>
      <c r="V8" s="5">
        <v>54.183369923161365</v>
      </c>
      <c r="W8" s="9" t="b">
        <v>1</v>
      </c>
      <c r="X8" s="9" t="b">
        <v>1</v>
      </c>
      <c r="Y8" s="5">
        <v>6.002780449834635</v>
      </c>
      <c r="Z8" s="5">
        <v>6.193129093770501</v>
      </c>
      <c r="AA8" s="5">
        <v>1711.0</v>
      </c>
      <c r="AB8" s="5">
        <v>1191.0</v>
      </c>
      <c r="AC8" s="5">
        <v>12.0</v>
      </c>
      <c r="AD8" s="5">
        <v>12.0</v>
      </c>
      <c r="AE8" s="9" t="b">
        <v>1</v>
      </c>
      <c r="AF8" s="9" t="b">
        <v>1</v>
      </c>
      <c r="AG8" s="5">
        <v>4.048307766564581</v>
      </c>
      <c r="AH8" s="5">
        <v>5.815830888826195</v>
      </c>
      <c r="AI8" s="5">
        <v>592.0</v>
      </c>
      <c r="AJ8" s="5">
        <v>485.0</v>
      </c>
      <c r="AK8" s="5">
        <v>6.0</v>
      </c>
      <c r="AL8" s="5">
        <v>6.0</v>
      </c>
      <c r="AM8" s="5">
        <v>-16.089965397923876</v>
      </c>
      <c r="AN8" s="5">
        <v>-19.565217391304344</v>
      </c>
    </row>
    <row r="9">
      <c r="A9" s="5">
        <v>1.0</v>
      </c>
      <c r="B9" s="5">
        <v>2012.0</v>
      </c>
      <c r="C9" s="5">
        <v>3493.98</v>
      </c>
      <c r="D9" s="5">
        <v>294675.0</v>
      </c>
      <c r="E9" s="5">
        <v>4456.25</v>
      </c>
      <c r="F9" s="5">
        <v>4050.3846930858263</v>
      </c>
      <c r="G9" s="5">
        <v>4.0</v>
      </c>
      <c r="H9" s="5">
        <v>4.0</v>
      </c>
      <c r="I9" s="5">
        <v>0.7840628330995792</v>
      </c>
      <c r="J9" s="5">
        <v>-6.4157085105265965</v>
      </c>
      <c r="K9" s="5">
        <v>11.104500574697983</v>
      </c>
      <c r="L9" s="5">
        <v>0.8626291734620586</v>
      </c>
      <c r="M9" s="5">
        <v>-5.992176355603496</v>
      </c>
      <c r="N9" s="5">
        <v>10.603942996340932</v>
      </c>
      <c r="O9" s="5">
        <v>3.9763596757490305</v>
      </c>
      <c r="P9" s="5">
        <v>2045.0</v>
      </c>
      <c r="Q9" s="5">
        <v>4.0</v>
      </c>
      <c r="R9" s="5">
        <v>2056.0</v>
      </c>
      <c r="S9" s="5">
        <v>4.0</v>
      </c>
      <c r="T9" s="5">
        <v>107206.29999999999</v>
      </c>
      <c r="U9" s="5">
        <v>4.0</v>
      </c>
      <c r="V9" s="5">
        <v>52.1431420233463</v>
      </c>
      <c r="W9" s="9" t="b">
        <v>1</v>
      </c>
      <c r="X9" s="9" t="b">
        <v>1</v>
      </c>
      <c r="Y9" s="5">
        <v>6.939848986171206</v>
      </c>
      <c r="Z9" s="5">
        <v>6.977178247221516</v>
      </c>
      <c r="AA9" s="5">
        <v>2249.0</v>
      </c>
      <c r="AB9" s="5">
        <v>2013.0</v>
      </c>
      <c r="AC9" s="5">
        <v>12.0</v>
      </c>
      <c r="AD9" s="5">
        <v>12.0</v>
      </c>
      <c r="AE9" s="9" t="b">
        <v>1</v>
      </c>
      <c r="AF9" s="9" t="b">
        <v>1</v>
      </c>
      <c r="AG9" s="5">
        <v>6.831254772206669</v>
      </c>
      <c r="AH9" s="5">
        <v>7.632137100195131</v>
      </c>
      <c r="AI9" s="5">
        <v>1074.0</v>
      </c>
      <c r="AJ9" s="5">
        <v>1148.0</v>
      </c>
      <c r="AK9" s="5">
        <v>6.0</v>
      </c>
      <c r="AL9" s="5">
        <v>6.0</v>
      </c>
      <c r="AM9" s="5">
        <v>136.70103092783506</v>
      </c>
      <c r="AN9" s="5">
        <v>81.41891891891892</v>
      </c>
    </row>
    <row r="10">
      <c r="A10" s="5">
        <v>1.0</v>
      </c>
      <c r="B10" s="5">
        <v>2013.0</v>
      </c>
      <c r="C10" s="5">
        <v>3627.02</v>
      </c>
      <c r="D10" s="5">
        <v>294925.0</v>
      </c>
      <c r="E10" s="5">
        <v>4514.25</v>
      </c>
      <c r="F10" s="5">
        <v>3900.792559549148</v>
      </c>
      <c r="G10" s="5">
        <v>4.0</v>
      </c>
      <c r="H10" s="5">
        <v>4.0</v>
      </c>
      <c r="I10" s="5">
        <v>0.8034601539569142</v>
      </c>
      <c r="J10" s="5">
        <v>1.3015427769985877</v>
      </c>
      <c r="K10" s="5">
        <v>2.4739497956628</v>
      </c>
      <c r="L10" s="5">
        <v>0.929816170593601</v>
      </c>
      <c r="M10" s="5">
        <v>-3.6932821169317176</v>
      </c>
      <c r="N10" s="5">
        <v>7.78863029427761</v>
      </c>
      <c r="O10" s="5">
        <v>3.807692087533421</v>
      </c>
      <c r="P10" s="5">
        <v>2090.0</v>
      </c>
      <c r="Q10" s="5">
        <v>4.0</v>
      </c>
      <c r="R10" s="5">
        <v>2069.0</v>
      </c>
      <c r="S10" s="5">
        <v>4.0</v>
      </c>
      <c r="T10" s="5">
        <v>108305.70000000001</v>
      </c>
      <c r="U10" s="5">
        <v>4.0</v>
      </c>
      <c r="V10" s="5">
        <v>52.34688255195747</v>
      </c>
      <c r="W10" s="9" t="b">
        <v>1</v>
      </c>
      <c r="X10" s="9" t="b">
        <v>1</v>
      </c>
      <c r="Y10" s="5">
        <v>7.086547427312028</v>
      </c>
      <c r="Z10" s="5">
        <v>7.015342883784013</v>
      </c>
      <c r="AA10" s="5">
        <v>1574.0</v>
      </c>
      <c r="AB10" s="5">
        <v>1324.0</v>
      </c>
      <c r="AC10" s="5">
        <v>12.0</v>
      </c>
      <c r="AD10" s="5">
        <v>12.0</v>
      </c>
      <c r="AE10" s="9" t="b">
        <v>1</v>
      </c>
      <c r="AF10" s="9" t="b">
        <v>1</v>
      </c>
      <c r="AG10" s="5">
        <v>4.489276934813936</v>
      </c>
      <c r="AH10" s="5">
        <v>5.3369500720522165</v>
      </c>
      <c r="AI10" s="5">
        <v>403.0</v>
      </c>
      <c r="AJ10" s="5">
        <v>643.0</v>
      </c>
      <c r="AK10" s="5">
        <v>6.0</v>
      </c>
      <c r="AL10" s="5">
        <v>6.0</v>
      </c>
      <c r="AM10" s="5">
        <v>-43.98954703832752</v>
      </c>
      <c r="AN10" s="5">
        <v>-62.47672253258845</v>
      </c>
    </row>
    <row r="11">
      <c r="A11" s="5">
        <v>1.0</v>
      </c>
      <c r="B11" s="5">
        <v>2014.0</v>
      </c>
      <c r="C11" s="5">
        <v>3706.73</v>
      </c>
      <c r="D11" s="5">
        <v>295401.0</v>
      </c>
      <c r="E11" s="5">
        <v>4497.5</v>
      </c>
      <c r="F11" s="5">
        <v>3935.4661127066693</v>
      </c>
      <c r="G11" s="5">
        <v>4.0</v>
      </c>
      <c r="H11" s="5">
        <v>4.0</v>
      </c>
      <c r="I11" s="5">
        <v>0.8241756531406337</v>
      </c>
      <c r="J11" s="5">
        <v>-0.3710472392977837</v>
      </c>
      <c r="K11" s="5">
        <v>2.578285815631176</v>
      </c>
      <c r="L11" s="5">
        <v>0.9418782664731541</v>
      </c>
      <c r="M11" s="5">
        <v>0.8888848260500515</v>
      </c>
      <c r="N11" s="5">
        <v>1.297255980378642</v>
      </c>
      <c r="O11" s="5">
        <v>2.1976719179932935</v>
      </c>
      <c r="P11" s="5">
        <v>2399.0</v>
      </c>
      <c r="Q11" s="5">
        <v>4.0</v>
      </c>
      <c r="R11" s="5">
        <v>2412.0</v>
      </c>
      <c r="S11" s="5">
        <v>4.0</v>
      </c>
      <c r="T11" s="5">
        <v>122371.3</v>
      </c>
      <c r="U11" s="5">
        <v>4.0</v>
      </c>
      <c r="V11" s="5">
        <v>50.734369817578774</v>
      </c>
      <c r="W11" s="9" t="b">
        <v>1</v>
      </c>
      <c r="X11" s="9" t="b">
        <v>1</v>
      </c>
      <c r="Y11" s="5">
        <v>8.121164112511467</v>
      </c>
      <c r="Z11" s="5">
        <v>8.165172088110738</v>
      </c>
      <c r="AA11" s="5">
        <v>1736.0</v>
      </c>
      <c r="AB11" s="5">
        <v>2031.0</v>
      </c>
      <c r="AC11" s="5">
        <v>12.0</v>
      </c>
      <c r="AD11" s="5">
        <v>12.0</v>
      </c>
      <c r="AE11" s="9" t="b">
        <v>1</v>
      </c>
      <c r="AF11" s="9" t="b">
        <v>1</v>
      </c>
      <c r="AG11" s="5">
        <v>6.875399880162897</v>
      </c>
      <c r="AH11" s="5">
        <v>5.87675735694869</v>
      </c>
      <c r="AI11" s="5">
        <v>860.0</v>
      </c>
      <c r="AJ11" s="5">
        <v>699.0</v>
      </c>
      <c r="AK11" s="5">
        <v>6.0</v>
      </c>
      <c r="AL11" s="5">
        <v>6.0</v>
      </c>
      <c r="AM11" s="5">
        <v>8.709175738724717</v>
      </c>
      <c r="AN11" s="5">
        <v>113.39950372208438</v>
      </c>
    </row>
    <row r="12">
      <c r="A12" s="5">
        <v>1.0</v>
      </c>
      <c r="B12" s="5">
        <v>2015.0</v>
      </c>
      <c r="C12" s="5">
        <v>3844.68</v>
      </c>
      <c r="D12" s="5">
        <v>295624.0</v>
      </c>
      <c r="E12" s="5">
        <v>4566.0</v>
      </c>
      <c r="F12" s="5">
        <v>3928.0467020310352</v>
      </c>
      <c r="G12" s="5">
        <v>4.0</v>
      </c>
      <c r="H12" s="5">
        <v>4.0</v>
      </c>
      <c r="I12" s="5">
        <v>0.8420236530880421</v>
      </c>
      <c r="J12" s="5">
        <v>1.5230683713173931</v>
      </c>
      <c r="K12" s="5">
        <v>2.1655577763546097</v>
      </c>
      <c r="L12" s="5">
        <v>0.978776550190218</v>
      </c>
      <c r="M12" s="5">
        <v>-0.18852685966926908</v>
      </c>
      <c r="N12" s="5">
        <v>3.917521513181188</v>
      </c>
      <c r="O12" s="5">
        <v>3.721609073226273</v>
      </c>
      <c r="P12" s="5">
        <v>2441.0</v>
      </c>
      <c r="Q12" s="5">
        <v>4.0</v>
      </c>
      <c r="R12" s="5">
        <v>2448.0</v>
      </c>
      <c r="S12" s="5">
        <v>4.0</v>
      </c>
      <c r="T12" s="5">
        <v>121826.79999999999</v>
      </c>
      <c r="U12" s="5">
        <v>4.0</v>
      </c>
      <c r="V12" s="5">
        <v>49.76584967320261</v>
      </c>
      <c r="W12" s="9" t="b">
        <v>1</v>
      </c>
      <c r="X12" s="9" t="b">
        <v>1</v>
      </c>
      <c r="Y12" s="5">
        <v>8.257110383460072</v>
      </c>
      <c r="Z12" s="5">
        <v>8.280789110491707</v>
      </c>
      <c r="AA12" s="5">
        <v>2088.0</v>
      </c>
      <c r="AB12" s="5">
        <v>1893.0</v>
      </c>
      <c r="AC12" s="5">
        <v>12.0</v>
      </c>
      <c r="AD12" s="5">
        <v>12.0</v>
      </c>
      <c r="AE12" s="9" t="b">
        <v>1</v>
      </c>
      <c r="AF12" s="9" t="b">
        <v>1</v>
      </c>
      <c r="AG12" s="5">
        <v>6.403404324412091</v>
      </c>
      <c r="AH12" s="5">
        <v>7.063026006007631</v>
      </c>
      <c r="AI12" s="5">
        <v>915.0</v>
      </c>
      <c r="AJ12" s="5">
        <v>359.0</v>
      </c>
      <c r="AK12" s="5">
        <v>6.0</v>
      </c>
      <c r="AL12" s="5">
        <v>6.0</v>
      </c>
      <c r="AM12" s="5">
        <v>-48.640915593705294</v>
      </c>
      <c r="AN12" s="5">
        <v>6.3953488372092915</v>
      </c>
    </row>
    <row r="13">
      <c r="A13" s="5">
        <v>1.0</v>
      </c>
      <c r="B13" s="5">
        <v>2016.0</v>
      </c>
      <c r="C13" s="5">
        <v>3967.71</v>
      </c>
      <c r="D13" s="5">
        <v>296310.0</v>
      </c>
      <c r="E13" s="5">
        <v>4577.5</v>
      </c>
      <c r="F13" s="5">
        <v>3989.9962948907514</v>
      </c>
      <c r="G13" s="5">
        <v>4.0</v>
      </c>
      <c r="H13" s="5">
        <v>4.0</v>
      </c>
      <c r="I13" s="5">
        <v>0.8667853631895139</v>
      </c>
      <c r="J13" s="5">
        <v>0.2518615856329287</v>
      </c>
      <c r="K13" s="5">
        <v>2.9407380672336947</v>
      </c>
      <c r="L13" s="5">
        <v>0.9944144572466673</v>
      </c>
      <c r="M13" s="5">
        <v>1.5771093767211308</v>
      </c>
      <c r="N13" s="5">
        <v>1.5976993986431598</v>
      </c>
      <c r="O13" s="5">
        <v>3.200006242392095</v>
      </c>
      <c r="P13" s="5">
        <v>2869.0</v>
      </c>
      <c r="Q13" s="5">
        <v>4.0</v>
      </c>
      <c r="R13" s="5">
        <v>2864.0</v>
      </c>
      <c r="S13" s="5">
        <v>4.0</v>
      </c>
      <c r="T13" s="5">
        <v>142836.3</v>
      </c>
      <c r="U13" s="5">
        <v>4.0</v>
      </c>
      <c r="V13" s="5">
        <v>49.87300977653631</v>
      </c>
      <c r="W13" s="9" t="b">
        <v>1</v>
      </c>
      <c r="X13" s="9" t="b">
        <v>1</v>
      </c>
      <c r="Y13" s="5">
        <v>9.682427187742567</v>
      </c>
      <c r="Z13" s="5">
        <v>9.665552968175222</v>
      </c>
      <c r="AA13" s="5">
        <v>1795.0</v>
      </c>
      <c r="AB13" s="5">
        <v>1514.0</v>
      </c>
      <c r="AC13" s="5">
        <v>12.0</v>
      </c>
      <c r="AD13" s="5">
        <v>12.0</v>
      </c>
      <c r="AE13" s="9" t="b">
        <v>1</v>
      </c>
      <c r="AF13" s="9" t="b">
        <v>1</v>
      </c>
      <c r="AG13" s="5">
        <v>5.109513684992069</v>
      </c>
      <c r="AH13" s="5">
        <v>6.057844824676859</v>
      </c>
      <c r="AI13" s="5">
        <v>875.0</v>
      </c>
      <c r="AJ13" s="5">
        <v>409.0</v>
      </c>
      <c r="AK13" s="5">
        <v>6.0</v>
      </c>
      <c r="AL13" s="5">
        <v>6.0</v>
      </c>
      <c r="AM13" s="5">
        <v>13.927576601671298</v>
      </c>
      <c r="AN13" s="5">
        <v>-4.371584699453557</v>
      </c>
    </row>
    <row r="14">
      <c r="A14" s="5">
        <v>1.0</v>
      </c>
      <c r="B14" s="5">
        <v>2017.0</v>
      </c>
      <c r="C14" s="5">
        <v>4164.59</v>
      </c>
      <c r="D14" s="5">
        <v>297132.0</v>
      </c>
      <c r="E14" s="5">
        <v>4587.25</v>
      </c>
      <c r="F14" s="5">
        <v>4105.502027311975</v>
      </c>
      <c r="G14" s="5">
        <v>4.0</v>
      </c>
      <c r="H14" s="5">
        <v>4.0</v>
      </c>
      <c r="I14" s="5">
        <v>0.9078620088288191</v>
      </c>
      <c r="J14" s="5">
        <v>0.21299836155106444</v>
      </c>
      <c r="K14" s="5">
        <v>4.738963921605133</v>
      </c>
      <c r="L14" s="5">
        <v>1.0143923866788862</v>
      </c>
      <c r="M14" s="5">
        <v>2.894883199995224</v>
      </c>
      <c r="N14" s="5">
        <v>2.009014378927443</v>
      </c>
      <c r="O14" s="5">
        <v>4.962056198663722</v>
      </c>
      <c r="P14" s="5">
        <v>3146.0</v>
      </c>
      <c r="Q14" s="5">
        <v>4.0</v>
      </c>
      <c r="R14" s="5">
        <v>3146.0</v>
      </c>
      <c r="S14" s="5">
        <v>4.0</v>
      </c>
      <c r="T14" s="5">
        <v>161938.09999999998</v>
      </c>
      <c r="U14" s="5">
        <v>4.0</v>
      </c>
      <c r="V14" s="5">
        <v>51.47428480610298</v>
      </c>
      <c r="W14" s="9" t="b">
        <v>1</v>
      </c>
      <c r="X14" s="9" t="b">
        <v>1</v>
      </c>
      <c r="Y14" s="5">
        <v>10.587886865096994</v>
      </c>
      <c r="Z14" s="5">
        <v>10.587886865096994</v>
      </c>
      <c r="AA14" s="5">
        <v>2033.0</v>
      </c>
      <c r="AB14" s="5">
        <v>2507.0</v>
      </c>
      <c r="AC14" s="5">
        <v>12.0</v>
      </c>
      <c r="AD14" s="5">
        <v>12.0</v>
      </c>
      <c r="AE14" s="9" t="b">
        <v>1</v>
      </c>
      <c r="AF14" s="9" t="b">
        <v>1</v>
      </c>
      <c r="AG14" s="5">
        <v>8.437327517736225</v>
      </c>
      <c r="AH14" s="5">
        <v>6.842076922041382</v>
      </c>
      <c r="AI14" s="5">
        <v>1086.0</v>
      </c>
      <c r="AJ14" s="5">
        <v>1326.0</v>
      </c>
      <c r="AK14" s="5">
        <v>6.0</v>
      </c>
      <c r="AL14" s="5">
        <v>6.0</v>
      </c>
      <c r="AM14" s="5">
        <v>224.20537897310516</v>
      </c>
      <c r="AN14" s="5">
        <v>24.11428571428571</v>
      </c>
    </row>
    <row r="15">
      <c r="A15" s="5">
        <v>1.0</v>
      </c>
      <c r="B15" s="5">
        <v>2018.0</v>
      </c>
      <c r="C15" s="5">
        <v>4396.32</v>
      </c>
      <c r="D15" s="5">
        <v>297403.0</v>
      </c>
      <c r="E15" s="5">
        <v>5183.0</v>
      </c>
      <c r="F15" s="5">
        <v>4552.033376905687</v>
      </c>
      <c r="G15" s="5">
        <v>4.0</v>
      </c>
      <c r="H15" s="5">
        <v>4.0</v>
      </c>
      <c r="I15" s="5">
        <v>0.8482191780821917</v>
      </c>
      <c r="J15" s="5">
        <v>12.987083764782813</v>
      </c>
      <c r="K15" s="5">
        <v>-6.569592092918297</v>
      </c>
      <c r="L15" s="5">
        <v>0.9657925669667352</v>
      </c>
      <c r="M15" s="5">
        <v>10.876412838750248</v>
      </c>
      <c r="N15" s="5">
        <v>-4.791027648705692</v>
      </c>
      <c r="O15" s="5">
        <v>5.5642932437526715</v>
      </c>
      <c r="P15" s="5">
        <v>2982.0</v>
      </c>
      <c r="Q15" s="5">
        <v>4.0</v>
      </c>
      <c r="R15" s="5">
        <v>2992.0</v>
      </c>
      <c r="S15" s="5">
        <v>4.0</v>
      </c>
      <c r="T15" s="5">
        <v>150707.7</v>
      </c>
      <c r="U15" s="5">
        <v>4.0</v>
      </c>
      <c r="V15" s="5">
        <v>50.3702205882353</v>
      </c>
      <c r="W15" s="9" t="b">
        <v>1</v>
      </c>
      <c r="X15" s="9" t="b">
        <v>1</v>
      </c>
      <c r="Y15" s="5">
        <v>10.026798653678679</v>
      </c>
      <c r="Z15" s="5">
        <v>10.060423062309392</v>
      </c>
      <c r="AA15" s="5">
        <v>1927.0</v>
      </c>
      <c r="AB15" s="5">
        <v>3438.0</v>
      </c>
      <c r="AC15" s="5">
        <v>12.0</v>
      </c>
      <c r="AD15" s="5">
        <v>12.0</v>
      </c>
      <c r="AE15" s="9" t="b">
        <v>1</v>
      </c>
      <c r="AF15" s="9" t="b">
        <v>1</v>
      </c>
      <c r="AG15" s="5">
        <v>11.560071687239201</v>
      </c>
      <c r="AH15" s="5">
        <v>6.479423543138435</v>
      </c>
      <c r="AI15" s="5">
        <v>716.0</v>
      </c>
      <c r="AJ15" s="5">
        <v>1891.0</v>
      </c>
      <c r="AK15" s="5">
        <v>6.0</v>
      </c>
      <c r="AL15" s="5">
        <v>6.0</v>
      </c>
      <c r="AM15" s="5">
        <v>42.60935143288085</v>
      </c>
      <c r="AN15" s="5">
        <v>-34.06998158379374</v>
      </c>
    </row>
    <row r="16">
      <c r="A16" s="5">
        <v>1.0</v>
      </c>
      <c r="B16" s="5">
        <v>2019.0</v>
      </c>
      <c r="C16" s="5">
        <v>4744.13</v>
      </c>
      <c r="D16" s="5">
        <v>297356.0</v>
      </c>
      <c r="E16" s="5">
        <v>5578.317313357567</v>
      </c>
      <c r="F16" s="5">
        <v>5182.244511189529</v>
      </c>
      <c r="G16" s="5">
        <v>4.0</v>
      </c>
      <c r="H16" s="5">
        <v>4.0</v>
      </c>
      <c r="I16" s="5">
        <v>0.8504589706003165</v>
      </c>
      <c r="J16" s="5">
        <v>7.627191073848483</v>
      </c>
      <c r="K16" s="5">
        <v>0.26405822645851895</v>
      </c>
      <c r="L16" s="5">
        <v>0.9154585411314442</v>
      </c>
      <c r="M16" s="5">
        <v>13.844607060246062</v>
      </c>
      <c r="N16" s="5">
        <v>-5.211680805680152</v>
      </c>
      <c r="O16" s="5">
        <v>7.911389525785206</v>
      </c>
      <c r="P16" s="5">
        <v>3452.0</v>
      </c>
      <c r="Q16" s="5">
        <v>4.0</v>
      </c>
      <c r="R16" s="5">
        <v>3510.0</v>
      </c>
      <c r="S16" s="5">
        <v>4.0</v>
      </c>
      <c r="T16" s="5">
        <v>180151.7</v>
      </c>
      <c r="U16" s="5">
        <v>4.0</v>
      </c>
      <c r="V16" s="5">
        <v>51.32527065527066</v>
      </c>
      <c r="W16" s="9" t="b">
        <v>1</v>
      </c>
      <c r="X16" s="9" t="b">
        <v>1</v>
      </c>
      <c r="Y16" s="5">
        <v>11.6089804813086</v>
      </c>
      <c r="Z16" s="5">
        <v>11.804032876417493</v>
      </c>
      <c r="AA16" s="5">
        <v>2450.0</v>
      </c>
      <c r="AB16" s="5">
        <v>2903.0</v>
      </c>
      <c r="AC16" s="5">
        <v>12.0</v>
      </c>
      <c r="AD16" s="5">
        <v>12.0</v>
      </c>
      <c r="AE16" s="9" t="b">
        <v>1</v>
      </c>
      <c r="AF16" s="9" t="b">
        <v>1</v>
      </c>
      <c r="AG16" s="5">
        <v>9.762708672433044</v>
      </c>
      <c r="AH16" s="5">
        <v>8.239282207186</v>
      </c>
      <c r="AI16" s="5">
        <v>861.0</v>
      </c>
      <c r="AJ16" s="5">
        <v>2060.0</v>
      </c>
      <c r="AK16" s="5">
        <v>6.0</v>
      </c>
      <c r="AL16" s="5">
        <v>6.0</v>
      </c>
      <c r="AM16" s="5">
        <v>8.937070333157049</v>
      </c>
      <c r="AN16" s="5">
        <v>20.251396648044697</v>
      </c>
    </row>
    <row r="17">
      <c r="A17" s="5">
        <v>1.0</v>
      </c>
      <c r="B17" s="5">
        <v>2020.0</v>
      </c>
      <c r="C17" s="5">
        <v>5126.79</v>
      </c>
      <c r="D17" s="5">
        <v>295302.0</v>
      </c>
      <c r="E17" s="5">
        <v>5823.272833500809</v>
      </c>
      <c r="F17" s="5">
        <v>5778.305741360164</v>
      </c>
      <c r="G17" s="5">
        <v>4.0</v>
      </c>
      <c r="H17" s="5">
        <v>4.0</v>
      </c>
      <c r="I17" s="5">
        <v>0.8803966680911806</v>
      </c>
      <c r="J17" s="5">
        <v>4.391208071951791</v>
      </c>
      <c r="K17" s="5">
        <v>3.5201812816122002</v>
      </c>
      <c r="L17" s="5">
        <v>0.887247963240034</v>
      </c>
      <c r="M17" s="5">
        <v>11.50198970510976</v>
      </c>
      <c r="N17" s="5">
        <v>-3.081578970965071</v>
      </c>
      <c r="O17" s="5">
        <v>8.065967838149458</v>
      </c>
      <c r="P17" s="5">
        <v>3363.0</v>
      </c>
      <c r="Q17" s="5">
        <v>4.0</v>
      </c>
      <c r="R17" s="5">
        <v>3402.0</v>
      </c>
      <c r="S17" s="5">
        <v>4.0</v>
      </c>
      <c r="T17" s="5">
        <v>171883.90000000002</v>
      </c>
      <c r="U17" s="5">
        <v>4.0</v>
      </c>
      <c r="V17" s="5">
        <v>50.52436801881247</v>
      </c>
      <c r="W17" s="9" t="b">
        <v>1</v>
      </c>
      <c r="X17" s="9" t="b">
        <v>1</v>
      </c>
      <c r="Y17" s="5">
        <v>11.388341426742793</v>
      </c>
      <c r="Z17" s="5">
        <v>11.520409614564073</v>
      </c>
      <c r="AA17" s="5">
        <v>2832.0</v>
      </c>
      <c r="AB17" s="5">
        <v>3258.0</v>
      </c>
      <c r="AC17" s="5">
        <v>12.0</v>
      </c>
      <c r="AD17" s="5">
        <v>12.0</v>
      </c>
      <c r="AE17" s="9" t="b">
        <v>1</v>
      </c>
      <c r="AF17" s="9" t="b">
        <v>1</v>
      </c>
      <c r="AG17" s="5">
        <v>11.03277322876242</v>
      </c>
      <c r="AH17" s="5">
        <v>9.590182254099194</v>
      </c>
      <c r="AI17" s="5">
        <v>1104.0</v>
      </c>
      <c r="AJ17" s="5">
        <v>1568.0</v>
      </c>
      <c r="AK17" s="5">
        <v>6.0</v>
      </c>
      <c r="AL17" s="5">
        <v>6.0</v>
      </c>
      <c r="AM17" s="5">
        <v>-23.883495145631073</v>
      </c>
      <c r="AN17" s="5">
        <v>28.222996515679434</v>
      </c>
    </row>
    <row r="18">
      <c r="A18" s="5">
        <v>1.0</v>
      </c>
      <c r="B18" s="5">
        <v>2021.0</v>
      </c>
      <c r="C18" s="5">
        <v>5650.97</v>
      </c>
      <c r="D18" s="5">
        <v>294131.0</v>
      </c>
      <c r="E18" s="5">
        <v>6671.123733540426</v>
      </c>
      <c r="F18" s="5">
        <v>6291.3919765157025</v>
      </c>
      <c r="G18" s="5">
        <v>4.0</v>
      </c>
      <c r="H18" s="5">
        <v>4.0</v>
      </c>
      <c r="I18" s="5">
        <v>0.847079176719299</v>
      </c>
      <c r="J18" s="5">
        <v>14.55969734342517</v>
      </c>
      <c r="K18" s="5">
        <v>-3.784372724185614</v>
      </c>
      <c r="L18" s="5">
        <v>0.8982066323468244</v>
      </c>
      <c r="M18" s="5">
        <v>8.879527289166301</v>
      </c>
      <c r="N18" s="5">
        <v>1.2351303762672794</v>
      </c>
      <c r="O18" s="5">
        <v>10.224331404251007</v>
      </c>
      <c r="P18" s="5">
        <v>4549.0</v>
      </c>
      <c r="Q18" s="5">
        <v>4.0</v>
      </c>
      <c r="R18" s="5">
        <v>4592.0</v>
      </c>
      <c r="S18" s="5">
        <v>4.0</v>
      </c>
      <c r="T18" s="5">
        <v>236576.2</v>
      </c>
      <c r="U18" s="5">
        <v>4.0</v>
      </c>
      <c r="V18" s="5">
        <v>51.519207317073175</v>
      </c>
      <c r="W18" s="9" t="b">
        <v>1</v>
      </c>
      <c r="X18" s="9" t="b">
        <v>1</v>
      </c>
      <c r="Y18" s="5">
        <v>15.46589784823769</v>
      </c>
      <c r="Z18" s="5">
        <v>15.612091211059017</v>
      </c>
      <c r="AA18" s="5">
        <v>3234.0</v>
      </c>
      <c r="AB18" s="5">
        <v>3082.0</v>
      </c>
      <c r="AC18" s="5">
        <v>12.0</v>
      </c>
      <c r="AD18" s="5">
        <v>12.0</v>
      </c>
      <c r="AE18" s="9" t="b">
        <v>1</v>
      </c>
      <c r="AF18" s="9" t="b">
        <v>1</v>
      </c>
      <c r="AG18" s="5">
        <v>10.478324284077503</v>
      </c>
      <c r="AH18" s="5">
        <v>10.995100822422662</v>
      </c>
      <c r="AI18" s="5">
        <v>1440.0</v>
      </c>
      <c r="AJ18" s="5">
        <v>1878.0</v>
      </c>
      <c r="AK18" s="5">
        <v>6.0</v>
      </c>
      <c r="AL18" s="5">
        <v>6.0</v>
      </c>
      <c r="AM18" s="5">
        <v>19.770408163265294</v>
      </c>
      <c r="AN18" s="5">
        <v>30.434782608695656</v>
      </c>
    </row>
    <row r="19">
      <c r="A19" s="5">
        <v>1.0</v>
      </c>
      <c r="B19" s="5">
        <v>2022.0</v>
      </c>
      <c r="C19" s="5">
        <v>6183.98</v>
      </c>
      <c r="D19" s="5">
        <v>293028.0</v>
      </c>
      <c r="E19" s="5">
        <v>8338.493477997177</v>
      </c>
      <c r="F19" s="5">
        <v>7352.592669759552</v>
      </c>
      <c r="G19" s="5">
        <v>4.0</v>
      </c>
      <c r="H19" s="5">
        <v>4.0</v>
      </c>
      <c r="I19" s="5">
        <v>0.7416183770267012</v>
      </c>
      <c r="J19" s="5">
        <v>24.993836286886918</v>
      </c>
      <c r="K19" s="5">
        <v>-12.4499341491362</v>
      </c>
      <c r="L19" s="5">
        <v>0.8410611437016041</v>
      </c>
      <c r="M19" s="5">
        <v>16.867502409722125</v>
      </c>
      <c r="N19" s="5">
        <v>-6.362176206148817</v>
      </c>
      <c r="O19" s="5">
        <v>9.432185978690377</v>
      </c>
      <c r="P19" s="5">
        <v>3667.0</v>
      </c>
      <c r="Q19" s="5">
        <v>4.0</v>
      </c>
      <c r="R19" s="5">
        <v>3827.0</v>
      </c>
      <c r="S19" s="5">
        <v>4.0</v>
      </c>
      <c r="T19" s="5">
        <v>195585.8</v>
      </c>
      <c r="U19" s="5">
        <v>4.0</v>
      </c>
      <c r="V19" s="5">
        <v>51.10681996341782</v>
      </c>
      <c r="W19" s="9" t="b">
        <v>1</v>
      </c>
      <c r="X19" s="9" t="b">
        <v>1</v>
      </c>
      <c r="Y19" s="5">
        <v>12.51416246911558</v>
      </c>
      <c r="Z19" s="5">
        <v>13.060185374776472</v>
      </c>
      <c r="AA19" s="5">
        <v>1979.0</v>
      </c>
      <c r="AB19" s="5">
        <v>1366.0</v>
      </c>
      <c r="AC19" s="5">
        <v>12.0</v>
      </c>
      <c r="AD19" s="5">
        <v>12.0</v>
      </c>
      <c r="AE19" s="9" t="b">
        <v>1</v>
      </c>
      <c r="AF19" s="9" t="b">
        <v>1</v>
      </c>
      <c r="AG19" s="5">
        <v>4.66167055707987</v>
      </c>
      <c r="AH19" s="5">
        <v>6.753620814393164</v>
      </c>
      <c r="AI19" s="5">
        <v>1207.0</v>
      </c>
      <c r="AJ19" s="5">
        <v>1071.0</v>
      </c>
      <c r="AK19" s="5">
        <v>6.0</v>
      </c>
      <c r="AL19" s="5">
        <v>6.0</v>
      </c>
      <c r="AM19" s="5">
        <v>-42.97124600638978</v>
      </c>
      <c r="AN19" s="5">
        <v>-16.180555555555554</v>
      </c>
    </row>
    <row r="20">
      <c r="A20" s="5">
        <v>1.0</v>
      </c>
      <c r="B20" s="5">
        <v>2023.0</v>
      </c>
      <c r="C20" s="5">
        <v>7089.31</v>
      </c>
      <c r="D20" s="5">
        <v>292058.0</v>
      </c>
      <c r="E20" s="5">
        <v>8701.2168680073</v>
      </c>
      <c r="F20" s="5">
        <v>7571.726592857741</v>
      </c>
      <c r="G20" s="5">
        <v>4.0</v>
      </c>
      <c r="H20" s="5">
        <v>4.0</v>
      </c>
      <c r="I20" s="5">
        <v>0.8147492595048434</v>
      </c>
      <c r="J20" s="5">
        <v>4.349987092599417</v>
      </c>
      <c r="K20" s="5">
        <v>9.8609857500213</v>
      </c>
      <c r="L20" s="5">
        <v>0.9362871087668704</v>
      </c>
      <c r="M20" s="5">
        <v>2.9803626141220008</v>
      </c>
      <c r="N20" s="5">
        <v>11.322121557793775</v>
      </c>
      <c r="O20" s="5">
        <v>14.639924449949726</v>
      </c>
      <c r="Q20" s="5">
        <v>2.0</v>
      </c>
      <c r="R20" s="5">
        <v>3958.0</v>
      </c>
      <c r="S20" s="5">
        <v>4.0</v>
      </c>
      <c r="T20" s="5">
        <v>195474.0</v>
      </c>
      <c r="U20" s="5">
        <v>4.0</v>
      </c>
      <c r="V20" s="5">
        <v>49.387064173825166</v>
      </c>
      <c r="W20" s="9" t="b">
        <v>0</v>
      </c>
      <c r="X20" s="9" t="b">
        <v>1</v>
      </c>
      <c r="Z20" s="5">
        <v>13.552102664539236</v>
      </c>
      <c r="AA20" s="5">
        <v>2786.0</v>
      </c>
      <c r="AB20" s="5">
        <v>826.0</v>
      </c>
      <c r="AC20" s="5">
        <v>12.0</v>
      </c>
      <c r="AD20" s="5">
        <v>12.0</v>
      </c>
      <c r="AE20" s="9" t="b">
        <v>1</v>
      </c>
      <c r="AF20" s="9" t="b">
        <v>1</v>
      </c>
      <c r="AG20" s="5">
        <v>2.8282053564702903</v>
      </c>
      <c r="AH20" s="5">
        <v>9.539201117586233</v>
      </c>
      <c r="AI20" s="5">
        <v>1633.0</v>
      </c>
      <c r="AJ20" s="5">
        <v>303.0</v>
      </c>
      <c r="AK20" s="5">
        <v>6.0</v>
      </c>
      <c r="AL20" s="5">
        <v>6.0</v>
      </c>
      <c r="AM20" s="5">
        <v>-71.70868347338936</v>
      </c>
      <c r="AN20" s="5">
        <v>35.29411764705883</v>
      </c>
    </row>
    <row r="21" ht="15.75" customHeight="1">
      <c r="A21" s="5">
        <v>1.0</v>
      </c>
      <c r="B21" s="5">
        <v>2024.0</v>
      </c>
      <c r="C21" s="5">
        <v>8281.89</v>
      </c>
      <c r="D21" s="5">
        <v>290907.0</v>
      </c>
      <c r="E21" s="5">
        <v>10145.986161227833</v>
      </c>
      <c r="F21" s="5">
        <v>8858.756876104208</v>
      </c>
      <c r="G21" s="5">
        <v>4.0</v>
      </c>
      <c r="H21" s="5">
        <v>4.0</v>
      </c>
      <c r="I21" s="5">
        <v>0.8162725503853588</v>
      </c>
      <c r="J21" s="5">
        <v>16.604221169715604</v>
      </c>
      <c r="K21" s="5">
        <v>0.18696437741363425</v>
      </c>
      <c r="L21" s="5">
        <v>0.9348817351946681</v>
      </c>
      <c r="M21" s="5">
        <v>16.99784411735754</v>
      </c>
      <c r="N21" s="5">
        <v>-0.1501007072556182</v>
      </c>
      <c r="O21" s="5">
        <v>16.822229525863563</v>
      </c>
      <c r="P21" s="5">
        <v>4395.0</v>
      </c>
      <c r="Q21" s="5">
        <v>4.0</v>
      </c>
      <c r="R21" s="5">
        <v>4402.0</v>
      </c>
      <c r="S21" s="5">
        <v>4.0</v>
      </c>
      <c r="T21" s="5">
        <v>216386.0</v>
      </c>
      <c r="U21" s="5">
        <v>4.0</v>
      </c>
      <c r="V21" s="5">
        <v>49.15629259427533</v>
      </c>
      <c r="W21" s="9" t="b">
        <v>1</v>
      </c>
      <c r="X21" s="9" t="b">
        <v>1</v>
      </c>
      <c r="Y21" s="5">
        <v>15.107921088182822</v>
      </c>
      <c r="Z21" s="5">
        <v>15.131983761133283</v>
      </c>
      <c r="AA21" s="5">
        <v>2503.0</v>
      </c>
      <c r="AB21" s="5">
        <v>2855.0</v>
      </c>
      <c r="AC21" s="5">
        <v>12.0</v>
      </c>
      <c r="AD21" s="5">
        <v>12.0</v>
      </c>
      <c r="AE21" s="9" t="b">
        <v>1</v>
      </c>
      <c r="AF21" s="9" t="b">
        <v>1</v>
      </c>
      <c r="AG21" s="5">
        <v>9.814133039081218</v>
      </c>
      <c r="AH21" s="5">
        <v>8.60412434214371</v>
      </c>
      <c r="AI21" s="5">
        <v>1513.0</v>
      </c>
      <c r="AJ21" s="5">
        <v>1229.0</v>
      </c>
      <c r="AK21" s="5">
        <v>6.0</v>
      </c>
      <c r="AL21" s="5">
        <v>6.0</v>
      </c>
      <c r="AM21" s="5">
        <v>305.61056105610567</v>
      </c>
      <c r="AN21" s="5">
        <v>-7.348438456827921</v>
      </c>
    </row>
    <row r="22" ht="15.75" customHeight="1">
      <c r="A22" s="5">
        <v>1.0</v>
      </c>
      <c r="B22" s="5">
        <v>2025.0</v>
      </c>
      <c r="C22" s="5">
        <v>9090.46</v>
      </c>
      <c r="D22" s="5">
        <v>289685.0</v>
      </c>
      <c r="E22" s="5">
        <v>10348.073492134024</v>
      </c>
      <c r="F22" s="5">
        <v>9479.321585038813</v>
      </c>
      <c r="G22" s="5">
        <v>4.0</v>
      </c>
      <c r="H22" s="5">
        <v>4.0</v>
      </c>
      <c r="I22" s="5">
        <v>0.8784688287061367</v>
      </c>
      <c r="J22" s="5">
        <v>1.9917958461096008</v>
      </c>
      <c r="K22" s="5">
        <v>7.619547942830529</v>
      </c>
      <c r="L22" s="5">
        <v>0.9589779098060611</v>
      </c>
      <c r="M22" s="5">
        <v>7.005099221184508</v>
      </c>
      <c r="N22" s="5">
        <v>2.5774569877948794</v>
      </c>
      <c r="O22" s="5">
        <v>9.76310962835778</v>
      </c>
      <c r="AA22" s="5">
        <v>1693.0</v>
      </c>
      <c r="AB22" s="5">
        <v>1891.0</v>
      </c>
      <c r="AC22" s="5">
        <v>12.0</v>
      </c>
      <c r="AD22" s="5">
        <v>12.0</v>
      </c>
      <c r="AE22" s="9" t="b">
        <v>1</v>
      </c>
      <c r="AF22" s="9" t="b">
        <v>1</v>
      </c>
      <c r="AG22" s="5">
        <v>6.527780175017692</v>
      </c>
      <c r="AH22" s="5">
        <v>5.844279130779985</v>
      </c>
      <c r="AI22" s="5">
        <v>1120.0</v>
      </c>
      <c r="AJ22" s="5">
        <v>1263.0</v>
      </c>
      <c r="AK22" s="5">
        <v>6.0</v>
      </c>
      <c r="AL22" s="5">
        <v>6.0</v>
      </c>
      <c r="AM22" s="5">
        <v>2.766476810414975</v>
      </c>
      <c r="AN22" s="5">
        <v>-25.974884335756776</v>
      </c>
    </row>
    <row r="23" ht="15.75" customHeight="1">
      <c r="A23" s="5">
        <v>1.0</v>
      </c>
      <c r="B23" s="5">
        <v>2026.0</v>
      </c>
      <c r="AI23" s="5">
        <v>311.0</v>
      </c>
      <c r="AJ23" s="5">
        <v>1351.0</v>
      </c>
      <c r="AK23" s="5">
        <v>6.0</v>
      </c>
      <c r="AL23" s="5">
        <v>6.0</v>
      </c>
      <c r="AM23" s="5">
        <v>6.967537608867769</v>
      </c>
      <c r="AN23" s="5">
        <v>-72.23214285714286</v>
      </c>
    </row>
    <row r="24" ht="15.75" customHeight="1">
      <c r="A24" s="5">
        <v>2.0</v>
      </c>
      <c r="B24" s="5">
        <v>2005.0</v>
      </c>
      <c r="C24" s="5">
        <v>2343.98</v>
      </c>
      <c r="D24" s="5">
        <v>367368.0</v>
      </c>
      <c r="AA24" s="5">
        <v>505.0</v>
      </c>
      <c r="AB24" s="5">
        <v>633.0</v>
      </c>
      <c r="AC24" s="5">
        <v>12.0</v>
      </c>
      <c r="AD24" s="5">
        <v>12.0</v>
      </c>
      <c r="AE24" s="9" t="b">
        <v>1</v>
      </c>
      <c r="AF24" s="9" t="b">
        <v>1</v>
      </c>
      <c r="AG24" s="5">
        <v>1.7230678774416932</v>
      </c>
      <c r="AH24" s="5">
        <v>1.3746434093334206</v>
      </c>
      <c r="AI24" s="5">
        <v>257.0</v>
      </c>
      <c r="AJ24" s="5">
        <v>38.0</v>
      </c>
      <c r="AK24" s="5">
        <v>6.0</v>
      </c>
      <c r="AL24" s="5">
        <v>6.0</v>
      </c>
    </row>
    <row r="25" ht="15.75" customHeight="1">
      <c r="A25" s="5">
        <v>2.0</v>
      </c>
      <c r="B25" s="5">
        <v>2006.0</v>
      </c>
      <c r="C25" s="5">
        <v>2482.78</v>
      </c>
      <c r="D25" s="5">
        <v>364953.0</v>
      </c>
      <c r="AA25" s="5">
        <v>681.0</v>
      </c>
      <c r="AB25" s="5">
        <v>1184.0</v>
      </c>
      <c r="AC25" s="5">
        <v>12.0</v>
      </c>
      <c r="AD25" s="5">
        <v>12.0</v>
      </c>
      <c r="AE25" s="9" t="b">
        <v>1</v>
      </c>
      <c r="AF25" s="9" t="b">
        <v>1</v>
      </c>
      <c r="AG25" s="5">
        <v>3.2442533696119775</v>
      </c>
      <c r="AH25" s="5">
        <v>1.865993703298781</v>
      </c>
      <c r="AI25" s="5">
        <v>150.0</v>
      </c>
      <c r="AJ25" s="5">
        <v>475.0</v>
      </c>
      <c r="AK25" s="5">
        <v>6.0</v>
      </c>
      <c r="AL25" s="5">
        <v>6.0</v>
      </c>
      <c r="AM25" s="5">
        <v>1150.0</v>
      </c>
      <c r="AN25" s="5">
        <v>-41.63424124513618</v>
      </c>
    </row>
    <row r="26" ht="15.75" customHeight="1">
      <c r="A26" s="5">
        <v>2.0</v>
      </c>
      <c r="B26" s="5">
        <v>2007.0</v>
      </c>
      <c r="C26" s="5">
        <v>2690.84</v>
      </c>
      <c r="D26" s="5">
        <v>362397.0</v>
      </c>
      <c r="E26" s="5">
        <v>4039.25</v>
      </c>
      <c r="F26" s="5">
        <v>3634.324274587516</v>
      </c>
      <c r="G26" s="5">
        <v>4.0</v>
      </c>
      <c r="H26" s="5">
        <v>4.0</v>
      </c>
      <c r="I26" s="5">
        <v>0.6661731757133131</v>
      </c>
      <c r="L26" s="5">
        <v>0.7403962323382389</v>
      </c>
      <c r="AA26" s="5">
        <v>668.0</v>
      </c>
      <c r="AB26" s="5">
        <v>1243.0</v>
      </c>
      <c r="AC26" s="5">
        <v>12.0</v>
      </c>
      <c r="AD26" s="5">
        <v>12.0</v>
      </c>
      <c r="AE26" s="9" t="b">
        <v>1</v>
      </c>
      <c r="AF26" s="9" t="b">
        <v>1</v>
      </c>
      <c r="AG26" s="5">
        <v>3.429940093323068</v>
      </c>
      <c r="AH26" s="5">
        <v>1.8432823671277632</v>
      </c>
      <c r="AI26" s="5">
        <v>414.0</v>
      </c>
      <c r="AJ26" s="5">
        <v>697.0</v>
      </c>
      <c r="AK26" s="5">
        <v>6.0</v>
      </c>
      <c r="AL26" s="5">
        <v>6.0</v>
      </c>
      <c r="AM26" s="5">
        <v>46.736842105263165</v>
      </c>
      <c r="AN26" s="5">
        <v>175.99999999999997</v>
      </c>
    </row>
    <row r="27" ht="15.75" customHeight="1">
      <c r="A27" s="5">
        <v>2.0</v>
      </c>
      <c r="B27" s="5">
        <v>2008.0</v>
      </c>
      <c r="C27" s="5">
        <v>2973.85</v>
      </c>
      <c r="D27" s="5">
        <v>360142.0</v>
      </c>
      <c r="E27" s="5">
        <v>4735.25</v>
      </c>
      <c r="F27" s="5">
        <v>3841.0020674619873</v>
      </c>
      <c r="G27" s="5">
        <v>4.0</v>
      </c>
      <c r="H27" s="5">
        <v>4.0</v>
      </c>
      <c r="I27" s="5">
        <v>0.6280238635763687</v>
      </c>
      <c r="J27" s="5">
        <v>17.230921581976855</v>
      </c>
      <c r="K27" s="5">
        <v>-5.726635885045283</v>
      </c>
      <c r="L27" s="5">
        <v>0.7742380628201604</v>
      </c>
      <c r="M27" s="5">
        <v>5.68682861679779</v>
      </c>
      <c r="N27" s="5">
        <v>4.570772919122756</v>
      </c>
      <c r="O27" s="5">
        <v>10.517533558294057</v>
      </c>
      <c r="AA27" s="5">
        <v>1512.0</v>
      </c>
      <c r="AB27" s="5">
        <v>1604.0</v>
      </c>
      <c r="AC27" s="5">
        <v>12.0</v>
      </c>
      <c r="AD27" s="5">
        <v>12.0</v>
      </c>
      <c r="AE27" s="9" t="b">
        <v>1</v>
      </c>
      <c r="AF27" s="9" t="b">
        <v>1</v>
      </c>
      <c r="AG27" s="5">
        <v>4.453798779370359</v>
      </c>
      <c r="AH27" s="5">
        <v>4.198343986538642</v>
      </c>
      <c r="AI27" s="5">
        <v>586.0</v>
      </c>
      <c r="AJ27" s="5">
        <v>1186.0</v>
      </c>
      <c r="AK27" s="5">
        <v>6.0</v>
      </c>
      <c r="AL27" s="5">
        <v>6.0</v>
      </c>
      <c r="AM27" s="5">
        <v>70.15781922525109</v>
      </c>
      <c r="AN27" s="5">
        <v>41.54589371980677</v>
      </c>
    </row>
    <row r="28" ht="15.75" customHeight="1">
      <c r="A28" s="5">
        <v>2.0</v>
      </c>
      <c r="B28" s="5">
        <v>2009.0</v>
      </c>
      <c r="C28" s="5">
        <v>3074.32</v>
      </c>
      <c r="D28" s="5">
        <v>358029.0</v>
      </c>
      <c r="E28" s="5">
        <v>4827.25</v>
      </c>
      <c r="F28" s="5">
        <v>3698.3685493974754</v>
      </c>
      <c r="G28" s="5">
        <v>4.0</v>
      </c>
      <c r="H28" s="5">
        <v>4.0</v>
      </c>
      <c r="I28" s="5">
        <v>0.6368677818633798</v>
      </c>
      <c r="J28" s="5">
        <v>1.9428752441792874</v>
      </c>
      <c r="K28" s="5">
        <v>1.4082137319827437</v>
      </c>
      <c r="L28" s="5">
        <v>0.8312638286146082</v>
      </c>
      <c r="M28" s="5">
        <v>-3.713445490508671</v>
      </c>
      <c r="N28" s="5">
        <v>7.365404587153934</v>
      </c>
      <c r="O28" s="5">
        <v>3.3784488121458844</v>
      </c>
      <c r="AA28" s="5">
        <v>987.0</v>
      </c>
      <c r="AB28" s="5">
        <v>1131.0</v>
      </c>
      <c r="AC28" s="5">
        <v>12.0</v>
      </c>
      <c r="AD28" s="5">
        <v>12.0</v>
      </c>
      <c r="AE28" s="9" t="b">
        <v>1</v>
      </c>
      <c r="AF28" s="9" t="b">
        <v>1</v>
      </c>
      <c r="AG28" s="5">
        <v>3.158961983526474</v>
      </c>
      <c r="AH28" s="5">
        <v>2.7567599272684613</v>
      </c>
      <c r="AI28" s="5">
        <v>237.0</v>
      </c>
      <c r="AJ28" s="5">
        <v>416.0</v>
      </c>
      <c r="AK28" s="5">
        <v>6.0</v>
      </c>
      <c r="AL28" s="5">
        <v>6.0</v>
      </c>
      <c r="AM28" s="5">
        <v>-64.92411467116357</v>
      </c>
      <c r="AN28" s="5">
        <v>-59.55631399317406</v>
      </c>
    </row>
    <row r="29" ht="15.75" customHeight="1">
      <c r="A29" s="5">
        <v>2.0</v>
      </c>
      <c r="B29" s="5">
        <v>2010.0</v>
      </c>
      <c r="C29" s="5">
        <v>3184.45</v>
      </c>
      <c r="D29" s="5">
        <v>365202.0</v>
      </c>
      <c r="E29" s="5">
        <v>4735.0</v>
      </c>
      <c r="F29" s="5">
        <v>3809.6278039709614</v>
      </c>
      <c r="G29" s="5">
        <v>4.0</v>
      </c>
      <c r="H29" s="5">
        <v>4.0</v>
      </c>
      <c r="I29" s="5">
        <v>0.6725343189017952</v>
      </c>
      <c r="J29" s="5">
        <v>-1.9110259464498403</v>
      </c>
      <c r="K29" s="5">
        <v>5.600304812729018</v>
      </c>
      <c r="L29" s="5">
        <v>0.8358953062765585</v>
      </c>
      <c r="M29" s="5">
        <v>3.0083333525971145</v>
      </c>
      <c r="N29" s="5">
        <v>0.5571609761571228</v>
      </c>
      <c r="O29" s="5">
        <v>3.582255588227623</v>
      </c>
      <c r="P29" s="5">
        <v>1782.0</v>
      </c>
      <c r="Q29" s="5">
        <v>4.0</v>
      </c>
      <c r="R29" s="5">
        <v>1595.0</v>
      </c>
      <c r="S29" s="5">
        <v>4.0</v>
      </c>
      <c r="T29" s="5">
        <v>83987.9</v>
      </c>
      <c r="U29" s="5">
        <v>4.0</v>
      </c>
      <c r="V29" s="5">
        <v>52.65699059561128</v>
      </c>
      <c r="W29" s="9" t="b">
        <v>1</v>
      </c>
      <c r="X29" s="9" t="b">
        <v>1</v>
      </c>
      <c r="Y29" s="5">
        <v>4.879491349992606</v>
      </c>
      <c r="Z29" s="5">
        <v>4.367445961413136</v>
      </c>
      <c r="AA29" s="5">
        <v>996.0</v>
      </c>
      <c r="AB29" s="5">
        <v>750.0</v>
      </c>
      <c r="AC29" s="5">
        <v>12.0</v>
      </c>
      <c r="AD29" s="5">
        <v>12.0</v>
      </c>
      <c r="AE29" s="9" t="b">
        <v>1</v>
      </c>
      <c r="AF29" s="9" t="b">
        <v>1</v>
      </c>
      <c r="AG29" s="5">
        <v>2.053657975586114</v>
      </c>
      <c r="AH29" s="5">
        <v>2.7272577915783596</v>
      </c>
      <c r="AI29" s="5">
        <v>619.0</v>
      </c>
      <c r="AJ29" s="5">
        <v>394.0</v>
      </c>
      <c r="AK29" s="5">
        <v>6.0</v>
      </c>
      <c r="AL29" s="5">
        <v>6.0</v>
      </c>
      <c r="AM29" s="5">
        <v>-5.288461538461542</v>
      </c>
      <c r="AN29" s="5">
        <v>161.1814345991561</v>
      </c>
    </row>
    <row r="30" ht="15.75" customHeight="1">
      <c r="A30" s="5">
        <v>2.0</v>
      </c>
      <c r="B30" s="5">
        <v>2011.0</v>
      </c>
      <c r="C30" s="5">
        <v>3363.68</v>
      </c>
      <c r="D30" s="5">
        <v>363607.0</v>
      </c>
      <c r="E30" s="5">
        <v>4641.5</v>
      </c>
      <c r="F30" s="5">
        <v>3774.7551313697304</v>
      </c>
      <c r="G30" s="5">
        <v>4.0</v>
      </c>
      <c r="H30" s="5">
        <v>4.0</v>
      </c>
      <c r="I30" s="5">
        <v>0.7246967575137347</v>
      </c>
      <c r="J30" s="5">
        <v>-1.974656810982045</v>
      </c>
      <c r="K30" s="5">
        <v>7.756100639907482</v>
      </c>
      <c r="L30" s="5">
        <v>0.8910988614987152</v>
      </c>
      <c r="M30" s="5">
        <v>-0.915382667169784</v>
      </c>
      <c r="N30" s="5">
        <v>6.604123124947003</v>
      </c>
      <c r="O30" s="5">
        <v>5.628287459372894</v>
      </c>
      <c r="P30" s="5">
        <v>2411.0</v>
      </c>
      <c r="Q30" s="5">
        <v>4.0</v>
      </c>
      <c r="R30" s="5">
        <v>2206.0</v>
      </c>
      <c r="S30" s="5">
        <v>4.0</v>
      </c>
      <c r="T30" s="5">
        <v>114805.1</v>
      </c>
      <c r="U30" s="5">
        <v>4.0</v>
      </c>
      <c r="V30" s="5">
        <v>52.04220308250227</v>
      </c>
      <c r="W30" s="9" t="b">
        <v>1</v>
      </c>
      <c r="X30" s="9" t="b">
        <v>1</v>
      </c>
      <c r="Y30" s="5">
        <v>6.630785435923951</v>
      </c>
      <c r="Z30" s="5">
        <v>6.066989909435187</v>
      </c>
      <c r="AA30" s="5">
        <v>865.0</v>
      </c>
      <c r="AB30" s="5">
        <v>1261.0</v>
      </c>
      <c r="AC30" s="5">
        <v>12.0</v>
      </c>
      <c r="AD30" s="5">
        <v>12.0</v>
      </c>
      <c r="AE30" s="9" t="b">
        <v>1</v>
      </c>
      <c r="AF30" s="9" t="b">
        <v>1</v>
      </c>
      <c r="AG30" s="5">
        <v>3.4680300434260065</v>
      </c>
      <c r="AH30" s="5">
        <v>2.3789420995745405</v>
      </c>
      <c r="AI30" s="5">
        <v>171.0</v>
      </c>
      <c r="AJ30" s="5">
        <v>421.0</v>
      </c>
      <c r="AK30" s="5">
        <v>6.0</v>
      </c>
      <c r="AL30" s="5">
        <v>6.0</v>
      </c>
      <c r="AM30" s="5">
        <v>6.852791878172582</v>
      </c>
      <c r="AN30" s="5">
        <v>-72.37479806138933</v>
      </c>
    </row>
    <row r="31" ht="15.75" customHeight="1">
      <c r="A31" s="5">
        <v>2.0</v>
      </c>
      <c r="B31" s="5">
        <v>2012.0</v>
      </c>
      <c r="C31" s="5">
        <v>3468.51</v>
      </c>
      <c r="D31" s="5">
        <v>362286.0</v>
      </c>
      <c r="E31" s="5">
        <v>4580.75</v>
      </c>
      <c r="F31" s="5">
        <v>3560.590011400438</v>
      </c>
      <c r="G31" s="5">
        <v>4.0</v>
      </c>
      <c r="H31" s="5">
        <v>4.0</v>
      </c>
      <c r="I31" s="5">
        <v>0.7571925994651532</v>
      </c>
      <c r="J31" s="5">
        <v>-1.308844123666919</v>
      </c>
      <c r="K31" s="5">
        <v>4.484060624598918</v>
      </c>
      <c r="L31" s="5">
        <v>0.9741391142744286</v>
      </c>
      <c r="M31" s="5">
        <v>-5.673616235116663</v>
      </c>
      <c r="N31" s="5">
        <v>9.318859709465933</v>
      </c>
      <c r="O31" s="5">
        <v>3.1165271369452574</v>
      </c>
      <c r="P31" s="5">
        <v>2961.0</v>
      </c>
      <c r="Q31" s="5">
        <v>4.0</v>
      </c>
      <c r="R31" s="5">
        <v>2479.0</v>
      </c>
      <c r="S31" s="5">
        <v>4.0</v>
      </c>
      <c r="T31" s="5">
        <v>127027.2</v>
      </c>
      <c r="U31" s="5">
        <v>4.0</v>
      </c>
      <c r="V31" s="5">
        <v>51.24130697862041</v>
      </c>
      <c r="W31" s="9" t="b">
        <v>1</v>
      </c>
      <c r="X31" s="9" t="b">
        <v>1</v>
      </c>
      <c r="Y31" s="5">
        <v>8.173100809857406</v>
      </c>
      <c r="Z31" s="5">
        <v>6.842660218722225</v>
      </c>
      <c r="AA31" s="5">
        <v>1023.0</v>
      </c>
      <c r="AB31" s="5">
        <v>837.0</v>
      </c>
      <c r="AC31" s="5">
        <v>12.0</v>
      </c>
      <c r="AD31" s="5">
        <v>12.0</v>
      </c>
      <c r="AE31" s="9" t="b">
        <v>1</v>
      </c>
      <c r="AF31" s="9" t="b">
        <v>1</v>
      </c>
      <c r="AG31" s="5">
        <v>2.3103294082575645</v>
      </c>
      <c r="AH31" s="5">
        <v>2.823735943425912</v>
      </c>
      <c r="AI31" s="5">
        <v>468.0</v>
      </c>
      <c r="AJ31" s="5">
        <v>561.0</v>
      </c>
      <c r="AK31" s="5">
        <v>6.0</v>
      </c>
      <c r="AL31" s="5">
        <v>6.0</v>
      </c>
      <c r="AM31" s="5">
        <v>33.2541567695962</v>
      </c>
      <c r="AN31" s="5">
        <v>173.6842105263158</v>
      </c>
    </row>
    <row r="32" ht="15.75" customHeight="1">
      <c r="A32" s="5">
        <v>2.0</v>
      </c>
      <c r="B32" s="5">
        <v>2013.0</v>
      </c>
      <c r="C32" s="5">
        <v>3589.06</v>
      </c>
      <c r="D32" s="5">
        <v>360289.0</v>
      </c>
      <c r="E32" s="5">
        <v>4773.5</v>
      </c>
      <c r="F32" s="5">
        <v>3484.062200276414</v>
      </c>
      <c r="G32" s="5">
        <v>4.0</v>
      </c>
      <c r="H32" s="5">
        <v>4.0</v>
      </c>
      <c r="I32" s="5">
        <v>0.7518717921860271</v>
      </c>
      <c r="J32" s="5">
        <v>4.207826229329248</v>
      </c>
      <c r="K32" s="5">
        <v>-0.7027019655084454</v>
      </c>
      <c r="L32" s="5">
        <v>1.0301366031052075</v>
      </c>
      <c r="M32" s="5">
        <v>-2.149301404514259</v>
      </c>
      <c r="N32" s="5">
        <v>5.748407800305588</v>
      </c>
      <c r="O32" s="5">
        <v>3.4755557862021336</v>
      </c>
      <c r="P32" s="5">
        <v>3120.0</v>
      </c>
      <c r="Q32" s="5">
        <v>4.0</v>
      </c>
      <c r="R32" s="5">
        <v>2716.0</v>
      </c>
      <c r="S32" s="5">
        <v>4.0</v>
      </c>
      <c r="T32" s="5">
        <v>142034.7</v>
      </c>
      <c r="U32" s="5">
        <v>4.0</v>
      </c>
      <c r="V32" s="5">
        <v>52.29554491899853</v>
      </c>
      <c r="W32" s="9" t="b">
        <v>1</v>
      </c>
      <c r="X32" s="9" t="b">
        <v>1</v>
      </c>
      <c r="Y32" s="5">
        <v>8.659714840031198</v>
      </c>
      <c r="Z32" s="5">
        <v>7.538392790232286</v>
      </c>
      <c r="AA32" s="5">
        <v>1044.0</v>
      </c>
      <c r="AB32" s="5">
        <v>1204.0</v>
      </c>
      <c r="AC32" s="5">
        <v>12.0</v>
      </c>
      <c r="AD32" s="5">
        <v>12.0</v>
      </c>
      <c r="AE32" s="9" t="b">
        <v>1</v>
      </c>
      <c r="AF32" s="9" t="b">
        <v>1</v>
      </c>
      <c r="AG32" s="5">
        <v>3.341761752371013</v>
      </c>
      <c r="AH32" s="5">
        <v>2.897673811856593</v>
      </c>
      <c r="AI32" s="5">
        <v>589.0</v>
      </c>
      <c r="AJ32" s="5">
        <v>536.0</v>
      </c>
      <c r="AK32" s="5">
        <v>6.0</v>
      </c>
      <c r="AL32" s="5">
        <v>6.0</v>
      </c>
      <c r="AM32" s="5">
        <v>-4.456327985739749</v>
      </c>
      <c r="AN32" s="5">
        <v>25.85470085470085</v>
      </c>
    </row>
    <row r="33" ht="15.75" customHeight="1">
      <c r="A33" s="5">
        <v>2.0</v>
      </c>
      <c r="B33" s="5">
        <v>2014.0</v>
      </c>
      <c r="C33" s="5">
        <v>3677.79</v>
      </c>
      <c r="D33" s="5">
        <v>358614.0</v>
      </c>
      <c r="E33" s="5">
        <v>4706.0</v>
      </c>
      <c r="F33" s="5">
        <v>3454.4786652661323</v>
      </c>
      <c r="G33" s="5">
        <v>4.0</v>
      </c>
      <c r="H33" s="5">
        <v>4.0</v>
      </c>
      <c r="I33" s="5">
        <v>0.7815108372290692</v>
      </c>
      <c r="J33" s="5">
        <v>-1.4140567717607633</v>
      </c>
      <c r="K33" s="5">
        <v>3.9420344467064217</v>
      </c>
      <c r="L33" s="5">
        <v>1.0646440046016796</v>
      </c>
      <c r="M33" s="5">
        <v>-0.8491104150762485</v>
      </c>
      <c r="N33" s="5">
        <v>3.3497888913425866</v>
      </c>
      <c r="O33" s="5">
        <v>2.4722350699068807</v>
      </c>
      <c r="P33" s="5">
        <v>2683.0</v>
      </c>
      <c r="Q33" s="5">
        <v>4.0</v>
      </c>
      <c r="R33" s="5">
        <v>2498.0</v>
      </c>
      <c r="S33" s="5">
        <v>4.0</v>
      </c>
      <c r="T33" s="5">
        <v>130089.4</v>
      </c>
      <c r="U33" s="5">
        <v>4.0</v>
      </c>
      <c r="V33" s="5">
        <v>52.077421937550035</v>
      </c>
      <c r="W33" s="9" t="b">
        <v>1</v>
      </c>
      <c r="X33" s="9" t="b">
        <v>1</v>
      </c>
      <c r="Y33" s="5">
        <v>7.48158186796946</v>
      </c>
      <c r="Z33" s="5">
        <v>6.965706860301048</v>
      </c>
      <c r="AA33" s="5">
        <v>1225.0</v>
      </c>
      <c r="AB33" s="5">
        <v>1208.0</v>
      </c>
      <c r="AC33" s="5">
        <v>12.0</v>
      </c>
      <c r="AD33" s="5">
        <v>12.0</v>
      </c>
      <c r="AE33" s="9" t="b">
        <v>1</v>
      </c>
      <c r="AF33" s="9" t="b">
        <v>1</v>
      </c>
      <c r="AG33" s="5">
        <v>3.368524374396984</v>
      </c>
      <c r="AH33" s="5">
        <v>3.4159291048313785</v>
      </c>
      <c r="AI33" s="5">
        <v>554.0</v>
      </c>
      <c r="AJ33" s="5">
        <v>591.0</v>
      </c>
      <c r="AK33" s="5">
        <v>6.0</v>
      </c>
      <c r="AL33" s="5">
        <v>6.0</v>
      </c>
      <c r="AM33" s="5">
        <v>10.261194029850751</v>
      </c>
      <c r="AN33" s="5">
        <v>-5.942275042444822</v>
      </c>
    </row>
    <row r="34" ht="15.75" customHeight="1">
      <c r="A34" s="5">
        <v>2.0</v>
      </c>
      <c r="B34" s="5">
        <v>2015.0</v>
      </c>
      <c r="C34" s="5">
        <v>3850.09</v>
      </c>
      <c r="D34" s="5">
        <v>356961.0</v>
      </c>
      <c r="E34" s="5">
        <v>4725.75</v>
      </c>
      <c r="F34" s="5">
        <v>3565.0808839152332</v>
      </c>
      <c r="G34" s="5">
        <v>4.0</v>
      </c>
      <c r="H34" s="5">
        <v>4.0</v>
      </c>
      <c r="I34" s="5">
        <v>0.8147045442522352</v>
      </c>
      <c r="J34" s="5">
        <v>0.41967700807479247</v>
      </c>
      <c r="K34" s="5">
        <v>4.247376420377957</v>
      </c>
      <c r="L34" s="5">
        <v>1.0799446423139116</v>
      </c>
      <c r="M34" s="5">
        <v>3.20170507235078</v>
      </c>
      <c r="N34" s="5">
        <v>1.4371599939602797</v>
      </c>
      <c r="O34" s="5">
        <v>4.684878690735483</v>
      </c>
      <c r="P34" s="5">
        <v>2746.0</v>
      </c>
      <c r="Q34" s="5">
        <v>4.0</v>
      </c>
      <c r="R34" s="5">
        <v>2677.0</v>
      </c>
      <c r="S34" s="5">
        <v>4.0</v>
      </c>
      <c r="T34" s="5">
        <v>138906.4</v>
      </c>
      <c r="U34" s="5">
        <v>4.0</v>
      </c>
      <c r="V34" s="5">
        <v>51.88883078072469</v>
      </c>
      <c r="W34" s="9" t="b">
        <v>1</v>
      </c>
      <c r="X34" s="9" t="b">
        <v>1</v>
      </c>
      <c r="Y34" s="5">
        <v>7.692717131563392</v>
      </c>
      <c r="Z34" s="5">
        <v>7.4994187040040785</v>
      </c>
      <c r="AA34" s="5">
        <v>940.0</v>
      </c>
      <c r="AB34" s="5">
        <v>1129.0</v>
      </c>
      <c r="AC34" s="5">
        <v>12.0</v>
      </c>
      <c r="AD34" s="5">
        <v>12.0</v>
      </c>
      <c r="AE34" s="9" t="b">
        <v>1</v>
      </c>
      <c r="AF34" s="9" t="b">
        <v>1</v>
      </c>
      <c r="AG34" s="5">
        <v>3.1628105031081826</v>
      </c>
      <c r="AH34" s="5">
        <v>2.6333408971848464</v>
      </c>
      <c r="AI34" s="5">
        <v>217.0</v>
      </c>
      <c r="AJ34" s="5">
        <v>488.0</v>
      </c>
      <c r="AK34" s="5">
        <v>6.0</v>
      </c>
      <c r="AL34" s="5">
        <v>6.0</v>
      </c>
      <c r="AM34" s="5">
        <v>-17.428087986463623</v>
      </c>
      <c r="AN34" s="5">
        <v>-60.83032490974729</v>
      </c>
    </row>
    <row r="35" ht="15.75" customHeight="1">
      <c r="A35" s="5">
        <v>2.0</v>
      </c>
      <c r="B35" s="5">
        <v>2016.0</v>
      </c>
      <c r="C35" s="5">
        <v>3950.95</v>
      </c>
      <c r="D35" s="5">
        <v>354990.0</v>
      </c>
      <c r="E35" s="5">
        <v>4867.75</v>
      </c>
      <c r="F35" s="5">
        <v>3708.868540337803</v>
      </c>
      <c r="G35" s="5">
        <v>4.0</v>
      </c>
      <c r="H35" s="5">
        <v>4.0</v>
      </c>
      <c r="I35" s="5">
        <v>0.8116583637204047</v>
      </c>
      <c r="J35" s="5">
        <v>3.0048140506797827</v>
      </c>
      <c r="K35" s="5">
        <v>-0.3739000295654882</v>
      </c>
      <c r="L35" s="5">
        <v>1.065270973351929</v>
      </c>
      <c r="M35" s="5">
        <v>4.03322283854215</v>
      </c>
      <c r="N35" s="5">
        <v>-1.358742697268489</v>
      </c>
      <c r="O35" s="5">
        <v>2.6196790204904286</v>
      </c>
      <c r="P35" s="5">
        <v>2653.0</v>
      </c>
      <c r="Q35" s="5">
        <v>4.0</v>
      </c>
      <c r="R35" s="5">
        <v>2624.0</v>
      </c>
      <c r="S35" s="5">
        <v>4.0</v>
      </c>
      <c r="T35" s="5">
        <v>140142.1</v>
      </c>
      <c r="U35" s="5">
        <v>4.0</v>
      </c>
      <c r="V35" s="5">
        <v>53.407812500000006</v>
      </c>
      <c r="W35" s="9" t="b">
        <v>1</v>
      </c>
      <c r="X35" s="9" t="b">
        <v>1</v>
      </c>
      <c r="Y35" s="5">
        <v>7.473449956336798</v>
      </c>
      <c r="Z35" s="5">
        <v>7.391757514296177</v>
      </c>
      <c r="AA35" s="5">
        <v>864.0</v>
      </c>
      <c r="AB35" s="5">
        <v>1261.0</v>
      </c>
      <c r="AC35" s="5">
        <v>12.0</v>
      </c>
      <c r="AD35" s="5">
        <v>12.0</v>
      </c>
      <c r="AE35" s="9" t="b">
        <v>1</v>
      </c>
      <c r="AF35" s="9" t="b">
        <v>1</v>
      </c>
      <c r="AG35" s="5">
        <v>3.552212738386997</v>
      </c>
      <c r="AH35" s="5">
        <v>2.4338713766584976</v>
      </c>
      <c r="AI35" s="5">
        <v>474.0</v>
      </c>
      <c r="AJ35" s="5">
        <v>776.0</v>
      </c>
      <c r="AK35" s="5">
        <v>6.0</v>
      </c>
      <c r="AL35" s="5">
        <v>6.0</v>
      </c>
      <c r="AM35" s="5">
        <v>59.01639344262295</v>
      </c>
      <c r="AN35" s="5">
        <v>118.43317972350232</v>
      </c>
    </row>
    <row r="36" ht="15.75" customHeight="1">
      <c r="A36" s="5">
        <v>2.0</v>
      </c>
      <c r="B36" s="5">
        <v>2017.0</v>
      </c>
      <c r="C36" s="5">
        <v>4185.1</v>
      </c>
      <c r="D36" s="5">
        <v>353215.0</v>
      </c>
      <c r="E36" s="5">
        <v>5105.75</v>
      </c>
      <c r="F36" s="5">
        <v>3921.6367242991328</v>
      </c>
      <c r="G36" s="5">
        <v>4.0</v>
      </c>
      <c r="H36" s="5">
        <v>4.0</v>
      </c>
      <c r="I36" s="5">
        <v>0.819683689957401</v>
      </c>
      <c r="J36" s="5">
        <v>4.88932258230188</v>
      </c>
      <c r="K36" s="5">
        <v>0.9887566734618103</v>
      </c>
      <c r="L36" s="5">
        <v>1.0671819687092392</v>
      </c>
      <c r="M36" s="5">
        <v>5.736741047768468</v>
      </c>
      <c r="N36" s="5">
        <v>0.1793905405398588</v>
      </c>
      <c r="O36" s="5">
        <v>5.926422759083283</v>
      </c>
      <c r="P36" s="5">
        <v>3073.0</v>
      </c>
      <c r="Q36" s="5">
        <v>4.0</v>
      </c>
      <c r="R36" s="5">
        <v>3075.0</v>
      </c>
      <c r="S36" s="5">
        <v>4.0</v>
      </c>
      <c r="T36" s="5">
        <v>158387.8</v>
      </c>
      <c r="U36" s="5">
        <v>4.0</v>
      </c>
      <c r="V36" s="5">
        <v>51.50822764227642</v>
      </c>
      <c r="W36" s="9" t="b">
        <v>1</v>
      </c>
      <c r="X36" s="9" t="b">
        <v>1</v>
      </c>
      <c r="Y36" s="5">
        <v>8.700083518536868</v>
      </c>
      <c r="Z36" s="5">
        <v>8.705745792222867</v>
      </c>
      <c r="AA36" s="5">
        <v>1432.0</v>
      </c>
      <c r="AB36" s="5">
        <v>2087.0</v>
      </c>
      <c r="AC36" s="5">
        <v>12.0</v>
      </c>
      <c r="AD36" s="5">
        <v>12.0</v>
      </c>
      <c r="AE36" s="9" t="b">
        <v>1</v>
      </c>
      <c r="AF36" s="9" t="b">
        <v>1</v>
      </c>
      <c r="AG36" s="5">
        <v>5.908582591339552</v>
      </c>
      <c r="AH36" s="5">
        <v>4.054187959175007</v>
      </c>
      <c r="AI36" s="5">
        <v>714.0</v>
      </c>
      <c r="AJ36" s="5">
        <v>880.0</v>
      </c>
      <c r="AK36" s="5">
        <v>6.0</v>
      </c>
      <c r="AL36" s="5">
        <v>6.0</v>
      </c>
      <c r="AM36" s="5">
        <v>13.4020618556701</v>
      </c>
      <c r="AN36" s="5">
        <v>50.63291139240506</v>
      </c>
    </row>
    <row r="37" ht="15.75" customHeight="1">
      <c r="A37" s="5">
        <v>2.0</v>
      </c>
      <c r="B37" s="5">
        <v>2018.0</v>
      </c>
      <c r="C37" s="5">
        <v>4481.39</v>
      </c>
      <c r="D37" s="5">
        <v>351254.0</v>
      </c>
      <c r="E37" s="5">
        <v>5465.0</v>
      </c>
      <c r="F37" s="5">
        <v>4336.212751330286</v>
      </c>
      <c r="G37" s="5">
        <v>4.0</v>
      </c>
      <c r="H37" s="5">
        <v>4.0</v>
      </c>
      <c r="I37" s="5">
        <v>0.8200164684354987</v>
      </c>
      <c r="J37" s="5">
        <v>7.036184693727665</v>
      </c>
      <c r="K37" s="5">
        <v>0.04059840181949159</v>
      </c>
      <c r="L37" s="5">
        <v>1.033480195044668</v>
      </c>
      <c r="M37" s="5">
        <v>10.571505118318814</v>
      </c>
      <c r="N37" s="5">
        <v>-3.1580156573797535</v>
      </c>
      <c r="O37" s="5">
        <v>7.07963967408185</v>
      </c>
      <c r="P37" s="5">
        <v>3517.0</v>
      </c>
      <c r="Q37" s="5">
        <v>4.0</v>
      </c>
      <c r="R37" s="5">
        <v>3484.0</v>
      </c>
      <c r="S37" s="5">
        <v>4.0</v>
      </c>
      <c r="T37" s="5">
        <v>178593.3</v>
      </c>
      <c r="U37" s="5">
        <v>4.0</v>
      </c>
      <c r="V37" s="5">
        <v>51.26099311136624</v>
      </c>
      <c r="W37" s="9" t="b">
        <v>1</v>
      </c>
      <c r="X37" s="9" t="b">
        <v>1</v>
      </c>
      <c r="Y37" s="5">
        <v>10.012697364300477</v>
      </c>
      <c r="Z37" s="5">
        <v>9.918748256247614</v>
      </c>
      <c r="AA37" s="5">
        <v>1139.0</v>
      </c>
      <c r="AB37" s="5">
        <v>1929.0</v>
      </c>
      <c r="AC37" s="5">
        <v>12.0</v>
      </c>
      <c r="AD37" s="5">
        <v>12.0</v>
      </c>
      <c r="AE37" s="9" t="b">
        <v>1</v>
      </c>
      <c r="AF37" s="9" t="b">
        <v>1</v>
      </c>
      <c r="AG37" s="5">
        <v>5.491752407090026</v>
      </c>
      <c r="AH37" s="5">
        <v>3.2426676991578742</v>
      </c>
      <c r="AI37" s="5">
        <v>589.0</v>
      </c>
      <c r="AJ37" s="5">
        <v>1095.0</v>
      </c>
      <c r="AK37" s="5">
        <v>6.0</v>
      </c>
      <c r="AL37" s="5">
        <v>6.0</v>
      </c>
      <c r="AM37" s="5">
        <v>24.431818181818187</v>
      </c>
      <c r="AN37" s="5">
        <v>-17.507002801120453</v>
      </c>
    </row>
    <row r="38" ht="15.75" customHeight="1">
      <c r="A38" s="5">
        <v>2.0</v>
      </c>
      <c r="B38" s="5">
        <v>2019.0</v>
      </c>
      <c r="C38" s="5">
        <v>4957.38</v>
      </c>
      <c r="D38" s="5">
        <v>349021.0</v>
      </c>
      <c r="E38" s="5">
        <v>6092.0</v>
      </c>
      <c r="F38" s="5">
        <v>4921.522017405659</v>
      </c>
      <c r="G38" s="5">
        <v>4.0</v>
      </c>
      <c r="H38" s="5">
        <v>4.0</v>
      </c>
      <c r="I38" s="5">
        <v>0.813752462245568</v>
      </c>
      <c r="J38" s="5">
        <v>11.473010064043908</v>
      </c>
      <c r="K38" s="5">
        <v>-0.7638878523844483</v>
      </c>
      <c r="L38" s="5">
        <v>1.0072859539117216</v>
      </c>
      <c r="M38" s="5">
        <v>13.498167632476289</v>
      </c>
      <c r="N38" s="5">
        <v>-2.534566337946531</v>
      </c>
      <c r="O38" s="5">
        <v>10.621481281477397</v>
      </c>
      <c r="P38" s="5">
        <v>3210.0</v>
      </c>
      <c r="Q38" s="5">
        <v>4.0</v>
      </c>
      <c r="R38" s="5">
        <v>3251.0</v>
      </c>
      <c r="S38" s="5">
        <v>4.0</v>
      </c>
      <c r="T38" s="5">
        <v>166697.19999999998</v>
      </c>
      <c r="U38" s="5">
        <v>4.0</v>
      </c>
      <c r="V38" s="5">
        <v>51.2756690249154</v>
      </c>
      <c r="W38" s="9" t="b">
        <v>1</v>
      </c>
      <c r="X38" s="9" t="b">
        <v>1</v>
      </c>
      <c r="Y38" s="5">
        <v>9.197154325957463</v>
      </c>
      <c r="Z38" s="5">
        <v>9.314625767503962</v>
      </c>
      <c r="AA38" s="5">
        <v>1340.0</v>
      </c>
      <c r="AB38" s="5">
        <v>2089.0</v>
      </c>
      <c r="AC38" s="5">
        <v>12.0</v>
      </c>
      <c r="AD38" s="5">
        <v>12.0</v>
      </c>
      <c r="AE38" s="9" t="b">
        <v>1</v>
      </c>
      <c r="AF38" s="9" t="b">
        <v>1</v>
      </c>
      <c r="AG38" s="5">
        <v>5.985313204649577</v>
      </c>
      <c r="AH38" s="5">
        <v>3.8393105285928355</v>
      </c>
      <c r="AI38" s="5">
        <v>783.0</v>
      </c>
      <c r="AJ38" s="5">
        <v>971.0</v>
      </c>
      <c r="AK38" s="5">
        <v>6.0</v>
      </c>
      <c r="AL38" s="5">
        <v>6.0</v>
      </c>
      <c r="AM38" s="5">
        <v>-11.324200913242011</v>
      </c>
      <c r="AN38" s="5">
        <v>32.93718166383701</v>
      </c>
    </row>
    <row r="39" ht="15.75" customHeight="1">
      <c r="A39" s="5">
        <v>2.0</v>
      </c>
      <c r="B39" s="5">
        <v>2020.0</v>
      </c>
      <c r="C39" s="5">
        <v>5252.17</v>
      </c>
      <c r="D39" s="5">
        <v>341716.0</v>
      </c>
      <c r="E39" s="5">
        <v>6471.220169516412</v>
      </c>
      <c r="F39" s="5">
        <v>5453.758785475972</v>
      </c>
      <c r="G39" s="5">
        <v>4.0</v>
      </c>
      <c r="H39" s="5">
        <v>4.0</v>
      </c>
      <c r="I39" s="5">
        <v>0.8116197351375992</v>
      </c>
      <c r="J39" s="5">
        <v>6.224887877813723</v>
      </c>
      <c r="K39" s="5">
        <v>-0.26208548753062777</v>
      </c>
      <c r="L39" s="5">
        <v>0.9630367250541355</v>
      </c>
      <c r="M39" s="5">
        <v>10.814474997530898</v>
      </c>
      <c r="N39" s="5">
        <v>-4.392916300058336</v>
      </c>
      <c r="O39" s="5">
        <v>5.946487862540284</v>
      </c>
      <c r="P39" s="5">
        <v>2806.0</v>
      </c>
      <c r="Q39" s="5">
        <v>4.0</v>
      </c>
      <c r="R39" s="5">
        <v>2845.0</v>
      </c>
      <c r="S39" s="5">
        <v>4.0</v>
      </c>
      <c r="T39" s="5">
        <v>145169.8</v>
      </c>
      <c r="U39" s="5">
        <v>4.0</v>
      </c>
      <c r="V39" s="5">
        <v>51.026291739894546</v>
      </c>
      <c r="W39" s="9" t="b">
        <v>1</v>
      </c>
      <c r="X39" s="9" t="b">
        <v>1</v>
      </c>
      <c r="Y39" s="5">
        <v>8.211497266736119</v>
      </c>
      <c r="Z39" s="5">
        <v>8.32562712896089</v>
      </c>
      <c r="AA39" s="5">
        <v>1665.0</v>
      </c>
      <c r="AB39" s="5">
        <v>2622.0</v>
      </c>
      <c r="AC39" s="5">
        <v>12.0</v>
      </c>
      <c r="AD39" s="5">
        <v>12.0</v>
      </c>
      <c r="AE39" s="9" t="b">
        <v>1</v>
      </c>
      <c r="AF39" s="9" t="b">
        <v>1</v>
      </c>
      <c r="AG39" s="5">
        <v>7.673038429573096</v>
      </c>
      <c r="AH39" s="5">
        <v>4.8724671949806275</v>
      </c>
      <c r="AI39" s="5">
        <v>873.0</v>
      </c>
      <c r="AJ39" s="5">
        <v>1201.0</v>
      </c>
      <c r="AK39" s="5">
        <v>6.0</v>
      </c>
      <c r="AL39" s="5">
        <v>6.0</v>
      </c>
      <c r="AM39" s="5">
        <v>23.686920700308956</v>
      </c>
      <c r="AN39" s="5">
        <v>11.494252873563227</v>
      </c>
    </row>
    <row r="40" ht="15.75" customHeight="1">
      <c r="A40" s="5">
        <v>2.0</v>
      </c>
      <c r="B40" s="5">
        <v>2021.0</v>
      </c>
      <c r="C40" s="5">
        <v>5848.22</v>
      </c>
      <c r="D40" s="5">
        <v>336665.0</v>
      </c>
      <c r="E40" s="5">
        <v>7214.7258538373835</v>
      </c>
      <c r="F40" s="5">
        <v>5947.0</v>
      </c>
      <c r="G40" s="5">
        <v>4.0</v>
      </c>
      <c r="H40" s="5">
        <v>4.0</v>
      </c>
      <c r="I40" s="5">
        <v>0.8105949024923015</v>
      </c>
      <c r="J40" s="5">
        <v>11.48942030783251</v>
      </c>
      <c r="K40" s="5">
        <v>-0.1262700499913283</v>
      </c>
      <c r="L40" s="5">
        <v>0.983389944509837</v>
      </c>
      <c r="M40" s="5">
        <v>9.044059958016293</v>
      </c>
      <c r="N40" s="5">
        <v>2.1134416711426462</v>
      </c>
      <c r="O40" s="5">
        <v>11.348642561074751</v>
      </c>
      <c r="P40" s="5">
        <v>3658.0</v>
      </c>
      <c r="Q40" s="5">
        <v>4.0</v>
      </c>
      <c r="R40" s="5">
        <v>3729.0</v>
      </c>
      <c r="S40" s="5">
        <v>4.0</v>
      </c>
      <c r="T40" s="5">
        <v>189103.0</v>
      </c>
      <c r="U40" s="5">
        <v>4.0</v>
      </c>
      <c r="V40" s="5">
        <v>50.71145079109681</v>
      </c>
      <c r="W40" s="9" t="b">
        <v>1</v>
      </c>
      <c r="X40" s="9" t="b">
        <v>1</v>
      </c>
      <c r="Y40" s="5">
        <v>10.865400323763978</v>
      </c>
      <c r="Z40" s="5">
        <v>11.07629245689335</v>
      </c>
      <c r="AA40" s="5">
        <v>1438.0</v>
      </c>
      <c r="AB40" s="5">
        <v>2263.0</v>
      </c>
      <c r="AC40" s="5">
        <v>12.0</v>
      </c>
      <c r="AD40" s="5">
        <v>12.0</v>
      </c>
      <c r="AE40" s="9" t="b">
        <v>1</v>
      </c>
      <c r="AF40" s="9" t="b">
        <v>1</v>
      </c>
      <c r="AG40" s="5">
        <v>6.721815454531953</v>
      </c>
      <c r="AH40" s="5">
        <v>4.271308273803336</v>
      </c>
      <c r="AI40" s="5">
        <v>901.0</v>
      </c>
      <c r="AJ40" s="5">
        <v>1398.0</v>
      </c>
      <c r="AK40" s="5">
        <v>6.0</v>
      </c>
      <c r="AL40" s="5">
        <v>6.0</v>
      </c>
      <c r="AM40" s="5">
        <v>16.402997502081607</v>
      </c>
      <c r="AN40" s="5">
        <v>3.2073310423825996</v>
      </c>
    </row>
    <row r="41" ht="15.75" customHeight="1">
      <c r="A41" s="5">
        <v>2.0</v>
      </c>
      <c r="B41" s="5">
        <v>2022.0</v>
      </c>
      <c r="C41" s="5">
        <v>6435.59</v>
      </c>
      <c r="D41" s="5">
        <v>331898.0</v>
      </c>
      <c r="E41" s="5">
        <v>7945.809460803045</v>
      </c>
      <c r="F41" s="5">
        <v>6537.25</v>
      </c>
      <c r="G41" s="5">
        <v>4.0</v>
      </c>
      <c r="H41" s="5">
        <v>4.0</v>
      </c>
      <c r="I41" s="5">
        <v>0.8099351024898079</v>
      </c>
      <c r="J41" s="5">
        <v>10.13321395402449</v>
      </c>
      <c r="K41" s="5">
        <v>-0.08139700860009258</v>
      </c>
      <c r="L41" s="5">
        <v>0.9844491185131363</v>
      </c>
      <c r="M41" s="5">
        <v>9.925172355809654</v>
      </c>
      <c r="N41" s="5">
        <v>0.1077064097729119</v>
      </c>
      <c r="O41" s="5">
        <v>10.043568812390768</v>
      </c>
      <c r="P41" s="5">
        <v>3411.0</v>
      </c>
      <c r="Q41" s="5">
        <v>4.0</v>
      </c>
      <c r="R41" s="5">
        <v>3492.0</v>
      </c>
      <c r="S41" s="5">
        <v>4.0</v>
      </c>
      <c r="T41" s="5">
        <v>169541.4</v>
      </c>
      <c r="U41" s="5">
        <v>4.0</v>
      </c>
      <c r="V41" s="5">
        <v>48.55137457044673</v>
      </c>
      <c r="W41" s="9" t="b">
        <v>1</v>
      </c>
      <c r="X41" s="9" t="b">
        <v>1</v>
      </c>
      <c r="Y41" s="5">
        <v>10.27725385510006</v>
      </c>
      <c r="Z41" s="5">
        <v>10.521304738202701</v>
      </c>
      <c r="AA41" s="5">
        <v>1642.0</v>
      </c>
      <c r="AB41" s="5">
        <v>1522.0</v>
      </c>
      <c r="AC41" s="5">
        <v>12.0</v>
      </c>
      <c r="AD41" s="5">
        <v>12.0</v>
      </c>
      <c r="AE41" s="9" t="b">
        <v>1</v>
      </c>
      <c r="AF41" s="9" t="b">
        <v>1</v>
      </c>
      <c r="AG41" s="5">
        <v>4.585746223237259</v>
      </c>
      <c r="AH41" s="5">
        <v>4.947303087093022</v>
      </c>
      <c r="AI41" s="5">
        <v>561.0</v>
      </c>
      <c r="AJ41" s="5">
        <v>395.0</v>
      </c>
      <c r="AK41" s="5">
        <v>6.0</v>
      </c>
      <c r="AL41" s="5">
        <v>6.0</v>
      </c>
      <c r="AM41" s="5">
        <v>-71.7453505007153</v>
      </c>
      <c r="AN41" s="5">
        <v>-37.735849056603776</v>
      </c>
    </row>
    <row r="42" ht="15.75" customHeight="1">
      <c r="A42" s="5">
        <v>2.0</v>
      </c>
      <c r="B42" s="5">
        <v>2023.0</v>
      </c>
      <c r="C42" s="5">
        <v>7478.19</v>
      </c>
      <c r="D42" s="5">
        <v>328370.0</v>
      </c>
      <c r="E42" s="5">
        <v>8622.303397520634</v>
      </c>
      <c r="F42" s="5">
        <v>7005.5</v>
      </c>
      <c r="G42" s="5">
        <v>4.0</v>
      </c>
      <c r="H42" s="5">
        <v>4.0</v>
      </c>
      <c r="I42" s="5">
        <v>0.867307685107714</v>
      </c>
      <c r="J42" s="5">
        <v>8.51384544337186</v>
      </c>
      <c r="K42" s="5">
        <v>7.083602432039071</v>
      </c>
      <c r="L42" s="5">
        <v>1.0674741274712725</v>
      </c>
      <c r="M42" s="5">
        <v>7.162797812535859</v>
      </c>
      <c r="N42" s="5">
        <v>8.433651612541748</v>
      </c>
      <c r="O42" s="5">
        <v>16.200534838297642</v>
      </c>
      <c r="Q42" s="5">
        <v>2.0</v>
      </c>
      <c r="R42" s="5">
        <v>3857.0</v>
      </c>
      <c r="S42" s="5">
        <v>4.0</v>
      </c>
      <c r="T42" s="5">
        <v>190597.09999999998</v>
      </c>
      <c r="U42" s="5">
        <v>4.0</v>
      </c>
      <c r="V42" s="5">
        <v>49.41589318122893</v>
      </c>
      <c r="W42" s="9" t="b">
        <v>0</v>
      </c>
      <c r="X42" s="9" t="b">
        <v>1</v>
      </c>
      <c r="Z42" s="5">
        <v>11.745896397356642</v>
      </c>
      <c r="AA42" s="5">
        <v>2375.0</v>
      </c>
      <c r="AB42" s="5">
        <v>1327.0</v>
      </c>
      <c r="AC42" s="5">
        <v>12.0</v>
      </c>
      <c r="AD42" s="5">
        <v>12.0</v>
      </c>
      <c r="AE42" s="9" t="b">
        <v>1</v>
      </c>
      <c r="AF42" s="9" t="b">
        <v>1</v>
      </c>
      <c r="AG42" s="5">
        <v>4.041173066967141</v>
      </c>
      <c r="AH42" s="5">
        <v>7.232694825958522</v>
      </c>
      <c r="AI42" s="5">
        <v>1102.0</v>
      </c>
      <c r="AJ42" s="5">
        <v>548.0</v>
      </c>
      <c r="AK42" s="5">
        <v>6.0</v>
      </c>
      <c r="AL42" s="5">
        <v>6.0</v>
      </c>
      <c r="AM42" s="5">
        <v>38.73417721518988</v>
      </c>
      <c r="AN42" s="5">
        <v>96.4349376114082</v>
      </c>
    </row>
    <row r="43" ht="15.75" customHeight="1">
      <c r="A43" s="5">
        <v>2.0</v>
      </c>
      <c r="B43" s="5">
        <v>2024.0</v>
      </c>
      <c r="C43" s="5">
        <v>8448.23</v>
      </c>
      <c r="D43" s="5">
        <v>324984.0</v>
      </c>
      <c r="E43" s="5">
        <v>9137.673139297876</v>
      </c>
      <c r="F43" s="5">
        <v>7759.5</v>
      </c>
      <c r="G43" s="5">
        <v>4.0</v>
      </c>
      <c r="H43" s="5">
        <v>4.0</v>
      </c>
      <c r="I43" s="5">
        <v>0.9245493761061744</v>
      </c>
      <c r="J43" s="5">
        <v>5.97717011356198</v>
      </c>
      <c r="K43" s="5">
        <v>6.599928950399114</v>
      </c>
      <c r="L43" s="5">
        <v>1.0887595850248082</v>
      </c>
      <c r="M43" s="5">
        <v>10.762971950610245</v>
      </c>
      <c r="N43" s="5">
        <v>1.994002196939304</v>
      </c>
      <c r="O43" s="5">
        <v>12.971588044700667</v>
      </c>
      <c r="Q43" s="5">
        <v>2.0</v>
      </c>
      <c r="R43" s="5">
        <v>4328.0</v>
      </c>
      <c r="S43" s="5">
        <v>4.0</v>
      </c>
      <c r="T43" s="5">
        <v>213897.8</v>
      </c>
      <c r="U43" s="5">
        <v>4.0</v>
      </c>
      <c r="V43" s="5">
        <v>49.42185767097966</v>
      </c>
      <c r="W43" s="9" t="b">
        <v>0</v>
      </c>
      <c r="X43" s="9" t="b">
        <v>1</v>
      </c>
      <c r="Z43" s="5">
        <v>13.317578711567338</v>
      </c>
      <c r="AA43" s="5">
        <v>1513.0</v>
      </c>
      <c r="AB43" s="5">
        <v>1828.0</v>
      </c>
      <c r="AC43" s="5">
        <v>12.0</v>
      </c>
      <c r="AD43" s="5">
        <v>12.0</v>
      </c>
      <c r="AE43" s="9" t="b">
        <v>1</v>
      </c>
      <c r="AF43" s="9" t="b">
        <v>1</v>
      </c>
      <c r="AG43" s="5">
        <v>5.624892302390272</v>
      </c>
      <c r="AH43" s="5">
        <v>4.655613814833961</v>
      </c>
      <c r="AI43" s="5">
        <v>815.0</v>
      </c>
      <c r="AJ43" s="5">
        <v>993.0</v>
      </c>
      <c r="AK43" s="5">
        <v>6.0</v>
      </c>
      <c r="AL43" s="5">
        <v>6.0</v>
      </c>
      <c r="AM43" s="5">
        <v>81.20437956204381</v>
      </c>
      <c r="AN43" s="5">
        <v>-26.043557168784027</v>
      </c>
    </row>
    <row r="44" ht="15.75" customHeight="1">
      <c r="A44" s="5">
        <v>2.0</v>
      </c>
      <c r="B44" s="5">
        <v>2025.0</v>
      </c>
      <c r="C44" s="5">
        <v>9219.1</v>
      </c>
      <c r="D44" s="5">
        <v>322464.0</v>
      </c>
      <c r="E44" s="5">
        <v>9950.43141948026</v>
      </c>
      <c r="F44" s="5">
        <v>7782.5</v>
      </c>
      <c r="G44" s="5">
        <v>4.0</v>
      </c>
      <c r="H44" s="5">
        <v>4.0</v>
      </c>
      <c r="I44" s="5">
        <v>0.9265025415834223</v>
      </c>
      <c r="J44" s="5">
        <v>8.894586923743187</v>
      </c>
      <c r="K44" s="5">
        <v>0.2112559402153158</v>
      </c>
      <c r="L44" s="5">
        <v>1.1845936395759717</v>
      </c>
      <c r="M44" s="5">
        <v>0.2964108512146346</v>
      </c>
      <c r="N44" s="5">
        <v>8.802131881941587</v>
      </c>
      <c r="O44" s="5">
        <v>9.124633207192524</v>
      </c>
      <c r="AA44" s="5">
        <v>1178.0</v>
      </c>
      <c r="AB44" s="5">
        <v>1756.0</v>
      </c>
      <c r="AC44" s="5">
        <v>12.0</v>
      </c>
      <c r="AD44" s="5">
        <v>12.0</v>
      </c>
      <c r="AE44" s="9" t="b">
        <v>1</v>
      </c>
      <c r="AF44" s="9" t="b">
        <v>1</v>
      </c>
      <c r="AG44" s="5">
        <v>5.445569117792994</v>
      </c>
      <c r="AH44" s="5">
        <v>3.653120968542225</v>
      </c>
      <c r="AI44" s="5">
        <v>345.0</v>
      </c>
      <c r="AJ44" s="5">
        <v>444.0</v>
      </c>
      <c r="AK44" s="5">
        <v>6.0</v>
      </c>
      <c r="AL44" s="5">
        <v>6.0</v>
      </c>
      <c r="AM44" s="5">
        <v>-55.2870090634441</v>
      </c>
      <c r="AN44" s="5">
        <v>-57.668711656441715</v>
      </c>
    </row>
    <row r="45" ht="15.75" customHeight="1">
      <c r="A45" s="5">
        <v>2.0</v>
      </c>
      <c r="B45" s="5">
        <v>2026.0</v>
      </c>
      <c r="AI45" s="5">
        <v>985.0</v>
      </c>
      <c r="AJ45" s="5">
        <v>539.0</v>
      </c>
      <c r="AK45" s="5">
        <v>6.0</v>
      </c>
      <c r="AL45" s="5">
        <v>6.0</v>
      </c>
      <c r="AM45" s="5">
        <v>21.39639639639639</v>
      </c>
      <c r="AN45" s="5">
        <v>185.50724637681157</v>
      </c>
    </row>
    <row r="46" ht="15.75" customHeight="1">
      <c r="A46" s="5">
        <v>3.0</v>
      </c>
      <c r="B46" s="5">
        <v>2005.0</v>
      </c>
      <c r="C46" s="5">
        <v>3017.45</v>
      </c>
      <c r="D46" s="5">
        <v>458807.0</v>
      </c>
      <c r="AA46" s="5">
        <v>2636.0</v>
      </c>
      <c r="AB46" s="5">
        <v>3299.0</v>
      </c>
      <c r="AC46" s="5">
        <v>12.0</v>
      </c>
      <c r="AD46" s="5">
        <v>12.0</v>
      </c>
      <c r="AE46" s="9" t="b">
        <v>1</v>
      </c>
      <c r="AF46" s="9" t="b">
        <v>1</v>
      </c>
      <c r="AG46" s="5">
        <v>7.190387243437873</v>
      </c>
      <c r="AH46" s="5">
        <v>5.745335184511134</v>
      </c>
      <c r="AI46" s="5">
        <v>1263.0</v>
      </c>
      <c r="AJ46" s="5">
        <v>1373.0</v>
      </c>
      <c r="AK46" s="5">
        <v>6.0</v>
      </c>
      <c r="AL46" s="5">
        <v>6.0</v>
      </c>
    </row>
    <row r="47" ht="15.75" customHeight="1">
      <c r="A47" s="5">
        <v>3.0</v>
      </c>
      <c r="B47" s="5">
        <v>2006.0</v>
      </c>
      <c r="C47" s="5">
        <v>3177.7</v>
      </c>
      <c r="D47" s="5">
        <v>457630.0</v>
      </c>
      <c r="AA47" s="5">
        <v>3099.0</v>
      </c>
      <c r="AB47" s="5">
        <v>6065.0</v>
      </c>
      <c r="AC47" s="5">
        <v>12.0</v>
      </c>
      <c r="AD47" s="5">
        <v>12.0</v>
      </c>
      <c r="AE47" s="9" t="b">
        <v>1</v>
      </c>
      <c r="AF47" s="9" t="b">
        <v>1</v>
      </c>
      <c r="AG47" s="5">
        <v>13.253064702925945</v>
      </c>
      <c r="AH47" s="5">
        <v>6.771846251338418</v>
      </c>
      <c r="AI47" s="5">
        <v>1118.0</v>
      </c>
      <c r="AJ47" s="5">
        <v>3072.0</v>
      </c>
      <c r="AK47" s="5">
        <v>6.0</v>
      </c>
      <c r="AL47" s="5">
        <v>6.0</v>
      </c>
      <c r="AM47" s="5">
        <v>123.74362709395483</v>
      </c>
      <c r="AN47" s="5">
        <v>-11.4806017418844</v>
      </c>
    </row>
    <row r="48" ht="15.75" customHeight="1">
      <c r="A48" s="5">
        <v>3.0</v>
      </c>
      <c r="B48" s="5">
        <v>2007.0</v>
      </c>
      <c r="C48" s="5">
        <v>3473.08</v>
      </c>
      <c r="D48" s="5">
        <v>456103.0</v>
      </c>
      <c r="E48" s="5">
        <v>6590.25</v>
      </c>
      <c r="F48" s="5">
        <v>5485.11533383106</v>
      </c>
      <c r="G48" s="5">
        <v>4.0</v>
      </c>
      <c r="H48" s="5">
        <v>4.0</v>
      </c>
      <c r="I48" s="5">
        <v>0.5270027692424415</v>
      </c>
      <c r="L48" s="5">
        <v>0.6331826750439975</v>
      </c>
      <c r="AA48" s="5">
        <v>3295.0</v>
      </c>
      <c r="AB48" s="5">
        <v>5857.0</v>
      </c>
      <c r="AC48" s="5">
        <v>12.0</v>
      </c>
      <c r="AD48" s="5">
        <v>12.0</v>
      </c>
      <c r="AE48" s="9" t="b">
        <v>1</v>
      </c>
      <c r="AF48" s="9" t="b">
        <v>1</v>
      </c>
      <c r="AG48" s="5">
        <v>12.841397666755096</v>
      </c>
      <c r="AH48" s="5">
        <v>7.224245400709927</v>
      </c>
      <c r="AI48" s="5">
        <v>1021.0</v>
      </c>
      <c r="AJ48" s="5">
        <v>3352.0</v>
      </c>
      <c r="AK48" s="5">
        <v>6.0</v>
      </c>
      <c r="AL48" s="5">
        <v>6.0</v>
      </c>
      <c r="AM48" s="5">
        <v>9.114583333333325</v>
      </c>
      <c r="AN48" s="5">
        <v>-8.676207513416811</v>
      </c>
    </row>
    <row r="49" ht="15.75" customHeight="1">
      <c r="A49" s="5">
        <v>3.0</v>
      </c>
      <c r="B49" s="5">
        <v>2008.0</v>
      </c>
      <c r="C49" s="5">
        <v>3847.9</v>
      </c>
      <c r="D49" s="5">
        <v>455717.0</v>
      </c>
      <c r="E49" s="5">
        <v>6862.0</v>
      </c>
      <c r="F49" s="5">
        <v>5949.376246265886</v>
      </c>
      <c r="G49" s="5">
        <v>4.0</v>
      </c>
      <c r="H49" s="5">
        <v>4.0</v>
      </c>
      <c r="I49" s="5">
        <v>0.5607548819586127</v>
      </c>
      <c r="J49" s="5">
        <v>4.123515799855837</v>
      </c>
      <c r="K49" s="5">
        <v>6.404541813829434</v>
      </c>
      <c r="L49" s="5">
        <v>0.646773685294341</v>
      </c>
      <c r="M49" s="5">
        <v>8.464013683930416</v>
      </c>
      <c r="N49" s="5">
        <v>2.146459589943639</v>
      </c>
      <c r="O49" s="5">
        <v>10.79214990728692</v>
      </c>
      <c r="AA49" s="5">
        <v>4550.0</v>
      </c>
      <c r="AB49" s="5">
        <v>5740.0</v>
      </c>
      <c r="AC49" s="5">
        <v>12.0</v>
      </c>
      <c r="AD49" s="5">
        <v>12.0</v>
      </c>
      <c r="AE49" s="9" t="b">
        <v>1</v>
      </c>
      <c r="AF49" s="9" t="b">
        <v>1</v>
      </c>
      <c r="AG49" s="5">
        <v>12.595536264831024</v>
      </c>
      <c r="AH49" s="5">
        <v>9.984266551390446</v>
      </c>
      <c r="AI49" s="5">
        <v>1772.0</v>
      </c>
      <c r="AJ49" s="5">
        <v>2867.0</v>
      </c>
      <c r="AK49" s="5">
        <v>6.0</v>
      </c>
      <c r="AL49" s="5">
        <v>6.0</v>
      </c>
      <c r="AM49" s="5">
        <v>-14.468973747016712</v>
      </c>
      <c r="AN49" s="5">
        <v>73.55533790401567</v>
      </c>
    </row>
    <row r="50" ht="15.75" customHeight="1">
      <c r="A50" s="5">
        <v>3.0</v>
      </c>
      <c r="B50" s="5">
        <v>2009.0</v>
      </c>
      <c r="C50" s="5">
        <v>4053.17</v>
      </c>
      <c r="D50" s="5">
        <v>455830.0</v>
      </c>
      <c r="E50" s="5">
        <v>5624.0</v>
      </c>
      <c r="F50" s="5">
        <v>5520.715971282214</v>
      </c>
      <c r="G50" s="5">
        <v>4.0</v>
      </c>
      <c r="H50" s="5">
        <v>4.0</v>
      </c>
      <c r="I50" s="5">
        <v>0.7206916785206259</v>
      </c>
      <c r="J50" s="5">
        <v>-18.041387350626636</v>
      </c>
      <c r="K50" s="5">
        <v>28.52169489873788</v>
      </c>
      <c r="L50" s="5">
        <v>0.7341747014488469</v>
      </c>
      <c r="M50" s="5">
        <v>-7.205129701667801</v>
      </c>
      <c r="N50" s="5">
        <v>13.513384687988728</v>
      </c>
      <c r="O50" s="5">
        <v>5.334598092466014</v>
      </c>
      <c r="AA50" s="5">
        <v>4276.0</v>
      </c>
      <c r="AB50" s="5">
        <v>4092.0</v>
      </c>
      <c r="AC50" s="5">
        <v>12.0</v>
      </c>
      <c r="AD50" s="5">
        <v>12.0</v>
      </c>
      <c r="AE50" s="9" t="b">
        <v>1</v>
      </c>
      <c r="AF50" s="9" t="b">
        <v>1</v>
      </c>
      <c r="AG50" s="5">
        <v>8.977030910646514</v>
      </c>
      <c r="AH50" s="5">
        <v>9.380690169580765</v>
      </c>
      <c r="AI50" s="5">
        <v>1523.0</v>
      </c>
      <c r="AJ50" s="5">
        <v>2023.0</v>
      </c>
      <c r="AK50" s="5">
        <v>6.0</v>
      </c>
      <c r="AL50" s="5">
        <v>6.0</v>
      </c>
      <c r="AM50" s="5">
        <v>-29.43843739100105</v>
      </c>
      <c r="AN50" s="5">
        <v>-14.051918735891643</v>
      </c>
    </row>
    <row r="51" ht="15.75" customHeight="1">
      <c r="A51" s="5">
        <v>3.0</v>
      </c>
      <c r="B51" s="5">
        <v>2010.0</v>
      </c>
      <c r="C51" s="5">
        <v>4108.37</v>
      </c>
      <c r="D51" s="5">
        <v>460416.0</v>
      </c>
      <c r="E51" s="5">
        <v>5501.266306265123</v>
      </c>
      <c r="F51" s="5">
        <v>5516.931591841166</v>
      </c>
      <c r="G51" s="5">
        <v>4.0</v>
      </c>
      <c r="H51" s="5">
        <v>4.0</v>
      </c>
      <c r="I51" s="5">
        <v>0.7468044212513724</v>
      </c>
      <c r="J51" s="5">
        <v>-2.1823203011180126</v>
      </c>
      <c r="K51" s="5">
        <v>3.6232890581376687</v>
      </c>
      <c r="L51" s="5">
        <v>0.7446838757391432</v>
      </c>
      <c r="M51" s="5">
        <v>-0.06854870746355601</v>
      </c>
      <c r="N51" s="5">
        <v>1.4314269164487747</v>
      </c>
      <c r="O51" s="5">
        <v>1.3618969843357087</v>
      </c>
      <c r="P51" s="5">
        <v>3120.0</v>
      </c>
      <c r="Q51" s="5">
        <v>4.0</v>
      </c>
      <c r="R51" s="5">
        <v>1359.0</v>
      </c>
      <c r="S51" s="5">
        <v>4.0</v>
      </c>
      <c r="T51" s="5">
        <v>76682.3</v>
      </c>
      <c r="U51" s="5">
        <v>4.0</v>
      </c>
      <c r="V51" s="5">
        <v>56.42553348050037</v>
      </c>
      <c r="W51" s="9" t="b">
        <v>1</v>
      </c>
      <c r="X51" s="9" t="b">
        <v>1</v>
      </c>
      <c r="Y51" s="5">
        <v>6.776480400333611</v>
      </c>
      <c r="Z51" s="5">
        <v>2.9516784820683903</v>
      </c>
      <c r="AA51" s="5">
        <v>3534.0</v>
      </c>
      <c r="AB51" s="5">
        <v>4688.0</v>
      </c>
      <c r="AC51" s="5">
        <v>12.0</v>
      </c>
      <c r="AD51" s="5">
        <v>12.0</v>
      </c>
      <c r="AE51" s="9" t="b">
        <v>1</v>
      </c>
      <c r="AF51" s="9" t="b">
        <v>1</v>
      </c>
      <c r="AG51" s="5">
        <v>10.182096191270503</v>
      </c>
      <c r="AH51" s="5">
        <v>7.675667222685571</v>
      </c>
      <c r="AI51" s="5">
        <v>1611.0</v>
      </c>
      <c r="AJ51" s="5">
        <v>2652.0</v>
      </c>
      <c r="AK51" s="5">
        <v>6.0</v>
      </c>
      <c r="AL51" s="5">
        <v>6.0</v>
      </c>
      <c r="AM51" s="5">
        <v>31.092436974789916</v>
      </c>
      <c r="AN51" s="5">
        <v>5.778069599474711</v>
      </c>
    </row>
    <row r="52" ht="15.75" customHeight="1">
      <c r="A52" s="5">
        <v>3.0</v>
      </c>
      <c r="B52" s="5">
        <v>2011.0</v>
      </c>
      <c r="C52" s="5">
        <v>4327.35</v>
      </c>
      <c r="D52" s="5">
        <v>460435.0</v>
      </c>
      <c r="E52" s="5">
        <v>5584.5</v>
      </c>
      <c r="F52" s="5">
        <v>5446.602724424061</v>
      </c>
      <c r="G52" s="5">
        <v>4.0</v>
      </c>
      <c r="H52" s="5">
        <v>4.0</v>
      </c>
      <c r="I52" s="5">
        <v>0.7748858447488585</v>
      </c>
      <c r="J52" s="5">
        <v>1.5129915386951298</v>
      </c>
      <c r="K52" s="5">
        <v>3.760211201003849</v>
      </c>
      <c r="L52" s="5">
        <v>0.7945044312842895</v>
      </c>
      <c r="M52" s="5">
        <v>-1.2747822996593272</v>
      </c>
      <c r="N52" s="5">
        <v>6.690161714015419</v>
      </c>
      <c r="O52" s="5">
        <v>5.330094417007247</v>
      </c>
      <c r="P52" s="5">
        <v>5696.0</v>
      </c>
      <c r="Q52" s="5">
        <v>4.0</v>
      </c>
      <c r="R52" s="5">
        <v>3758.0</v>
      </c>
      <c r="S52" s="5">
        <v>4.0</v>
      </c>
      <c r="T52" s="5">
        <v>208731.30000000002</v>
      </c>
      <c r="U52" s="5">
        <v>4.0</v>
      </c>
      <c r="V52" s="5">
        <v>55.54318786588611</v>
      </c>
      <c r="W52" s="9" t="b">
        <v>1</v>
      </c>
      <c r="X52" s="9" t="b">
        <v>1</v>
      </c>
      <c r="Y52" s="5">
        <v>12.370910117606178</v>
      </c>
      <c r="Z52" s="5">
        <v>8.161846949080761</v>
      </c>
      <c r="AA52" s="5">
        <v>4422.0</v>
      </c>
      <c r="AB52" s="5">
        <v>4595.0</v>
      </c>
      <c r="AC52" s="5">
        <v>12.0</v>
      </c>
      <c r="AD52" s="5">
        <v>12.0</v>
      </c>
      <c r="AE52" s="9" t="b">
        <v>1</v>
      </c>
      <c r="AF52" s="9" t="b">
        <v>1</v>
      </c>
      <c r="AG52" s="5">
        <v>9.979693116292202</v>
      </c>
      <c r="AH52" s="5">
        <v>9.603961471217437</v>
      </c>
      <c r="AI52" s="5">
        <v>1009.0</v>
      </c>
      <c r="AJ52" s="5">
        <v>1711.0</v>
      </c>
      <c r="AK52" s="5">
        <v>6.0</v>
      </c>
      <c r="AL52" s="5">
        <v>6.0</v>
      </c>
      <c r="AM52" s="5">
        <v>-35.48265460030166</v>
      </c>
      <c r="AN52" s="5">
        <v>-37.36809435133458</v>
      </c>
    </row>
    <row r="53" ht="15.75" customHeight="1">
      <c r="A53" s="5">
        <v>3.0</v>
      </c>
      <c r="B53" s="5">
        <v>2012.0</v>
      </c>
      <c r="C53" s="5">
        <v>4411.71</v>
      </c>
      <c r="D53" s="5">
        <v>460354.0</v>
      </c>
      <c r="E53" s="5">
        <v>5522.207896080307</v>
      </c>
      <c r="F53" s="5">
        <v>5143.755216764507</v>
      </c>
      <c r="G53" s="5">
        <v>4.0</v>
      </c>
      <c r="H53" s="5">
        <v>4.0</v>
      </c>
      <c r="I53" s="5">
        <v>0.7989032798152086</v>
      </c>
      <c r="J53" s="5">
        <v>-1.1154463948373605</v>
      </c>
      <c r="K53" s="5">
        <v>3.0994804240015883</v>
      </c>
      <c r="L53" s="5">
        <v>0.8576827267404507</v>
      </c>
      <c r="M53" s="5">
        <v>-5.560301035019554</v>
      </c>
      <c r="N53" s="5">
        <v>7.951912282482243</v>
      </c>
      <c r="O53" s="5">
        <v>1.9494609865159829</v>
      </c>
      <c r="P53" s="5">
        <v>6663.0</v>
      </c>
      <c r="Q53" s="5">
        <v>4.0</v>
      </c>
      <c r="R53" s="5">
        <v>4770.0</v>
      </c>
      <c r="S53" s="5">
        <v>4.0</v>
      </c>
      <c r="T53" s="5">
        <v>266944.4</v>
      </c>
      <c r="U53" s="5">
        <v>4.0</v>
      </c>
      <c r="V53" s="5">
        <v>55.96318658280923</v>
      </c>
      <c r="W53" s="9" t="b">
        <v>1</v>
      </c>
      <c r="X53" s="9" t="b">
        <v>1</v>
      </c>
      <c r="Y53" s="5">
        <v>14.473644195553858</v>
      </c>
      <c r="Z53" s="5">
        <v>10.361591297132208</v>
      </c>
      <c r="AA53" s="5">
        <v>5095.0</v>
      </c>
      <c r="AB53" s="5">
        <v>3856.0</v>
      </c>
      <c r="AC53" s="5">
        <v>12.0</v>
      </c>
      <c r="AD53" s="5">
        <v>12.0</v>
      </c>
      <c r="AE53" s="9" t="b">
        <v>1</v>
      </c>
      <c r="AF53" s="9" t="b">
        <v>1</v>
      </c>
      <c r="AG53" s="5">
        <v>8.376162692189054</v>
      </c>
      <c r="AH53" s="5">
        <v>11.067569739808931</v>
      </c>
      <c r="AI53" s="5">
        <v>1144.0</v>
      </c>
      <c r="AJ53" s="5">
        <v>1715.0</v>
      </c>
      <c r="AK53" s="5">
        <v>6.0</v>
      </c>
      <c r="AL53" s="5">
        <v>6.0</v>
      </c>
      <c r="AM53" s="5">
        <v>0.23378141437755406</v>
      </c>
      <c r="AN53" s="5">
        <v>13.379583746283451</v>
      </c>
    </row>
    <row r="54" ht="15.75" customHeight="1">
      <c r="A54" s="5">
        <v>3.0</v>
      </c>
      <c r="B54" s="5">
        <v>2013.0</v>
      </c>
      <c r="C54" s="5">
        <v>4562.66</v>
      </c>
      <c r="D54" s="5">
        <v>460815.0</v>
      </c>
      <c r="E54" s="5">
        <v>5730.802621846573</v>
      </c>
      <c r="F54" s="5">
        <v>4837.470029624714</v>
      </c>
      <c r="G54" s="5">
        <v>4.0</v>
      </c>
      <c r="H54" s="5">
        <v>4.0</v>
      </c>
      <c r="I54" s="5">
        <v>0.79616422010532</v>
      </c>
      <c r="J54" s="5">
        <v>3.777379079015253</v>
      </c>
      <c r="K54" s="5">
        <v>-0.34285248028048665</v>
      </c>
      <c r="L54" s="5">
        <v>0.9431913731885108</v>
      </c>
      <c r="M54" s="5">
        <v>-5.954505497103558</v>
      </c>
      <c r="N54" s="5">
        <v>9.969729339545918</v>
      </c>
      <c r="O54" s="5">
        <v>3.4215757608727637</v>
      </c>
      <c r="P54" s="5">
        <v>7041.0</v>
      </c>
      <c r="Q54" s="5">
        <v>4.0</v>
      </c>
      <c r="R54" s="5">
        <v>6271.0</v>
      </c>
      <c r="S54" s="5">
        <v>4.0</v>
      </c>
      <c r="T54" s="5">
        <v>341825.5</v>
      </c>
      <c r="U54" s="5">
        <v>4.0</v>
      </c>
      <c r="V54" s="5">
        <v>54.50892999521607</v>
      </c>
      <c r="W54" s="9" t="b">
        <v>1</v>
      </c>
      <c r="X54" s="9" t="b">
        <v>1</v>
      </c>
      <c r="Y54" s="5">
        <v>15.279450538719443</v>
      </c>
      <c r="Z54" s="5">
        <v>13.6084979872617</v>
      </c>
      <c r="AA54" s="5">
        <v>3851.0</v>
      </c>
      <c r="AB54" s="5">
        <v>4509.0</v>
      </c>
      <c r="AC54" s="5">
        <v>12.0</v>
      </c>
      <c r="AD54" s="5">
        <v>12.0</v>
      </c>
      <c r="AE54" s="9" t="b">
        <v>1</v>
      </c>
      <c r="AF54" s="9" t="b">
        <v>1</v>
      </c>
      <c r="AG54" s="5">
        <v>9.784837733146707</v>
      </c>
      <c r="AH54" s="5">
        <v>8.356932825537363</v>
      </c>
      <c r="AI54" s="5">
        <v>1645.0</v>
      </c>
      <c r="AJ54" s="5">
        <v>2018.0</v>
      </c>
      <c r="AK54" s="5">
        <v>6.0</v>
      </c>
      <c r="AL54" s="5">
        <v>6.0</v>
      </c>
      <c r="AM54" s="5">
        <v>17.66763848396502</v>
      </c>
      <c r="AN54" s="5">
        <v>43.79370629370629</v>
      </c>
    </row>
    <row r="55" ht="15.75" customHeight="1">
      <c r="A55" s="5">
        <v>3.0</v>
      </c>
      <c r="B55" s="5">
        <v>2014.0</v>
      </c>
      <c r="C55" s="5">
        <v>4814.14</v>
      </c>
      <c r="D55" s="5">
        <v>461935.0</v>
      </c>
      <c r="E55" s="5">
        <v>5767.081838293213</v>
      </c>
      <c r="F55" s="5">
        <v>4935.565816080076</v>
      </c>
      <c r="G55" s="5">
        <v>4.0</v>
      </c>
      <c r="H55" s="5">
        <v>4.0</v>
      </c>
      <c r="I55" s="5">
        <v>0.8347618665707649</v>
      </c>
      <c r="J55" s="5">
        <v>0.6330564641737757</v>
      </c>
      <c r="K55" s="5">
        <v>4.847950396507272</v>
      </c>
      <c r="L55" s="5">
        <v>0.9753977921468557</v>
      </c>
      <c r="M55" s="5">
        <v>2.0278324383328883</v>
      </c>
      <c r="N55" s="5">
        <v>3.414621875671897</v>
      </c>
      <c r="O55" s="5">
        <v>5.511697124046067</v>
      </c>
      <c r="P55" s="5">
        <v>5969.0</v>
      </c>
      <c r="Q55" s="5">
        <v>4.0</v>
      </c>
      <c r="R55" s="5">
        <v>5469.0</v>
      </c>
      <c r="S55" s="5">
        <v>4.0</v>
      </c>
      <c r="T55" s="5">
        <v>301175.5</v>
      </c>
      <c r="U55" s="5">
        <v>4.0</v>
      </c>
      <c r="V55" s="5">
        <v>55.06957396233315</v>
      </c>
      <c r="W55" s="9" t="b">
        <v>1</v>
      </c>
      <c r="X55" s="9" t="b">
        <v>1</v>
      </c>
      <c r="Y55" s="5">
        <v>12.921731412428155</v>
      </c>
      <c r="Z55" s="5">
        <v>11.839328043988873</v>
      </c>
      <c r="AA55" s="5">
        <v>3945.0</v>
      </c>
      <c r="AB55" s="5">
        <v>5057.0</v>
      </c>
      <c r="AC55" s="5">
        <v>12.0</v>
      </c>
      <c r="AD55" s="5">
        <v>12.0</v>
      </c>
      <c r="AE55" s="9" t="b">
        <v>1</v>
      </c>
      <c r="AF55" s="9" t="b">
        <v>1</v>
      </c>
      <c r="AG55" s="5">
        <v>10.947427668394905</v>
      </c>
      <c r="AH55" s="5">
        <v>8.54016257698594</v>
      </c>
      <c r="AI55" s="5">
        <v>1275.0</v>
      </c>
      <c r="AJ55" s="5">
        <v>2312.0</v>
      </c>
      <c r="AK55" s="5">
        <v>6.0</v>
      </c>
      <c r="AL55" s="5">
        <v>6.0</v>
      </c>
      <c r="AM55" s="5">
        <v>14.568880079286428</v>
      </c>
      <c r="AN55" s="5">
        <v>-22.49240121580547</v>
      </c>
    </row>
    <row r="56" ht="15.75" customHeight="1">
      <c r="A56" s="5">
        <v>3.0</v>
      </c>
      <c r="B56" s="5">
        <v>2015.0</v>
      </c>
      <c r="C56" s="5">
        <v>4992.14</v>
      </c>
      <c r="D56" s="5">
        <v>461798.0</v>
      </c>
      <c r="E56" s="5">
        <v>5954.957394998592</v>
      </c>
      <c r="F56" s="5">
        <v>5105.012247170742</v>
      </c>
      <c r="G56" s="5">
        <v>4.0</v>
      </c>
      <c r="H56" s="5">
        <v>4.0</v>
      </c>
      <c r="I56" s="5">
        <v>0.8383166610382073</v>
      </c>
      <c r="J56" s="5">
        <v>3.257723090695408</v>
      </c>
      <c r="K56" s="5">
        <v>0.42584533503498</v>
      </c>
      <c r="L56" s="5">
        <v>0.9778899164770277</v>
      </c>
      <c r="M56" s="5">
        <v>3.4331713405301834</v>
      </c>
      <c r="N56" s="5">
        <v>0.2554982541724593</v>
      </c>
      <c r="O56" s="5">
        <v>3.6974412875404594</v>
      </c>
      <c r="P56" s="5">
        <v>7167.0</v>
      </c>
      <c r="Q56" s="5">
        <v>4.0</v>
      </c>
      <c r="R56" s="5">
        <v>6822.0</v>
      </c>
      <c r="S56" s="5">
        <v>4.0</v>
      </c>
      <c r="T56" s="5">
        <v>362149.7</v>
      </c>
      <c r="U56" s="5">
        <v>4.0</v>
      </c>
      <c r="V56" s="5">
        <v>53.08556141893873</v>
      </c>
      <c r="W56" s="9" t="b">
        <v>1</v>
      </c>
      <c r="X56" s="9" t="b">
        <v>1</v>
      </c>
      <c r="Y56" s="5">
        <v>15.519772714476892</v>
      </c>
      <c r="Z56" s="5">
        <v>14.772692822402869</v>
      </c>
      <c r="AA56" s="5">
        <v>4506.0</v>
      </c>
      <c r="AB56" s="5">
        <v>6007.0</v>
      </c>
      <c r="AC56" s="5">
        <v>12.0</v>
      </c>
      <c r="AD56" s="5">
        <v>12.0</v>
      </c>
      <c r="AE56" s="9" t="b">
        <v>1</v>
      </c>
      <c r="AF56" s="9" t="b">
        <v>1</v>
      </c>
      <c r="AG56" s="5">
        <v>13.007851917938147</v>
      </c>
      <c r="AH56" s="5">
        <v>9.75751302517551</v>
      </c>
      <c r="AI56" s="5">
        <v>1205.0</v>
      </c>
      <c r="AJ56" s="5">
        <v>3685.0</v>
      </c>
      <c r="AK56" s="5">
        <v>6.0</v>
      </c>
      <c r="AL56" s="5">
        <v>6.0</v>
      </c>
      <c r="AM56" s="5">
        <v>59.38581314878893</v>
      </c>
      <c r="AN56" s="5">
        <v>-5.490196078431375</v>
      </c>
    </row>
    <row r="57" ht="15.75" customHeight="1">
      <c r="A57" s="5">
        <v>3.0</v>
      </c>
      <c r="B57" s="5">
        <v>2016.0</v>
      </c>
      <c r="C57" s="5">
        <v>5118.59</v>
      </c>
      <c r="D57" s="5">
        <v>462996.0</v>
      </c>
      <c r="E57" s="5">
        <v>6350.456607567299</v>
      </c>
      <c r="F57" s="5">
        <v>5442.241859679084</v>
      </c>
      <c r="G57" s="5">
        <v>4.0</v>
      </c>
      <c r="H57" s="5">
        <v>4.0</v>
      </c>
      <c r="I57" s="5">
        <v>0.806019207170176</v>
      </c>
      <c r="J57" s="5">
        <v>6.641512043409015</v>
      </c>
      <c r="K57" s="5">
        <v>-3.8526556096395326</v>
      </c>
      <c r="L57" s="5">
        <v>0.9405296809616306</v>
      </c>
      <c r="M57" s="5">
        <v>6.605853153344321</v>
      </c>
      <c r="N57" s="5">
        <v>-3.82049501542997</v>
      </c>
      <c r="O57" s="5">
        <v>2.5329818474641996</v>
      </c>
      <c r="P57" s="5">
        <v>8058.0</v>
      </c>
      <c r="Q57" s="5">
        <v>4.0</v>
      </c>
      <c r="R57" s="5">
        <v>7704.0</v>
      </c>
      <c r="S57" s="5">
        <v>4.0</v>
      </c>
      <c r="T57" s="5">
        <v>403973.8</v>
      </c>
      <c r="U57" s="5">
        <v>4.0</v>
      </c>
      <c r="V57" s="5">
        <v>52.43688992731049</v>
      </c>
      <c r="W57" s="9" t="b">
        <v>1</v>
      </c>
      <c r="X57" s="9" t="b">
        <v>1</v>
      </c>
      <c r="Y57" s="5">
        <v>17.404038047844907</v>
      </c>
      <c r="Z57" s="5">
        <v>16.639452608661845</v>
      </c>
      <c r="AA57" s="5">
        <v>5080.0</v>
      </c>
      <c r="AB57" s="5">
        <v>6461.0</v>
      </c>
      <c r="AC57" s="5">
        <v>12.0</v>
      </c>
      <c r="AD57" s="5">
        <v>12.0</v>
      </c>
      <c r="AE57" s="9" t="b">
        <v>1</v>
      </c>
      <c r="AF57" s="9" t="b">
        <v>1</v>
      </c>
      <c r="AG57" s="5">
        <v>13.954764188027543</v>
      </c>
      <c r="AH57" s="5">
        <v>10.97201703686425</v>
      </c>
      <c r="AI57" s="5">
        <v>1456.0</v>
      </c>
      <c r="AJ57" s="5">
        <v>3182.0</v>
      </c>
      <c r="AK57" s="5">
        <v>6.0</v>
      </c>
      <c r="AL57" s="5">
        <v>6.0</v>
      </c>
      <c r="AM57" s="5">
        <v>-13.64993215739484</v>
      </c>
      <c r="AN57" s="5">
        <v>20.829875518672193</v>
      </c>
    </row>
    <row r="58" ht="15.75" customHeight="1">
      <c r="A58" s="5">
        <v>3.0</v>
      </c>
      <c r="B58" s="5">
        <v>2017.0</v>
      </c>
      <c r="C58" s="5">
        <v>5312.48</v>
      </c>
      <c r="D58" s="5">
        <v>464293.0</v>
      </c>
      <c r="E58" s="5">
        <v>6644.192695973564</v>
      </c>
      <c r="F58" s="5">
        <v>5973.068137557846</v>
      </c>
      <c r="G58" s="5">
        <v>4.0</v>
      </c>
      <c r="H58" s="5">
        <v>4.0</v>
      </c>
      <c r="I58" s="5">
        <v>0.7995674182085969</v>
      </c>
      <c r="J58" s="5">
        <v>4.6254325721436285</v>
      </c>
      <c r="K58" s="5">
        <v>-0.800451019552062</v>
      </c>
      <c r="L58" s="5">
        <v>0.8894055580239981</v>
      </c>
      <c r="M58" s="5">
        <v>9.75381637871684</v>
      </c>
      <c r="N58" s="5">
        <v>-5.4356735329565975</v>
      </c>
      <c r="O58" s="5">
        <v>3.7879572304091447</v>
      </c>
      <c r="P58" s="5">
        <v>8737.0</v>
      </c>
      <c r="Q58" s="5">
        <v>4.0</v>
      </c>
      <c r="R58" s="5">
        <v>8573.0</v>
      </c>
      <c r="S58" s="5">
        <v>4.0</v>
      </c>
      <c r="T58" s="5">
        <v>461718.0</v>
      </c>
      <c r="U58" s="5">
        <v>4.0</v>
      </c>
      <c r="V58" s="5">
        <v>53.85722617520121</v>
      </c>
      <c r="W58" s="9" t="b">
        <v>1</v>
      </c>
      <c r="X58" s="9" t="b">
        <v>1</v>
      </c>
      <c r="Y58" s="5">
        <v>18.817858550527358</v>
      </c>
      <c r="Z58" s="5">
        <v>18.464633324215526</v>
      </c>
      <c r="AA58" s="5">
        <v>6442.0</v>
      </c>
      <c r="AB58" s="5">
        <v>8002.0</v>
      </c>
      <c r="AC58" s="5">
        <v>12.0</v>
      </c>
      <c r="AD58" s="5">
        <v>12.0</v>
      </c>
      <c r="AE58" s="9" t="b">
        <v>1</v>
      </c>
      <c r="AF58" s="9" t="b">
        <v>1</v>
      </c>
      <c r="AG58" s="5">
        <v>17.234806469190794</v>
      </c>
      <c r="AH58" s="5">
        <v>13.874859194517255</v>
      </c>
      <c r="AI58" s="5">
        <v>2460.0</v>
      </c>
      <c r="AJ58" s="5">
        <v>4658.0</v>
      </c>
      <c r="AK58" s="5">
        <v>6.0</v>
      </c>
      <c r="AL58" s="5">
        <v>6.0</v>
      </c>
      <c r="AM58" s="5">
        <v>46.38592080452546</v>
      </c>
      <c r="AN58" s="5">
        <v>68.95604395604396</v>
      </c>
    </row>
    <row r="59" ht="15.75" customHeight="1">
      <c r="A59" s="5">
        <v>3.0</v>
      </c>
      <c r="B59" s="5">
        <v>2018.0</v>
      </c>
      <c r="C59" s="5">
        <v>5642.0</v>
      </c>
      <c r="D59" s="5">
        <v>464829.0</v>
      </c>
      <c r="E59" s="5">
        <v>7492.4303103483835</v>
      </c>
      <c r="F59" s="5">
        <v>6861.047024514623</v>
      </c>
      <c r="G59" s="5">
        <v>4.0</v>
      </c>
      <c r="H59" s="5">
        <v>4.0</v>
      </c>
      <c r="I59" s="5">
        <v>0.7530266904461415</v>
      </c>
      <c r="J59" s="5">
        <v>12.766601650323285</v>
      </c>
      <c r="K59" s="5">
        <v>-5.820738402113523</v>
      </c>
      <c r="L59" s="5">
        <v>0.8223234704325811</v>
      </c>
      <c r="M59" s="5">
        <v>14.86637799045496</v>
      </c>
      <c r="N59" s="5">
        <v>-7.5423508416626035</v>
      </c>
      <c r="O59" s="5">
        <v>6.202752763304531</v>
      </c>
      <c r="P59" s="5">
        <v>9892.0</v>
      </c>
      <c r="Q59" s="5">
        <v>4.0</v>
      </c>
      <c r="R59" s="5">
        <v>9682.0</v>
      </c>
      <c r="S59" s="5">
        <v>4.0</v>
      </c>
      <c r="T59" s="5">
        <v>508849.1</v>
      </c>
      <c r="U59" s="5">
        <v>4.0</v>
      </c>
      <c r="V59" s="5">
        <v>52.55619706672175</v>
      </c>
      <c r="W59" s="9" t="b">
        <v>1</v>
      </c>
      <c r="X59" s="9" t="b">
        <v>1</v>
      </c>
      <c r="Y59" s="5">
        <v>21.280944175169793</v>
      </c>
      <c r="Z59" s="5">
        <v>20.829165133844917</v>
      </c>
      <c r="AA59" s="5">
        <v>6851.0</v>
      </c>
      <c r="AB59" s="5">
        <v>5904.0</v>
      </c>
      <c r="AC59" s="5">
        <v>12.0</v>
      </c>
      <c r="AD59" s="5">
        <v>12.0</v>
      </c>
      <c r="AE59" s="9" t="b">
        <v>1</v>
      </c>
      <c r="AF59" s="9" t="b">
        <v>1</v>
      </c>
      <c r="AG59" s="5">
        <v>12.701445047533609</v>
      </c>
      <c r="AH59" s="5">
        <v>14.73875339103197</v>
      </c>
      <c r="AI59" s="5">
        <v>1894.0</v>
      </c>
      <c r="AJ59" s="5">
        <v>2721.0</v>
      </c>
      <c r="AK59" s="5">
        <v>6.0</v>
      </c>
      <c r="AL59" s="5">
        <v>6.0</v>
      </c>
      <c r="AM59" s="5">
        <v>-41.58437097466724</v>
      </c>
      <c r="AN59" s="5">
        <v>-23.008130081300816</v>
      </c>
    </row>
    <row r="60" ht="15.75" customHeight="1">
      <c r="A60" s="5">
        <v>3.0</v>
      </c>
      <c r="B60" s="5">
        <v>2019.0</v>
      </c>
      <c r="C60" s="5">
        <v>6154.35</v>
      </c>
      <c r="D60" s="5">
        <v>468158.0</v>
      </c>
      <c r="E60" s="5">
        <v>8417.464277209025</v>
      </c>
      <c r="F60" s="5">
        <v>7745.008830001276</v>
      </c>
      <c r="G60" s="5">
        <v>4.0</v>
      </c>
      <c r="H60" s="5">
        <v>4.0</v>
      </c>
      <c r="I60" s="5">
        <v>0.7311406140045533</v>
      </c>
      <c r="J60" s="5">
        <v>12.34624719275672</v>
      </c>
      <c r="K60" s="5">
        <v>-2.906414436468563</v>
      </c>
      <c r="L60" s="5">
        <v>0.7946214310512266</v>
      </c>
      <c r="M60" s="5">
        <v>12.883774186771246</v>
      </c>
      <c r="N60" s="5">
        <v>-3.3687521246088092</v>
      </c>
      <c r="O60" s="5">
        <v>9.080999645515785</v>
      </c>
      <c r="P60" s="5">
        <v>9958.0</v>
      </c>
      <c r="Q60" s="5">
        <v>4.0</v>
      </c>
      <c r="R60" s="5">
        <v>9978.0</v>
      </c>
      <c r="S60" s="5">
        <v>4.0</v>
      </c>
      <c r="T60" s="5">
        <v>519554.1</v>
      </c>
      <c r="U60" s="5">
        <v>4.0</v>
      </c>
      <c r="V60" s="5">
        <v>52.069963920625376</v>
      </c>
      <c r="W60" s="9" t="b">
        <v>1</v>
      </c>
      <c r="X60" s="9" t="b">
        <v>1</v>
      </c>
      <c r="Y60" s="5">
        <v>21.270596678899004</v>
      </c>
      <c r="Z60" s="5">
        <v>21.31331729886064</v>
      </c>
      <c r="AA60" s="5">
        <v>7265.0</v>
      </c>
      <c r="AB60" s="5">
        <v>7256.0</v>
      </c>
      <c r="AC60" s="5">
        <v>12.0</v>
      </c>
      <c r="AD60" s="5">
        <v>12.0</v>
      </c>
      <c r="AE60" s="9" t="b">
        <v>1</v>
      </c>
      <c r="AF60" s="9" t="b">
        <v>1</v>
      </c>
      <c r="AG60" s="5">
        <v>15.49904092208186</v>
      </c>
      <c r="AH60" s="5">
        <v>15.518265201064597</v>
      </c>
      <c r="AI60" s="5">
        <v>2914.0</v>
      </c>
      <c r="AJ60" s="5">
        <v>3103.0</v>
      </c>
      <c r="AK60" s="5">
        <v>6.0</v>
      </c>
      <c r="AL60" s="5">
        <v>6.0</v>
      </c>
      <c r="AM60" s="5">
        <v>14.03895626607865</v>
      </c>
      <c r="AN60" s="5">
        <v>53.85427666314677</v>
      </c>
    </row>
    <row r="61" ht="15.75" customHeight="1">
      <c r="A61" s="5">
        <v>3.0</v>
      </c>
      <c r="B61" s="5">
        <v>2020.0</v>
      </c>
      <c r="C61" s="5">
        <v>6490.53</v>
      </c>
      <c r="D61" s="5">
        <v>487262.0</v>
      </c>
      <c r="E61" s="5">
        <v>8992.985175797454</v>
      </c>
      <c r="F61" s="5">
        <v>8564.103176019487</v>
      </c>
      <c r="G61" s="5">
        <v>4.0</v>
      </c>
      <c r="H61" s="5">
        <v>4.0</v>
      </c>
      <c r="I61" s="5">
        <v>0.7217325363181699</v>
      </c>
      <c r="J61" s="5">
        <v>6.837224128728403</v>
      </c>
      <c r="K61" s="5">
        <v>-1.2867672108726302</v>
      </c>
      <c r="L61" s="5">
        <v>0.7578762033337314</v>
      </c>
      <c r="M61" s="5">
        <v>10.575770331537203</v>
      </c>
      <c r="N61" s="5">
        <v>-4.624243228487302</v>
      </c>
      <c r="O61" s="5">
        <v>5.462477759633422</v>
      </c>
      <c r="P61" s="5">
        <v>8406.0</v>
      </c>
      <c r="Q61" s="5">
        <v>4.0</v>
      </c>
      <c r="R61" s="5">
        <v>8475.0</v>
      </c>
      <c r="S61" s="5">
        <v>4.0</v>
      </c>
      <c r="T61" s="5">
        <v>444639.9</v>
      </c>
      <c r="U61" s="5">
        <v>4.0</v>
      </c>
      <c r="V61" s="5">
        <v>52.46488495575222</v>
      </c>
      <c r="W61" s="9" t="b">
        <v>1</v>
      </c>
      <c r="X61" s="9" t="b">
        <v>1</v>
      </c>
      <c r="Y61" s="5">
        <v>17.251499193452393</v>
      </c>
      <c r="Z61" s="5">
        <v>17.39310678854497</v>
      </c>
      <c r="AA61" s="5">
        <v>6558.0</v>
      </c>
      <c r="AB61" s="5">
        <v>7143.0</v>
      </c>
      <c r="AC61" s="5">
        <v>12.0</v>
      </c>
      <c r="AD61" s="5">
        <v>12.0</v>
      </c>
      <c r="AE61" s="9" t="b">
        <v>1</v>
      </c>
      <c r="AF61" s="9" t="b">
        <v>1</v>
      </c>
      <c r="AG61" s="5">
        <v>14.659464518062151</v>
      </c>
      <c r="AH61" s="5">
        <v>13.458878385755508</v>
      </c>
      <c r="AI61" s="5">
        <v>2459.0</v>
      </c>
      <c r="AJ61" s="5">
        <v>2277.0</v>
      </c>
      <c r="AK61" s="5">
        <v>6.0</v>
      </c>
      <c r="AL61" s="5">
        <v>6.0</v>
      </c>
      <c r="AM61" s="5">
        <v>-26.619400580083784</v>
      </c>
      <c r="AN61" s="5">
        <v>-15.614275909402886</v>
      </c>
    </row>
    <row r="62" ht="15.75" customHeight="1">
      <c r="A62" s="5">
        <v>3.0</v>
      </c>
      <c r="B62" s="5">
        <v>2021.0</v>
      </c>
      <c r="C62" s="5">
        <v>7084.42</v>
      </c>
      <c r="D62" s="5">
        <v>486283.0</v>
      </c>
      <c r="E62" s="5">
        <v>10256.824512290763</v>
      </c>
      <c r="F62" s="5">
        <v>9478.914110346948</v>
      </c>
      <c r="G62" s="5">
        <v>4.0</v>
      </c>
      <c r="H62" s="5">
        <v>4.0</v>
      </c>
      <c r="I62" s="5">
        <v>0.6907030525393831</v>
      </c>
      <c r="J62" s="5">
        <v>14.053613030461133</v>
      </c>
      <c r="K62" s="5">
        <v>-4.299305105057327</v>
      </c>
      <c r="L62" s="5">
        <v>0.7473872974824007</v>
      </c>
      <c r="M62" s="5">
        <v>10.68192332022624</v>
      </c>
      <c r="N62" s="5">
        <v>-1.3839866993042182</v>
      </c>
      <c r="O62" s="5">
        <v>9.150100222940205</v>
      </c>
      <c r="P62" s="5">
        <v>9593.0</v>
      </c>
      <c r="Q62" s="5">
        <v>4.0</v>
      </c>
      <c r="R62" s="5">
        <v>9699.0</v>
      </c>
      <c r="S62" s="5">
        <v>4.0</v>
      </c>
      <c r="T62" s="5">
        <v>523440.4</v>
      </c>
      <c r="U62" s="5">
        <v>4.0</v>
      </c>
      <c r="V62" s="5">
        <v>53.96849159707187</v>
      </c>
      <c r="W62" s="9" t="b">
        <v>1</v>
      </c>
      <c r="X62" s="9" t="b">
        <v>1</v>
      </c>
      <c r="Y62" s="5">
        <v>19.727195892103982</v>
      </c>
      <c r="Z62" s="5">
        <v>19.9451759572101</v>
      </c>
      <c r="AA62" s="5">
        <v>7328.0</v>
      </c>
      <c r="AB62" s="5">
        <v>6775.0</v>
      </c>
      <c r="AC62" s="5">
        <v>12.0</v>
      </c>
      <c r="AD62" s="5">
        <v>12.0</v>
      </c>
      <c r="AE62" s="9" t="b">
        <v>1</v>
      </c>
      <c r="AF62" s="9" t="b">
        <v>1</v>
      </c>
      <c r="AG62" s="5">
        <v>13.93221642541483</v>
      </c>
      <c r="AH62" s="5">
        <v>15.069414312242047</v>
      </c>
      <c r="AI62" s="5">
        <v>2458.0</v>
      </c>
      <c r="AJ62" s="5">
        <v>3777.0</v>
      </c>
      <c r="AK62" s="5">
        <v>6.0</v>
      </c>
      <c r="AL62" s="5">
        <v>6.0</v>
      </c>
      <c r="AM62" s="5">
        <v>65.87615283267456</v>
      </c>
      <c r="AN62" s="5">
        <v>-0.04066693777958763</v>
      </c>
    </row>
    <row r="63" ht="15.75" customHeight="1">
      <c r="A63" s="5">
        <v>3.0</v>
      </c>
      <c r="B63" s="5">
        <v>2022.0</v>
      </c>
      <c r="C63" s="5">
        <v>7876.68</v>
      </c>
      <c r="D63" s="5">
        <v>486226.0</v>
      </c>
      <c r="E63" s="5">
        <v>11152.086480541555</v>
      </c>
      <c r="F63" s="5">
        <v>10566.275960856205</v>
      </c>
      <c r="G63" s="5">
        <v>4.0</v>
      </c>
      <c r="H63" s="5">
        <v>4.0</v>
      </c>
      <c r="I63" s="5">
        <v>0.7062965314825556</v>
      </c>
      <c r="J63" s="5">
        <v>8.72845164873397</v>
      </c>
      <c r="K63" s="5">
        <v>2.257624153511806</v>
      </c>
      <c r="L63" s="5">
        <v>0.7454546927583499</v>
      </c>
      <c r="M63" s="5">
        <v>11.47137570665735</v>
      </c>
      <c r="N63" s="5">
        <v>-0.25858142499356473</v>
      </c>
      <c r="O63" s="5">
        <v>11.183131434895177</v>
      </c>
      <c r="P63" s="5">
        <v>9129.0</v>
      </c>
      <c r="Q63" s="5">
        <v>4.0</v>
      </c>
      <c r="R63" s="5">
        <v>9186.0</v>
      </c>
      <c r="S63" s="5">
        <v>4.0</v>
      </c>
      <c r="T63" s="5">
        <v>482400.10000000003</v>
      </c>
      <c r="U63" s="5">
        <v>4.0</v>
      </c>
      <c r="V63" s="5">
        <v>52.51470716307425</v>
      </c>
      <c r="W63" s="9" t="b">
        <v>1</v>
      </c>
      <c r="X63" s="9" t="b">
        <v>1</v>
      </c>
      <c r="Y63" s="5">
        <v>18.77521975377705</v>
      </c>
      <c r="Z63" s="5">
        <v>18.892449190294226</v>
      </c>
      <c r="AA63" s="5">
        <v>7165.0</v>
      </c>
      <c r="AB63" s="5">
        <v>5663.0</v>
      </c>
      <c r="AC63" s="5">
        <v>12.0</v>
      </c>
      <c r="AD63" s="5">
        <v>12.0</v>
      </c>
      <c r="AE63" s="9" t="b">
        <v>1</v>
      </c>
      <c r="AF63" s="9" t="b">
        <v>1</v>
      </c>
      <c r="AG63" s="5">
        <v>11.646847350820401</v>
      </c>
      <c r="AH63" s="5">
        <v>14.735945835887016</v>
      </c>
      <c r="AI63" s="5">
        <v>2152.0</v>
      </c>
      <c r="AJ63" s="5">
        <v>3289.0</v>
      </c>
      <c r="AK63" s="5">
        <v>6.0</v>
      </c>
      <c r="AL63" s="5">
        <v>6.0</v>
      </c>
      <c r="AM63" s="5">
        <v>-12.920307122054542</v>
      </c>
      <c r="AN63" s="5">
        <v>-12.449145646867377</v>
      </c>
    </row>
    <row r="64" ht="15.75" customHeight="1">
      <c r="A64" s="5">
        <v>3.0</v>
      </c>
      <c r="B64" s="5">
        <v>2023.0</v>
      </c>
      <c r="C64" s="5">
        <v>8915.97</v>
      </c>
      <c r="D64" s="5">
        <v>486492.0</v>
      </c>
      <c r="E64" s="5">
        <v>11625.297202915955</v>
      </c>
      <c r="F64" s="5">
        <v>11062.739083325792</v>
      </c>
      <c r="G64" s="5">
        <v>4.0</v>
      </c>
      <c r="H64" s="5">
        <v>4.0</v>
      </c>
      <c r="I64" s="5">
        <v>0.766945553681296</v>
      </c>
      <c r="J64" s="5">
        <v>4.243248321290105</v>
      </c>
      <c r="K64" s="5">
        <v>8.586906418956186</v>
      </c>
      <c r="L64" s="5">
        <v>0.8059459716842197</v>
      </c>
      <c r="M64" s="5">
        <v>4.6985629024718145</v>
      </c>
      <c r="N64" s="5">
        <v>8.114682154865571</v>
      </c>
      <c r="O64" s="5">
        <v>13.194518502719399</v>
      </c>
      <c r="Q64" s="5">
        <v>1.0</v>
      </c>
      <c r="S64" s="5">
        <v>2.0</v>
      </c>
      <c r="U64" s="5">
        <v>2.0</v>
      </c>
      <c r="W64" s="9" t="b">
        <v>0</v>
      </c>
      <c r="X64" s="9" t="b">
        <v>0</v>
      </c>
      <c r="AA64" s="5">
        <v>6236.0</v>
      </c>
      <c r="AB64" s="5">
        <v>4664.0</v>
      </c>
      <c r="AC64" s="5">
        <v>12.0</v>
      </c>
      <c r="AD64" s="5">
        <v>12.0</v>
      </c>
      <c r="AE64" s="9" t="b">
        <v>1</v>
      </c>
      <c r="AF64" s="9" t="b">
        <v>1</v>
      </c>
      <c r="AG64" s="5">
        <v>9.587002458416583</v>
      </c>
      <c r="AH64" s="5">
        <v>12.81829917038718</v>
      </c>
      <c r="AI64" s="5">
        <v>2291.0</v>
      </c>
      <c r="AJ64" s="5">
        <v>1954.0</v>
      </c>
      <c r="AK64" s="5">
        <v>6.0</v>
      </c>
      <c r="AL64" s="5">
        <v>6.0</v>
      </c>
      <c r="AM64" s="5">
        <v>-40.589844937671025</v>
      </c>
      <c r="AN64" s="5">
        <v>6.459107806691455</v>
      </c>
    </row>
    <row r="65" ht="15.75" customHeight="1">
      <c r="A65" s="5">
        <v>3.0</v>
      </c>
      <c r="B65" s="5">
        <v>2024.0</v>
      </c>
      <c r="C65" s="5">
        <v>10107.32</v>
      </c>
      <c r="D65" s="5">
        <v>487834.0</v>
      </c>
      <c r="E65" s="5">
        <v>12845.369561383268</v>
      </c>
      <c r="F65" s="5">
        <v>12681.257911326964</v>
      </c>
      <c r="G65" s="5">
        <v>4.0</v>
      </c>
      <c r="H65" s="5">
        <v>4.0</v>
      </c>
      <c r="I65" s="5">
        <v>0.7868454038399485</v>
      </c>
      <c r="J65" s="5">
        <v>10.494977781396276</v>
      </c>
      <c r="K65" s="5">
        <v>2.5946887706870925</v>
      </c>
      <c r="L65" s="5">
        <v>0.7970281868466763</v>
      </c>
      <c r="M65" s="5">
        <v>14.630362479041636</v>
      </c>
      <c r="N65" s="5">
        <v>-1.106499089375368</v>
      </c>
      <c r="O65" s="5">
        <v>13.36197856206336</v>
      </c>
      <c r="P65" s="5">
        <v>9985.0</v>
      </c>
      <c r="Q65" s="5">
        <v>4.0</v>
      </c>
      <c r="R65" s="5">
        <v>10037.0</v>
      </c>
      <c r="S65" s="5">
        <v>4.0</v>
      </c>
      <c r="T65" s="5">
        <v>536100.0</v>
      </c>
      <c r="U65" s="5">
        <v>4.0</v>
      </c>
      <c r="V65" s="5">
        <v>53.412374215403005</v>
      </c>
      <c r="W65" s="9" t="b">
        <v>1</v>
      </c>
      <c r="X65" s="9" t="b">
        <v>1</v>
      </c>
      <c r="Y65" s="5">
        <v>20.468028058724897</v>
      </c>
      <c r="Z65" s="5">
        <v>20.574621695084804</v>
      </c>
      <c r="AA65" s="5">
        <v>6452.0</v>
      </c>
      <c r="AB65" s="5">
        <v>5525.0</v>
      </c>
      <c r="AC65" s="5">
        <v>12.0</v>
      </c>
      <c r="AD65" s="5">
        <v>12.0</v>
      </c>
      <c r="AE65" s="9" t="b">
        <v>1</v>
      </c>
      <c r="AF65" s="9" t="b">
        <v>1</v>
      </c>
      <c r="AG65" s="5">
        <v>11.325573863240365</v>
      </c>
      <c r="AH65" s="5">
        <v>13.225810419117979</v>
      </c>
      <c r="AI65" s="5">
        <v>3364.0</v>
      </c>
      <c r="AJ65" s="5">
        <v>3864.0</v>
      </c>
      <c r="AK65" s="5">
        <v>6.0</v>
      </c>
      <c r="AL65" s="5">
        <v>6.0</v>
      </c>
      <c r="AM65" s="5">
        <v>97.74820880245649</v>
      </c>
      <c r="AN65" s="5">
        <v>46.83544303797469</v>
      </c>
    </row>
    <row r="66" ht="15.75" customHeight="1">
      <c r="A66" s="5">
        <v>3.0</v>
      </c>
      <c r="B66" s="5">
        <v>2025.0</v>
      </c>
      <c r="C66" s="5">
        <v>10972.26</v>
      </c>
      <c r="D66" s="5">
        <v>489160.0</v>
      </c>
      <c r="E66" s="5">
        <v>14142.416377835161</v>
      </c>
      <c r="F66" s="5">
        <v>13363.950117693337</v>
      </c>
      <c r="G66" s="5">
        <v>4.0</v>
      </c>
      <c r="H66" s="5">
        <v>4.0</v>
      </c>
      <c r="I66" s="5">
        <v>0.7758405428648234</v>
      </c>
      <c r="J66" s="5">
        <v>10.097388091901816</v>
      </c>
      <c r="K66" s="5">
        <v>-1.3986052306360741</v>
      </c>
      <c r="L66" s="5">
        <v>0.8210341929870844</v>
      </c>
      <c r="M66" s="5">
        <v>5.383473872545319</v>
      </c>
      <c r="N66" s="5">
        <v>3.0119394190291082</v>
      </c>
      <c r="O66" s="5">
        <v>8.55756026325476</v>
      </c>
      <c r="AA66" s="5">
        <v>5750.0</v>
      </c>
      <c r="AB66" s="5">
        <v>5337.0</v>
      </c>
      <c r="AC66" s="5">
        <v>12.0</v>
      </c>
      <c r="AD66" s="5">
        <v>12.0</v>
      </c>
      <c r="AE66" s="9" t="b">
        <v>1</v>
      </c>
      <c r="AF66" s="9" t="b">
        <v>1</v>
      </c>
      <c r="AG66" s="5">
        <v>10.910540518439774</v>
      </c>
      <c r="AH66" s="5">
        <v>11.754845040477553</v>
      </c>
      <c r="AI66" s="5">
        <v>2194.0</v>
      </c>
      <c r="AJ66" s="5">
        <v>3776.0</v>
      </c>
      <c r="AK66" s="5">
        <v>6.0</v>
      </c>
      <c r="AL66" s="5">
        <v>6.0</v>
      </c>
      <c r="AM66" s="5">
        <v>-2.2774327122153215</v>
      </c>
      <c r="AN66" s="5">
        <v>-34.78002378121284</v>
      </c>
    </row>
    <row r="67" ht="15.75" customHeight="1">
      <c r="A67" s="5">
        <v>3.0</v>
      </c>
      <c r="B67" s="5">
        <v>2026.0</v>
      </c>
      <c r="AI67" s="5">
        <v>1618.0</v>
      </c>
      <c r="AJ67" s="5">
        <v>3109.0</v>
      </c>
      <c r="AK67" s="5">
        <v>6.0</v>
      </c>
      <c r="AL67" s="5">
        <v>6.0</v>
      </c>
      <c r="AM67" s="5">
        <v>-17.66419491525424</v>
      </c>
      <c r="AN67" s="5">
        <v>-26.253418413855968</v>
      </c>
    </row>
    <row r="68" ht="15.75" customHeight="1">
      <c r="A68" s="5">
        <v>4.0</v>
      </c>
      <c r="B68" s="5">
        <v>2005.0</v>
      </c>
      <c r="C68" s="5">
        <v>2741.05</v>
      </c>
      <c r="D68" s="5">
        <v>253092.0</v>
      </c>
      <c r="AA68" s="5">
        <v>1300.0</v>
      </c>
      <c r="AC68" s="5">
        <v>12.0</v>
      </c>
      <c r="AD68" s="5">
        <v>0.0</v>
      </c>
      <c r="AE68" s="9" t="b">
        <v>0</v>
      </c>
      <c r="AF68" s="9" t="b">
        <v>1</v>
      </c>
      <c r="AH68" s="5">
        <v>5.136472112907559</v>
      </c>
      <c r="AI68" s="5">
        <v>368.0</v>
      </c>
      <c r="AK68" s="5">
        <v>6.0</v>
      </c>
      <c r="AL68" s="5">
        <v>0.0</v>
      </c>
    </row>
    <row r="69" ht="15.75" customHeight="1">
      <c r="A69" s="5">
        <v>4.0</v>
      </c>
      <c r="B69" s="5">
        <v>2006.0</v>
      </c>
      <c r="C69" s="5">
        <v>2914.02</v>
      </c>
      <c r="D69" s="5">
        <v>252443.0</v>
      </c>
      <c r="AA69" s="5">
        <v>1448.0</v>
      </c>
      <c r="AB69" s="5">
        <v>1487.0</v>
      </c>
      <c r="AC69" s="5">
        <v>12.0</v>
      </c>
      <c r="AD69" s="5">
        <v>12.0</v>
      </c>
      <c r="AE69" s="9" t="b">
        <v>1</v>
      </c>
      <c r="AF69" s="9" t="b">
        <v>1</v>
      </c>
      <c r="AG69" s="5">
        <v>5.89043863367176</v>
      </c>
      <c r="AH69" s="5">
        <v>5.7359483130845375</v>
      </c>
      <c r="AI69" s="5">
        <v>755.0</v>
      </c>
      <c r="AJ69" s="5">
        <v>481.0</v>
      </c>
      <c r="AK69" s="5">
        <v>6.0</v>
      </c>
      <c r="AL69" s="5">
        <v>6.0</v>
      </c>
      <c r="AN69" s="5">
        <v>105.16304347826089</v>
      </c>
    </row>
    <row r="70" ht="15.75" customHeight="1">
      <c r="A70" s="5">
        <v>4.0</v>
      </c>
      <c r="B70" s="5">
        <v>2007.0</v>
      </c>
      <c r="C70" s="5">
        <v>3198.33</v>
      </c>
      <c r="D70" s="5">
        <v>251183.0</v>
      </c>
      <c r="E70" s="5">
        <v>6880.5</v>
      </c>
      <c r="F70" s="5">
        <v>5573.831639873226</v>
      </c>
      <c r="G70" s="5">
        <v>4.0</v>
      </c>
      <c r="H70" s="5">
        <v>4.0</v>
      </c>
      <c r="I70" s="5">
        <v>0.46483976455199477</v>
      </c>
      <c r="L70" s="5">
        <v>0.5738117343050471</v>
      </c>
      <c r="AA70" s="5">
        <v>1256.0</v>
      </c>
      <c r="AB70" s="5">
        <v>1758.0</v>
      </c>
      <c r="AC70" s="5">
        <v>12.0</v>
      </c>
      <c r="AD70" s="5">
        <v>12.0</v>
      </c>
      <c r="AE70" s="9" t="b">
        <v>1</v>
      </c>
      <c r="AF70" s="9" t="b">
        <v>1</v>
      </c>
      <c r="AG70" s="5">
        <v>6.998881293718125</v>
      </c>
      <c r="AH70" s="5">
        <v>5.000338398697364</v>
      </c>
      <c r="AI70" s="5">
        <v>735.0</v>
      </c>
      <c r="AJ70" s="5">
        <v>877.0</v>
      </c>
      <c r="AK70" s="5">
        <v>6.0</v>
      </c>
      <c r="AL70" s="5">
        <v>6.0</v>
      </c>
      <c r="AM70" s="5">
        <v>82.32848232848234</v>
      </c>
      <c r="AN70" s="5">
        <v>-2.6490066225165587</v>
      </c>
    </row>
    <row r="71" ht="15.75" customHeight="1">
      <c r="A71" s="5">
        <v>4.0</v>
      </c>
      <c r="B71" s="5">
        <v>2008.0</v>
      </c>
      <c r="C71" s="5">
        <v>3493.85</v>
      </c>
      <c r="D71" s="5">
        <v>249787.0</v>
      </c>
      <c r="E71" s="5">
        <v>6897.0</v>
      </c>
      <c r="F71" s="5">
        <v>5906.461264722404</v>
      </c>
      <c r="G71" s="5">
        <v>4.0</v>
      </c>
      <c r="H71" s="5">
        <v>4.0</v>
      </c>
      <c r="I71" s="5">
        <v>0.5065753226040307</v>
      </c>
      <c r="J71" s="5">
        <v>0.23980815347721673</v>
      </c>
      <c r="K71" s="5">
        <v>8.978482744964822</v>
      </c>
      <c r="L71" s="5">
        <v>0.5915301639016516</v>
      </c>
      <c r="M71" s="5">
        <v>5.967701329004327</v>
      </c>
      <c r="N71" s="5">
        <v>3.08784720446047</v>
      </c>
      <c r="O71" s="5">
        <v>9.239822032123012</v>
      </c>
      <c r="AA71" s="5">
        <v>1747.0</v>
      </c>
      <c r="AB71" s="5">
        <v>1192.0</v>
      </c>
      <c r="AC71" s="5">
        <v>12.0</v>
      </c>
      <c r="AD71" s="5">
        <v>12.0</v>
      </c>
      <c r="AE71" s="9" t="b">
        <v>1</v>
      </c>
      <c r="AF71" s="9" t="b">
        <v>1</v>
      </c>
      <c r="AG71" s="5">
        <v>4.772065800061652</v>
      </c>
      <c r="AH71" s="5">
        <v>6.993958852942708</v>
      </c>
      <c r="AI71" s="5">
        <v>627.0</v>
      </c>
      <c r="AJ71" s="5">
        <v>815.0</v>
      </c>
      <c r="AK71" s="5">
        <v>6.0</v>
      </c>
      <c r="AL71" s="5">
        <v>6.0</v>
      </c>
      <c r="AM71" s="5">
        <v>-7.069555302166474</v>
      </c>
      <c r="AN71" s="5">
        <v>-14.693877551020407</v>
      </c>
    </row>
    <row r="72" ht="15.75" customHeight="1">
      <c r="A72" s="5">
        <v>4.0</v>
      </c>
      <c r="B72" s="5">
        <v>2009.0</v>
      </c>
      <c r="C72" s="5">
        <v>3583.9</v>
      </c>
      <c r="D72" s="5">
        <v>248889.0</v>
      </c>
      <c r="E72" s="5">
        <v>5852.5</v>
      </c>
      <c r="F72" s="5">
        <v>5460.942229273807</v>
      </c>
      <c r="G72" s="5">
        <v>4.0</v>
      </c>
      <c r="H72" s="5">
        <v>4.0</v>
      </c>
      <c r="I72" s="5">
        <v>0.6123707817172149</v>
      </c>
      <c r="J72" s="5">
        <v>-15.14426562273452</v>
      </c>
      <c r="K72" s="5">
        <v>20.884447858483668</v>
      </c>
      <c r="L72" s="5">
        <v>0.656278687730521</v>
      </c>
      <c r="M72" s="5">
        <v>-7.542909628639293</v>
      </c>
      <c r="N72" s="5">
        <v>10.945937803373717</v>
      </c>
      <c r="O72" s="5">
        <v>2.5773859782188824</v>
      </c>
      <c r="AA72" s="5">
        <v>965.0</v>
      </c>
      <c r="AB72" s="5">
        <v>859.0</v>
      </c>
      <c r="AC72" s="5">
        <v>12.0</v>
      </c>
      <c r="AD72" s="5">
        <v>12.0</v>
      </c>
      <c r="AE72" s="9" t="b">
        <v>1</v>
      </c>
      <c r="AF72" s="9" t="b">
        <v>1</v>
      </c>
      <c r="AG72" s="5">
        <v>3.451337744938507</v>
      </c>
      <c r="AH72" s="5">
        <v>3.877230411950709</v>
      </c>
      <c r="AI72" s="5">
        <v>377.0</v>
      </c>
      <c r="AJ72" s="5">
        <v>370.0</v>
      </c>
      <c r="AK72" s="5">
        <v>6.0</v>
      </c>
      <c r="AL72" s="5">
        <v>6.0</v>
      </c>
      <c r="AM72" s="5">
        <v>-54.601226993865026</v>
      </c>
      <c r="AN72" s="5">
        <v>-39.87240829346093</v>
      </c>
    </row>
    <row r="73" ht="15.75" customHeight="1">
      <c r="A73" s="5">
        <v>4.0</v>
      </c>
      <c r="B73" s="5">
        <v>2010.0</v>
      </c>
      <c r="C73" s="5">
        <v>3662.62</v>
      </c>
      <c r="D73" s="5">
        <v>249676.0</v>
      </c>
      <c r="E73" s="5">
        <v>5462.6274209828125</v>
      </c>
      <c r="F73" s="5">
        <v>5365.780969305674</v>
      </c>
      <c r="G73" s="5">
        <v>4.0</v>
      </c>
      <c r="H73" s="5">
        <v>4.0</v>
      </c>
      <c r="I73" s="5">
        <v>0.6704868770532106</v>
      </c>
      <c r="J73" s="5">
        <v>-6.661641674791752</v>
      </c>
      <c r="K73" s="5">
        <v>9.490344260551776</v>
      </c>
      <c r="L73" s="5">
        <v>0.6825884285906546</v>
      </c>
      <c r="M73" s="5">
        <v>-1.742579503185615</v>
      </c>
      <c r="N73" s="5">
        <v>4.008928120325739</v>
      </c>
      <c r="O73" s="5">
        <v>2.1964898574178937</v>
      </c>
      <c r="P73" s="5">
        <v>2336.0</v>
      </c>
      <c r="Q73" s="5">
        <v>4.0</v>
      </c>
      <c r="R73" s="5">
        <v>2066.0</v>
      </c>
      <c r="S73" s="5">
        <v>4.0</v>
      </c>
      <c r="T73" s="5">
        <v>121581.5</v>
      </c>
      <c r="U73" s="5">
        <v>4.0</v>
      </c>
      <c r="V73" s="5">
        <v>58.848741529525654</v>
      </c>
      <c r="W73" s="9" t="b">
        <v>1</v>
      </c>
      <c r="X73" s="9" t="b">
        <v>1</v>
      </c>
      <c r="Y73" s="5">
        <v>9.356125538698153</v>
      </c>
      <c r="Z73" s="5">
        <v>8.274724042358896</v>
      </c>
      <c r="AA73" s="5">
        <v>1119.0</v>
      </c>
      <c r="AB73" s="5">
        <v>890.0</v>
      </c>
      <c r="AC73" s="5">
        <v>12.0</v>
      </c>
      <c r="AD73" s="5">
        <v>12.0</v>
      </c>
      <c r="AE73" s="9" t="b">
        <v>1</v>
      </c>
      <c r="AF73" s="9" t="b">
        <v>1</v>
      </c>
      <c r="AG73" s="5">
        <v>3.5646197471923613</v>
      </c>
      <c r="AH73" s="5">
        <v>4.481808423717137</v>
      </c>
      <c r="AI73" s="5">
        <v>801.0</v>
      </c>
      <c r="AJ73" s="5">
        <v>585.0</v>
      </c>
      <c r="AK73" s="5">
        <v>6.0</v>
      </c>
      <c r="AL73" s="5">
        <v>6.0</v>
      </c>
      <c r="AM73" s="5">
        <v>58.10810810810811</v>
      </c>
      <c r="AN73" s="5">
        <v>112.46684350132625</v>
      </c>
    </row>
    <row r="74" ht="15.75" customHeight="1">
      <c r="A74" s="5">
        <v>4.0</v>
      </c>
      <c r="B74" s="5">
        <v>2011.0</v>
      </c>
      <c r="C74" s="5">
        <v>3938.74</v>
      </c>
      <c r="D74" s="5">
        <v>249081.0</v>
      </c>
      <c r="E74" s="5">
        <v>6238.032324775739</v>
      </c>
      <c r="F74" s="5">
        <v>5306.332160797111</v>
      </c>
      <c r="G74" s="5">
        <v>4.0</v>
      </c>
      <c r="H74" s="5">
        <v>4.0</v>
      </c>
      <c r="I74" s="5">
        <v>0.6314074366617842</v>
      </c>
      <c r="J74" s="5">
        <v>14.194724333833818</v>
      </c>
      <c r="K74" s="5">
        <v>-5.828516817984641</v>
      </c>
      <c r="L74" s="5">
        <v>0.7422716634852212</v>
      </c>
      <c r="M74" s="5">
        <v>-1.1079246217583827</v>
      </c>
      <c r="N74" s="5">
        <v>8.743663442668526</v>
      </c>
      <c r="O74" s="5">
        <v>7.538865620785118</v>
      </c>
      <c r="P74" s="5">
        <v>2401.0</v>
      </c>
      <c r="Q74" s="5">
        <v>4.0</v>
      </c>
      <c r="R74" s="5">
        <v>2104.0</v>
      </c>
      <c r="S74" s="5">
        <v>4.0</v>
      </c>
      <c r="T74" s="5">
        <v>122141.1</v>
      </c>
      <c r="U74" s="5">
        <v>4.0</v>
      </c>
      <c r="V74" s="5">
        <v>58.05185361216731</v>
      </c>
      <c r="W74" s="9" t="b">
        <v>1</v>
      </c>
      <c r="X74" s="9" t="b">
        <v>1</v>
      </c>
      <c r="Y74" s="5">
        <v>9.639434561447882</v>
      </c>
      <c r="Z74" s="5">
        <v>8.447051360802309</v>
      </c>
      <c r="AA74" s="5">
        <v>1100.0</v>
      </c>
      <c r="AB74" s="5">
        <v>1035.0</v>
      </c>
      <c r="AC74" s="5">
        <v>12.0</v>
      </c>
      <c r="AD74" s="5">
        <v>12.0</v>
      </c>
      <c r="AE74" s="9" t="b">
        <v>1</v>
      </c>
      <c r="AF74" s="9" t="b">
        <v>1</v>
      </c>
      <c r="AG74" s="5">
        <v>4.155274790128512</v>
      </c>
      <c r="AH74" s="5">
        <v>4.416234076465086</v>
      </c>
      <c r="AI74" s="5">
        <v>388.0</v>
      </c>
      <c r="AJ74" s="5">
        <v>537.0</v>
      </c>
      <c r="AK74" s="5">
        <v>6.0</v>
      </c>
      <c r="AL74" s="5">
        <v>6.0</v>
      </c>
      <c r="AM74" s="5">
        <v>-8.20512820512821</v>
      </c>
      <c r="AN74" s="5">
        <v>-51.560549313358294</v>
      </c>
    </row>
    <row r="75" ht="15.75" customHeight="1">
      <c r="A75" s="5">
        <v>4.0</v>
      </c>
      <c r="B75" s="5">
        <v>2012.0</v>
      </c>
      <c r="C75" s="5">
        <v>4067.07</v>
      </c>
      <c r="D75" s="5">
        <v>248574.0</v>
      </c>
      <c r="E75" s="5">
        <v>6287.786987156625</v>
      </c>
      <c r="F75" s="5">
        <v>5068.191437183125</v>
      </c>
      <c r="G75" s="5">
        <v>4.0</v>
      </c>
      <c r="H75" s="5">
        <v>4.0</v>
      </c>
      <c r="I75" s="5">
        <v>0.6468205758730948</v>
      </c>
      <c r="J75" s="5">
        <v>0.7976018685134978</v>
      </c>
      <c r="K75" s="5">
        <v>2.4410766038485354</v>
      </c>
      <c r="L75" s="5">
        <v>0.802469687739431</v>
      </c>
      <c r="M75" s="5">
        <v>-4.487859342341139</v>
      </c>
      <c r="N75" s="5">
        <v>8.109972024468682</v>
      </c>
      <c r="O75" s="5">
        <v>3.2581485449661773</v>
      </c>
      <c r="P75" s="5">
        <v>2330.0</v>
      </c>
      <c r="Q75" s="5">
        <v>4.0</v>
      </c>
      <c r="R75" s="5">
        <v>1942.0</v>
      </c>
      <c r="S75" s="5">
        <v>4.0</v>
      </c>
      <c r="T75" s="5">
        <v>112565.90000000001</v>
      </c>
      <c r="U75" s="5">
        <v>4.0</v>
      </c>
      <c r="V75" s="5">
        <v>57.963903192584965</v>
      </c>
      <c r="W75" s="9" t="b">
        <v>1</v>
      </c>
      <c r="X75" s="9" t="b">
        <v>1</v>
      </c>
      <c r="Y75" s="5">
        <v>9.373466251498549</v>
      </c>
      <c r="Z75" s="5">
        <v>7.812562858545141</v>
      </c>
      <c r="AA75" s="5">
        <v>1133.0</v>
      </c>
      <c r="AB75" s="5">
        <v>1494.0</v>
      </c>
      <c r="AC75" s="5">
        <v>12.0</v>
      </c>
      <c r="AD75" s="5">
        <v>12.0</v>
      </c>
      <c r="AE75" s="9" t="b">
        <v>1</v>
      </c>
      <c r="AF75" s="9" t="b">
        <v>1</v>
      </c>
      <c r="AG75" s="5">
        <v>6.010282652248425</v>
      </c>
      <c r="AH75" s="5">
        <v>4.557998825299508</v>
      </c>
      <c r="AI75" s="5">
        <v>598.0</v>
      </c>
      <c r="AJ75" s="5">
        <v>718.0</v>
      </c>
      <c r="AK75" s="5">
        <v>6.0</v>
      </c>
      <c r="AL75" s="5">
        <v>6.0</v>
      </c>
      <c r="AM75" s="5">
        <v>33.70577281191807</v>
      </c>
      <c r="AN75" s="5">
        <v>54.12371134020619</v>
      </c>
    </row>
    <row r="76" ht="15.75" customHeight="1">
      <c r="A76" s="5">
        <v>4.0</v>
      </c>
      <c r="B76" s="5">
        <v>2013.0</v>
      </c>
      <c r="C76" s="5">
        <v>4298.33</v>
      </c>
      <c r="D76" s="5">
        <v>248362.0</v>
      </c>
      <c r="E76" s="5">
        <v>6116.167758863594</v>
      </c>
      <c r="F76" s="5">
        <v>4840.689702203574</v>
      </c>
      <c r="G76" s="5">
        <v>4.0</v>
      </c>
      <c r="H76" s="5">
        <v>4.0</v>
      </c>
      <c r="I76" s="5">
        <v>0.7027815732769641</v>
      </c>
      <c r="J76" s="5">
        <v>-2.729405888646985</v>
      </c>
      <c r="K76" s="5">
        <v>8.651703345758865</v>
      </c>
      <c r="L76" s="5">
        <v>0.887958176299406</v>
      </c>
      <c r="M76" s="5">
        <v>-4.488814951038944</v>
      </c>
      <c r="N76" s="5">
        <v>10.653173554853822</v>
      </c>
      <c r="O76" s="5">
        <v>5.686157356524468</v>
      </c>
      <c r="P76" s="5">
        <v>2244.0</v>
      </c>
      <c r="Q76" s="5">
        <v>4.0</v>
      </c>
      <c r="R76" s="5">
        <v>2078.0</v>
      </c>
      <c r="S76" s="5">
        <v>4.0</v>
      </c>
      <c r="T76" s="5">
        <v>120222.6</v>
      </c>
      <c r="U76" s="5">
        <v>4.0</v>
      </c>
      <c r="V76" s="5">
        <v>57.85495668912416</v>
      </c>
      <c r="W76" s="9" t="b">
        <v>1</v>
      </c>
      <c r="X76" s="9" t="b">
        <v>1</v>
      </c>
      <c r="Y76" s="5">
        <v>9.035198621367199</v>
      </c>
      <c r="Z76" s="5">
        <v>8.366819400713474</v>
      </c>
      <c r="AA76" s="5">
        <v>1066.0</v>
      </c>
      <c r="AB76" s="5">
        <v>736.0</v>
      </c>
      <c r="AC76" s="5">
        <v>12.0</v>
      </c>
      <c r="AD76" s="5">
        <v>12.0</v>
      </c>
      <c r="AE76" s="9" t="b">
        <v>1</v>
      </c>
      <c r="AF76" s="9" t="b">
        <v>1</v>
      </c>
      <c r="AG76" s="5">
        <v>2.963416303621327</v>
      </c>
      <c r="AH76" s="5">
        <v>4.29212198323415</v>
      </c>
      <c r="AI76" s="5">
        <v>366.0</v>
      </c>
      <c r="AJ76" s="5">
        <v>229.0</v>
      </c>
      <c r="AK76" s="5">
        <v>6.0</v>
      </c>
      <c r="AL76" s="5">
        <v>6.0</v>
      </c>
      <c r="AM76" s="5">
        <v>-68.1058495821727</v>
      </c>
      <c r="AN76" s="5">
        <v>-38.79598662207358</v>
      </c>
    </row>
    <row r="77" ht="15.75" customHeight="1">
      <c r="A77" s="5">
        <v>4.0</v>
      </c>
      <c r="B77" s="5">
        <v>2014.0</v>
      </c>
      <c r="C77" s="5">
        <v>4457.62</v>
      </c>
      <c r="D77" s="5">
        <v>247792.0</v>
      </c>
      <c r="E77" s="5">
        <v>5908.528205186425</v>
      </c>
      <c r="F77" s="5">
        <v>4917.050495526044</v>
      </c>
      <c r="G77" s="5">
        <v>4.0</v>
      </c>
      <c r="H77" s="5">
        <v>4.0</v>
      </c>
      <c r="I77" s="5">
        <v>0.7544383042949955</v>
      </c>
      <c r="J77" s="5">
        <v>-3.3949290121458198</v>
      </c>
      <c r="K77" s="5">
        <v>7.350325190964213</v>
      </c>
      <c r="L77" s="5">
        <v>0.9065638036574826</v>
      </c>
      <c r="M77" s="5">
        <v>1.577477550104267</v>
      </c>
      <c r="N77" s="5">
        <v>2.09532699339694</v>
      </c>
      <c r="O77" s="5">
        <v>3.7058578564233002</v>
      </c>
      <c r="P77" s="5">
        <v>2229.0</v>
      </c>
      <c r="Q77" s="5">
        <v>4.0</v>
      </c>
      <c r="R77" s="5">
        <v>2108.0</v>
      </c>
      <c r="S77" s="5">
        <v>4.0</v>
      </c>
      <c r="T77" s="5">
        <v>123114.3</v>
      </c>
      <c r="U77" s="5">
        <v>4.0</v>
      </c>
      <c r="V77" s="5">
        <v>58.40336812144213</v>
      </c>
      <c r="W77" s="9" t="b">
        <v>1</v>
      </c>
      <c r="X77" s="9" t="b">
        <v>1</v>
      </c>
      <c r="Y77" s="5">
        <v>8.995447794924775</v>
      </c>
      <c r="Z77" s="5">
        <v>8.507135016465421</v>
      </c>
      <c r="AA77" s="5">
        <v>932.0</v>
      </c>
      <c r="AB77" s="5">
        <v>855.0</v>
      </c>
      <c r="AC77" s="5">
        <v>12.0</v>
      </c>
      <c r="AD77" s="5">
        <v>12.0</v>
      </c>
      <c r="AE77" s="9" t="b">
        <v>1</v>
      </c>
      <c r="AF77" s="9" t="b">
        <v>1</v>
      </c>
      <c r="AG77" s="5">
        <v>3.450474591592949</v>
      </c>
      <c r="AH77" s="5">
        <v>3.761219086976174</v>
      </c>
      <c r="AI77" s="5">
        <v>535.0</v>
      </c>
      <c r="AJ77" s="5">
        <v>448.0</v>
      </c>
      <c r="AK77" s="5">
        <v>6.0</v>
      </c>
      <c r="AL77" s="5">
        <v>6.0</v>
      </c>
      <c r="AM77" s="5">
        <v>95.63318777292575</v>
      </c>
      <c r="AN77" s="5">
        <v>46.174863387978135</v>
      </c>
    </row>
    <row r="78" ht="15.75" customHeight="1">
      <c r="A78" s="5">
        <v>4.0</v>
      </c>
      <c r="B78" s="5">
        <v>2015.0</v>
      </c>
      <c r="C78" s="5">
        <v>4566.82</v>
      </c>
      <c r="D78" s="5">
        <v>247672.0</v>
      </c>
      <c r="E78" s="5">
        <v>6245.957145645167</v>
      </c>
      <c r="F78" s="5">
        <v>4995.115300956758</v>
      </c>
      <c r="G78" s="5">
        <v>4.0</v>
      </c>
      <c r="H78" s="5">
        <v>4.0</v>
      </c>
      <c r="I78" s="5">
        <v>0.7311641584323225</v>
      </c>
      <c r="J78" s="5">
        <v>5.710879744342279</v>
      </c>
      <c r="K78" s="5">
        <v>-3.084963439710564</v>
      </c>
      <c r="L78" s="5">
        <v>0.9142571742288466</v>
      </c>
      <c r="M78" s="5">
        <v>1.5876348128160078</v>
      </c>
      <c r="N78" s="5">
        <v>0.84862979751954</v>
      </c>
      <c r="O78" s="5">
        <v>2.4497377524329123</v>
      </c>
      <c r="P78" s="5">
        <v>2347.0</v>
      </c>
      <c r="Q78" s="5">
        <v>4.0</v>
      </c>
      <c r="R78" s="5">
        <v>2215.0</v>
      </c>
      <c r="S78" s="5">
        <v>4.0</v>
      </c>
      <c r="T78" s="5">
        <v>127302.09999999999</v>
      </c>
      <c r="U78" s="5">
        <v>4.0</v>
      </c>
      <c r="V78" s="5">
        <v>57.47273137697517</v>
      </c>
      <c r="W78" s="9" t="b">
        <v>1</v>
      </c>
      <c r="X78" s="9" t="b">
        <v>1</v>
      </c>
      <c r="Y78" s="5">
        <v>9.476242772699376</v>
      </c>
      <c r="Z78" s="5">
        <v>8.943279821699667</v>
      </c>
      <c r="AA78" s="5">
        <v>1109.0</v>
      </c>
      <c r="AB78" s="5">
        <v>1346.0</v>
      </c>
      <c r="AC78" s="5">
        <v>12.0</v>
      </c>
      <c r="AD78" s="5">
        <v>12.0</v>
      </c>
      <c r="AE78" s="9" t="b">
        <v>1</v>
      </c>
      <c r="AF78" s="9" t="b">
        <v>1</v>
      </c>
      <c r="AG78" s="5">
        <v>5.43460706095158</v>
      </c>
      <c r="AH78" s="5">
        <v>4.477696308020286</v>
      </c>
      <c r="AI78" s="5">
        <v>599.0</v>
      </c>
      <c r="AJ78" s="5">
        <v>1007.0</v>
      </c>
      <c r="AK78" s="5">
        <v>6.0</v>
      </c>
      <c r="AL78" s="5">
        <v>6.0</v>
      </c>
      <c r="AM78" s="5">
        <v>124.77678571428572</v>
      </c>
      <c r="AN78" s="5">
        <v>11.962616822429917</v>
      </c>
    </row>
    <row r="79" ht="15.75" customHeight="1">
      <c r="A79" s="5">
        <v>4.0</v>
      </c>
      <c r="B79" s="5">
        <v>2016.0</v>
      </c>
      <c r="C79" s="5">
        <v>4798.54</v>
      </c>
      <c r="D79" s="5">
        <v>247329.0</v>
      </c>
      <c r="E79" s="5">
        <v>6551.564518184966</v>
      </c>
      <c r="F79" s="5">
        <v>5194.275640920263</v>
      </c>
      <c r="G79" s="5">
        <v>4.0</v>
      </c>
      <c r="H79" s="5">
        <v>4.0</v>
      </c>
      <c r="I79" s="5">
        <v>0.7324265809610586</v>
      </c>
      <c r="J79" s="5">
        <v>4.8928829547425945</v>
      </c>
      <c r="K79" s="5">
        <v>0.17265924678842026</v>
      </c>
      <c r="L79" s="5">
        <v>0.9238131226994047</v>
      </c>
      <c r="M79" s="5">
        <v>3.9871019578939126</v>
      </c>
      <c r="N79" s="5">
        <v>1.0452144910559014</v>
      </c>
      <c r="O79" s="5">
        <v>5.073990216386903</v>
      </c>
      <c r="P79" s="5">
        <v>2015.0</v>
      </c>
      <c r="Q79" s="5">
        <v>4.0</v>
      </c>
      <c r="R79" s="5">
        <v>1933.0</v>
      </c>
      <c r="S79" s="5">
        <v>4.0</v>
      </c>
      <c r="T79" s="5">
        <v>111810.0</v>
      </c>
      <c r="U79" s="5">
        <v>4.0</v>
      </c>
      <c r="V79" s="5">
        <v>57.84273150543197</v>
      </c>
      <c r="W79" s="9" t="b">
        <v>1</v>
      </c>
      <c r="X79" s="9" t="b">
        <v>1</v>
      </c>
      <c r="Y79" s="5">
        <v>8.147043007492044</v>
      </c>
      <c r="Z79" s="5">
        <v>7.815500810661104</v>
      </c>
      <c r="AA79" s="5">
        <v>1216.0</v>
      </c>
      <c r="AB79" s="5">
        <v>1549.0</v>
      </c>
      <c r="AC79" s="5">
        <v>12.0</v>
      </c>
      <c r="AD79" s="5">
        <v>12.0</v>
      </c>
      <c r="AE79" s="9" t="b">
        <v>1</v>
      </c>
      <c r="AF79" s="9" t="b">
        <v>1</v>
      </c>
      <c r="AG79" s="5">
        <v>6.262912962086937</v>
      </c>
      <c r="AH79" s="5">
        <v>4.916528187151527</v>
      </c>
      <c r="AI79" s="5">
        <v>423.0</v>
      </c>
      <c r="AJ79" s="5">
        <v>927.0</v>
      </c>
      <c r="AK79" s="5">
        <v>6.0</v>
      </c>
      <c r="AL79" s="5">
        <v>6.0</v>
      </c>
      <c r="AM79" s="5">
        <v>-7.944389275074482</v>
      </c>
      <c r="AN79" s="5">
        <v>-29.38230383973289</v>
      </c>
    </row>
    <row r="80" ht="15.75" customHeight="1">
      <c r="A80" s="5">
        <v>4.0</v>
      </c>
      <c r="B80" s="5">
        <v>2017.0</v>
      </c>
      <c r="C80" s="5">
        <v>5045.45</v>
      </c>
      <c r="D80" s="5">
        <v>246643.0</v>
      </c>
      <c r="E80" s="5">
        <v>6879.72333343729</v>
      </c>
      <c r="F80" s="5">
        <v>5744.347373138058</v>
      </c>
      <c r="G80" s="5">
        <v>4.0</v>
      </c>
      <c r="H80" s="5">
        <v>4.0</v>
      </c>
      <c r="I80" s="5">
        <v>0.733379782218533</v>
      </c>
      <c r="J80" s="5">
        <v>5.008861842716561</v>
      </c>
      <c r="K80" s="5">
        <v>0.130142908825559</v>
      </c>
      <c r="L80" s="5">
        <v>0.8783330241471347</v>
      </c>
      <c r="M80" s="5">
        <v>10.589960376464337</v>
      </c>
      <c r="N80" s="5">
        <v>-4.923084272647715</v>
      </c>
      <c r="O80" s="5">
        <v>5.145523430043308</v>
      </c>
      <c r="P80" s="5">
        <v>2914.0</v>
      </c>
      <c r="Q80" s="5">
        <v>4.0</v>
      </c>
      <c r="R80" s="5">
        <v>2913.0</v>
      </c>
      <c r="S80" s="5">
        <v>4.0</v>
      </c>
      <c r="T80" s="5">
        <v>172206.4</v>
      </c>
      <c r="U80" s="5">
        <v>4.0</v>
      </c>
      <c r="V80" s="5">
        <v>59.116512186749056</v>
      </c>
      <c r="W80" s="9" t="b">
        <v>1</v>
      </c>
      <c r="X80" s="9" t="b">
        <v>1</v>
      </c>
      <c r="Y80" s="5">
        <v>11.814647081003718</v>
      </c>
      <c r="Z80" s="5">
        <v>11.810592637942289</v>
      </c>
      <c r="AA80" s="5">
        <v>1111.0</v>
      </c>
      <c r="AB80" s="5">
        <v>2479.0</v>
      </c>
      <c r="AC80" s="5">
        <v>12.0</v>
      </c>
      <c r="AD80" s="5">
        <v>12.0</v>
      </c>
      <c r="AE80" s="9" t="b">
        <v>1</v>
      </c>
      <c r="AF80" s="9" t="b">
        <v>1</v>
      </c>
      <c r="AG80" s="5">
        <v>10.050964349282161</v>
      </c>
      <c r="AH80" s="5">
        <v>4.504486241247471</v>
      </c>
      <c r="AI80" s="5">
        <v>528.0</v>
      </c>
      <c r="AJ80" s="5">
        <v>1570.0</v>
      </c>
      <c r="AK80" s="5">
        <v>6.0</v>
      </c>
      <c r="AL80" s="5">
        <v>6.0</v>
      </c>
      <c r="AM80" s="5">
        <v>69.36353829557713</v>
      </c>
      <c r="AN80" s="5">
        <v>24.822695035460995</v>
      </c>
    </row>
    <row r="81" ht="15.75" customHeight="1">
      <c r="A81" s="5">
        <v>4.0</v>
      </c>
      <c r="B81" s="5">
        <v>2018.0</v>
      </c>
      <c r="C81" s="5">
        <v>5347.46</v>
      </c>
      <c r="D81" s="5">
        <v>246204.0</v>
      </c>
      <c r="E81" s="5">
        <v>7288.270838190335</v>
      </c>
      <c r="F81" s="5">
        <v>6386.190691535256</v>
      </c>
      <c r="G81" s="5">
        <v>4.0</v>
      </c>
      <c r="H81" s="5">
        <v>4.0</v>
      </c>
      <c r="I81" s="5">
        <v>0.7337076404981356</v>
      </c>
      <c r="J81" s="5">
        <v>5.938429279087343</v>
      </c>
      <c r="K81" s="5">
        <v>0.04470511562384427</v>
      </c>
      <c r="L81" s="5">
        <v>0.8373473731512483</v>
      </c>
      <c r="M81" s="5">
        <v>11.173476753836486</v>
      </c>
      <c r="N81" s="5">
        <v>-4.666299668702956</v>
      </c>
      <c r="O81" s="5">
        <v>5.985789176386658</v>
      </c>
      <c r="P81" s="5">
        <v>2971.0</v>
      </c>
      <c r="Q81" s="5">
        <v>4.0</v>
      </c>
      <c r="R81" s="5">
        <v>2978.0</v>
      </c>
      <c r="S81" s="5">
        <v>4.0</v>
      </c>
      <c r="T81" s="5">
        <v>176787.6</v>
      </c>
      <c r="U81" s="5">
        <v>4.0</v>
      </c>
      <c r="V81" s="5">
        <v>59.3645399597045</v>
      </c>
      <c r="W81" s="9" t="b">
        <v>1</v>
      </c>
      <c r="X81" s="9" t="b">
        <v>1</v>
      </c>
      <c r="Y81" s="5">
        <v>12.067228802131565</v>
      </c>
      <c r="Z81" s="5">
        <v>12.095660509171257</v>
      </c>
      <c r="AA81" s="5">
        <v>1521.0</v>
      </c>
      <c r="AB81" s="5">
        <v>1827.0</v>
      </c>
      <c r="AC81" s="5">
        <v>12.0</v>
      </c>
      <c r="AD81" s="5">
        <v>12.0</v>
      </c>
      <c r="AE81" s="9" t="b">
        <v>1</v>
      </c>
      <c r="AF81" s="9" t="b">
        <v>1</v>
      </c>
      <c r="AG81" s="5">
        <v>7.420675537359263</v>
      </c>
      <c r="AH81" s="5">
        <v>6.177803772481357</v>
      </c>
      <c r="AI81" s="5">
        <v>454.0</v>
      </c>
      <c r="AJ81" s="5">
        <v>1089.0</v>
      </c>
      <c r="AK81" s="5">
        <v>6.0</v>
      </c>
      <c r="AL81" s="5">
        <v>6.0</v>
      </c>
      <c r="AM81" s="5">
        <v>-30.63694267515924</v>
      </c>
      <c r="AN81" s="5">
        <v>-14.015151515151514</v>
      </c>
    </row>
    <row r="82" ht="15.75" customHeight="1">
      <c r="A82" s="5">
        <v>4.0</v>
      </c>
      <c r="B82" s="5">
        <v>2019.0</v>
      </c>
      <c r="C82" s="5">
        <v>5624.49</v>
      </c>
      <c r="D82" s="5">
        <v>246244.0</v>
      </c>
      <c r="E82" s="5">
        <v>8129.813960623045</v>
      </c>
      <c r="F82" s="5">
        <v>7054.114197386764</v>
      </c>
      <c r="G82" s="5">
        <v>4.0</v>
      </c>
      <c r="H82" s="5">
        <v>4.0</v>
      </c>
      <c r="I82" s="5">
        <v>0.691835019502581</v>
      </c>
      <c r="J82" s="5">
        <v>11.546540202966217</v>
      </c>
      <c r="K82" s="5">
        <v>-5.7069899077412</v>
      </c>
      <c r="L82" s="5">
        <v>0.7973346961243728</v>
      </c>
      <c r="M82" s="5">
        <v>10.458871933417612</v>
      </c>
      <c r="N82" s="5">
        <v>-4.778503917232458</v>
      </c>
      <c r="O82" s="5">
        <v>5.180590411148467</v>
      </c>
      <c r="P82" s="5">
        <v>2839.0</v>
      </c>
      <c r="Q82" s="5">
        <v>4.0</v>
      </c>
      <c r="R82" s="5">
        <v>2866.0</v>
      </c>
      <c r="S82" s="5">
        <v>4.0</v>
      </c>
      <c r="T82" s="5">
        <v>170184.6</v>
      </c>
      <c r="U82" s="5">
        <v>4.0</v>
      </c>
      <c r="V82" s="5">
        <v>59.380530355896724</v>
      </c>
      <c r="W82" s="9" t="b">
        <v>1</v>
      </c>
      <c r="X82" s="9" t="b">
        <v>1</v>
      </c>
      <c r="Y82" s="5">
        <v>11.529214925033708</v>
      </c>
      <c r="Z82" s="5">
        <v>11.638862266694822</v>
      </c>
      <c r="AA82" s="5">
        <v>1479.0</v>
      </c>
      <c r="AB82" s="5">
        <v>1525.0</v>
      </c>
      <c r="AC82" s="5">
        <v>12.0</v>
      </c>
      <c r="AD82" s="5">
        <v>12.0</v>
      </c>
      <c r="AE82" s="9" t="b">
        <v>1</v>
      </c>
      <c r="AF82" s="9" t="b">
        <v>1</v>
      </c>
      <c r="AG82" s="5">
        <v>6.193044297526031</v>
      </c>
      <c r="AH82" s="5">
        <v>6.006237715436721</v>
      </c>
      <c r="AI82" s="5">
        <v>688.0</v>
      </c>
      <c r="AJ82" s="5">
        <v>1091.0</v>
      </c>
      <c r="AK82" s="5">
        <v>6.0</v>
      </c>
      <c r="AL82" s="5">
        <v>6.0</v>
      </c>
      <c r="AM82" s="5">
        <v>0.18365472910928382</v>
      </c>
      <c r="AN82" s="5">
        <v>51.541850220264315</v>
      </c>
    </row>
    <row r="83" ht="15.75" customHeight="1">
      <c r="A83" s="5">
        <v>4.0</v>
      </c>
      <c r="B83" s="5">
        <v>2020.0</v>
      </c>
      <c r="C83" s="5">
        <v>5848.66</v>
      </c>
      <c r="D83" s="5">
        <v>246637.0</v>
      </c>
      <c r="E83" s="5">
        <v>8149.705083561255</v>
      </c>
      <c r="F83" s="5">
        <v>7616.965156656656</v>
      </c>
      <c r="G83" s="5">
        <v>4.0</v>
      </c>
      <c r="H83" s="5">
        <v>4.0</v>
      </c>
      <c r="I83" s="5">
        <v>0.7176529629025857</v>
      </c>
      <c r="J83" s="5">
        <v>0.24466885754770296</v>
      </c>
      <c r="K83" s="5">
        <v>3.7318063804528734</v>
      </c>
      <c r="L83" s="5">
        <v>0.767846495252602</v>
      </c>
      <c r="M83" s="5">
        <v>7.97904518583501</v>
      </c>
      <c r="N83" s="5">
        <v>-3.698346630982574</v>
      </c>
      <c r="O83" s="5">
        <v>3.985605806037529</v>
      </c>
      <c r="P83" s="5">
        <v>3028.0</v>
      </c>
      <c r="Q83" s="5">
        <v>4.0</v>
      </c>
      <c r="R83" s="5">
        <v>3053.0</v>
      </c>
      <c r="S83" s="5">
        <v>4.0</v>
      </c>
      <c r="T83" s="5">
        <v>178171.2</v>
      </c>
      <c r="U83" s="5">
        <v>4.0</v>
      </c>
      <c r="V83" s="5">
        <v>58.35938421225025</v>
      </c>
      <c r="W83" s="9" t="b">
        <v>1</v>
      </c>
      <c r="X83" s="9" t="b">
        <v>1</v>
      </c>
      <c r="Y83" s="5">
        <v>12.277152252095185</v>
      </c>
      <c r="Z83" s="5">
        <v>12.378515794467173</v>
      </c>
      <c r="AA83" s="5">
        <v>1985.0</v>
      </c>
      <c r="AB83" s="5">
        <v>1533.0</v>
      </c>
      <c r="AC83" s="5">
        <v>12.0</v>
      </c>
      <c r="AD83" s="5">
        <v>12.0</v>
      </c>
      <c r="AE83" s="9" t="b">
        <v>1</v>
      </c>
      <c r="AF83" s="9" t="b">
        <v>1</v>
      </c>
      <c r="AG83" s="5">
        <v>6.215612418250303</v>
      </c>
      <c r="AH83" s="5">
        <v>8.048265264335846</v>
      </c>
      <c r="AI83" s="5">
        <v>829.0</v>
      </c>
      <c r="AJ83" s="5">
        <v>587.0</v>
      </c>
      <c r="AK83" s="5">
        <v>6.0</v>
      </c>
      <c r="AL83" s="5">
        <v>6.0</v>
      </c>
      <c r="AM83" s="5">
        <v>-46.196150320806595</v>
      </c>
      <c r="AN83" s="5">
        <v>20.49418604651163</v>
      </c>
    </row>
    <row r="84" ht="15.75" customHeight="1">
      <c r="A84" s="5">
        <v>4.0</v>
      </c>
      <c r="B84" s="5">
        <v>2021.0</v>
      </c>
      <c r="C84" s="5">
        <v>6298.57</v>
      </c>
      <c r="D84" s="5">
        <v>244862.0</v>
      </c>
      <c r="E84" s="5">
        <v>9703.873257088799</v>
      </c>
      <c r="F84" s="5">
        <v>8316.829247255106</v>
      </c>
      <c r="G84" s="5">
        <v>4.0</v>
      </c>
      <c r="H84" s="5">
        <v>4.0</v>
      </c>
      <c r="I84" s="5">
        <v>0.6490779334322835</v>
      </c>
      <c r="J84" s="5">
        <v>19.07023821834304</v>
      </c>
      <c r="K84" s="5">
        <v>-9.555458280691386</v>
      </c>
      <c r="L84" s="5">
        <v>0.7573282813373601</v>
      </c>
      <c r="M84" s="5">
        <v>9.188227544756721</v>
      </c>
      <c r="N84" s="5">
        <v>-1.3698329002311382</v>
      </c>
      <c r="O84" s="5">
        <v>7.6925312806694235</v>
      </c>
      <c r="P84" s="5">
        <v>3917.0</v>
      </c>
      <c r="Q84" s="5">
        <v>4.0</v>
      </c>
      <c r="R84" s="5">
        <v>3980.0</v>
      </c>
      <c r="S84" s="5">
        <v>4.0</v>
      </c>
      <c r="T84" s="5">
        <v>228552.6</v>
      </c>
      <c r="U84" s="5">
        <v>4.0</v>
      </c>
      <c r="V84" s="5">
        <v>57.42527638190955</v>
      </c>
      <c r="W84" s="9" t="b">
        <v>1</v>
      </c>
      <c r="X84" s="9" t="b">
        <v>1</v>
      </c>
      <c r="Y84" s="5">
        <v>15.996765525071265</v>
      </c>
      <c r="Z84" s="5">
        <v>16.254053303493393</v>
      </c>
      <c r="AA84" s="5">
        <v>2375.0</v>
      </c>
      <c r="AB84" s="5">
        <v>1641.0</v>
      </c>
      <c r="AC84" s="5">
        <v>12.0</v>
      </c>
      <c r="AD84" s="5">
        <v>12.0</v>
      </c>
      <c r="AE84" s="9" t="b">
        <v>1</v>
      </c>
      <c r="AF84" s="9" t="b">
        <v>1</v>
      </c>
      <c r="AG84" s="5">
        <v>6.701734037947905</v>
      </c>
      <c r="AH84" s="5">
        <v>9.699340853215281</v>
      </c>
      <c r="AI84" s="5">
        <v>807.0</v>
      </c>
      <c r="AJ84" s="5">
        <v>614.0</v>
      </c>
      <c r="AK84" s="5">
        <v>6.0</v>
      </c>
      <c r="AL84" s="5">
        <v>6.0</v>
      </c>
      <c r="AM84" s="5">
        <v>4.599659284497437</v>
      </c>
      <c r="AN84" s="5">
        <v>-2.6537997587454787</v>
      </c>
    </row>
    <row r="85" ht="15.75" customHeight="1">
      <c r="A85" s="5">
        <v>4.0</v>
      </c>
      <c r="B85" s="5">
        <v>2022.0</v>
      </c>
      <c r="C85" s="5">
        <v>6985.73</v>
      </c>
      <c r="D85" s="5">
        <v>243770.0</v>
      </c>
      <c r="E85" s="5">
        <v>10280.432194266945</v>
      </c>
      <c r="F85" s="5">
        <v>9314.920891137679</v>
      </c>
      <c r="G85" s="5">
        <v>4.0</v>
      </c>
      <c r="H85" s="5">
        <v>4.0</v>
      </c>
      <c r="I85" s="5">
        <v>0.6795171514185667</v>
      </c>
      <c r="J85" s="5">
        <v>5.94153408544329</v>
      </c>
      <c r="K85" s="5">
        <v>4.689609123718408</v>
      </c>
      <c r="L85" s="5">
        <v>0.7499505451137327</v>
      </c>
      <c r="M85" s="5">
        <v>12.000867328278808</v>
      </c>
      <c r="N85" s="5">
        <v>-0.9741794153783734</v>
      </c>
      <c r="O85" s="5">
        <v>10.909777933721454</v>
      </c>
      <c r="P85" s="5">
        <v>3391.0</v>
      </c>
      <c r="Q85" s="5">
        <v>4.0</v>
      </c>
      <c r="R85" s="5">
        <v>3456.0</v>
      </c>
      <c r="S85" s="5">
        <v>4.0</v>
      </c>
      <c r="T85" s="5">
        <v>195229.30000000002</v>
      </c>
      <c r="U85" s="5">
        <v>4.0</v>
      </c>
      <c r="V85" s="5">
        <v>56.489959490740745</v>
      </c>
      <c r="W85" s="9" t="b">
        <v>1</v>
      </c>
      <c r="X85" s="9" t="b">
        <v>1</v>
      </c>
      <c r="Y85" s="5">
        <v>13.91065348484227</v>
      </c>
      <c r="Z85" s="5">
        <v>14.177298272962219</v>
      </c>
      <c r="AA85" s="5">
        <v>1001.0</v>
      </c>
      <c r="AB85" s="5">
        <v>1499.0</v>
      </c>
      <c r="AC85" s="5">
        <v>12.0</v>
      </c>
      <c r="AD85" s="5">
        <v>12.0</v>
      </c>
      <c r="AE85" s="9" t="b">
        <v>1</v>
      </c>
      <c r="AF85" s="9" t="b">
        <v>1</v>
      </c>
      <c r="AG85" s="5">
        <v>6.149239036796981</v>
      </c>
      <c r="AH85" s="5">
        <v>4.106329737047217</v>
      </c>
      <c r="AI85" s="5">
        <v>678.0</v>
      </c>
      <c r="AJ85" s="5">
        <v>1148.0</v>
      </c>
      <c r="AK85" s="5">
        <v>6.0</v>
      </c>
      <c r="AL85" s="5">
        <v>6.0</v>
      </c>
      <c r="AM85" s="5">
        <v>86.97068403908794</v>
      </c>
      <c r="AN85" s="5">
        <v>-15.98513011152416</v>
      </c>
    </row>
    <row r="86" ht="15.75" customHeight="1">
      <c r="A86" s="5">
        <v>4.0</v>
      </c>
      <c r="B86" s="5">
        <v>2023.0</v>
      </c>
      <c r="C86" s="5">
        <v>7890.4</v>
      </c>
      <c r="D86" s="5">
        <v>242141.0</v>
      </c>
      <c r="E86" s="5">
        <v>10975.37735796</v>
      </c>
      <c r="F86" s="5">
        <v>9856.473872068393</v>
      </c>
      <c r="G86" s="5">
        <v>4.0</v>
      </c>
      <c r="H86" s="5">
        <v>4.0</v>
      </c>
      <c r="I86" s="5">
        <v>0.7189183335256724</v>
      </c>
      <c r="J86" s="5">
        <v>6.7598827613551515</v>
      </c>
      <c r="K86" s="5">
        <v>5.798408770823715</v>
      </c>
      <c r="L86" s="5">
        <v>0.8005296927088784</v>
      </c>
      <c r="M86" s="5">
        <v>5.813822653566003</v>
      </c>
      <c r="N86" s="5">
        <v>6.7443310661871925</v>
      </c>
      <c r="O86" s="5">
        <v>12.950257167110667</v>
      </c>
      <c r="Q86" s="5">
        <v>1.0</v>
      </c>
      <c r="S86" s="5">
        <v>2.0</v>
      </c>
      <c r="U86" s="5">
        <v>2.0</v>
      </c>
      <c r="W86" s="9" t="b">
        <v>0</v>
      </c>
      <c r="X86" s="9" t="b">
        <v>0</v>
      </c>
      <c r="AA86" s="5">
        <v>1374.0</v>
      </c>
      <c r="AB86" s="5">
        <v>788.0</v>
      </c>
      <c r="AC86" s="5">
        <v>12.0</v>
      </c>
      <c r="AD86" s="5">
        <v>12.0</v>
      </c>
      <c r="AE86" s="9" t="b">
        <v>1</v>
      </c>
      <c r="AF86" s="9" t="b">
        <v>1</v>
      </c>
      <c r="AG86" s="5">
        <v>3.254302245385953</v>
      </c>
      <c r="AH86" s="5">
        <v>5.6743798035029185</v>
      </c>
      <c r="AI86" s="5">
        <v>844.0</v>
      </c>
      <c r="AJ86" s="5">
        <v>328.0</v>
      </c>
      <c r="AK86" s="5">
        <v>6.0</v>
      </c>
      <c r="AL86" s="5">
        <v>6.0</v>
      </c>
      <c r="AM86" s="5">
        <v>-71.42857142857143</v>
      </c>
      <c r="AN86" s="5">
        <v>24.48377581120944</v>
      </c>
    </row>
    <row r="87" ht="15.75" customHeight="1">
      <c r="A87" s="5">
        <v>4.0</v>
      </c>
      <c r="B87" s="5">
        <v>2024.0</v>
      </c>
      <c r="C87" s="5">
        <v>8999.18</v>
      </c>
      <c r="D87" s="5">
        <v>240554.0</v>
      </c>
      <c r="E87" s="5">
        <v>12746.783463792433</v>
      </c>
      <c r="F87" s="5">
        <v>11406.11664958083</v>
      </c>
      <c r="G87" s="5">
        <v>4.0</v>
      </c>
      <c r="H87" s="5">
        <v>4.0</v>
      </c>
      <c r="I87" s="5">
        <v>0.7059961460522494</v>
      </c>
      <c r="J87" s="5">
        <v>16.139819598528014</v>
      </c>
      <c r="K87" s="5">
        <v>-1.797448593368156</v>
      </c>
      <c r="L87" s="5">
        <v>0.7889784294228409</v>
      </c>
      <c r="M87" s="5">
        <v>15.722080711884878</v>
      </c>
      <c r="N87" s="5">
        <v>-1.4429525089756146</v>
      </c>
      <c r="O87" s="5">
        <v>14.052266044813955</v>
      </c>
      <c r="Q87" s="5">
        <v>1.0</v>
      </c>
      <c r="R87" s="5">
        <v>2676.0</v>
      </c>
      <c r="S87" s="5">
        <v>4.0</v>
      </c>
      <c r="T87" s="5">
        <v>149035.0</v>
      </c>
      <c r="U87" s="5">
        <v>4.0</v>
      </c>
      <c r="V87" s="5">
        <v>55.69319880418535</v>
      </c>
      <c r="W87" s="9" t="b">
        <v>0</v>
      </c>
      <c r="X87" s="9" t="b">
        <v>1</v>
      </c>
      <c r="Z87" s="5">
        <v>11.12432135819816</v>
      </c>
      <c r="AA87" s="5">
        <v>1813.0</v>
      </c>
      <c r="AB87" s="5">
        <v>1816.0</v>
      </c>
      <c r="AC87" s="5">
        <v>12.0</v>
      </c>
      <c r="AD87" s="5">
        <v>12.0</v>
      </c>
      <c r="AE87" s="9" t="b">
        <v>1</v>
      </c>
      <c r="AF87" s="9" t="b">
        <v>1</v>
      </c>
      <c r="AG87" s="5">
        <v>7.549240503171845</v>
      </c>
      <c r="AH87" s="5">
        <v>7.53676929088687</v>
      </c>
      <c r="AI87" s="5">
        <v>479.0</v>
      </c>
      <c r="AJ87" s="5">
        <v>814.0</v>
      </c>
      <c r="AK87" s="5">
        <v>6.0</v>
      </c>
      <c r="AL87" s="5">
        <v>6.0</v>
      </c>
      <c r="AM87" s="5">
        <v>148.1707317073171</v>
      </c>
      <c r="AN87" s="5">
        <v>-43.24644549763034</v>
      </c>
    </row>
    <row r="88" ht="15.75" customHeight="1">
      <c r="A88" s="5">
        <v>4.0</v>
      </c>
      <c r="B88" s="5">
        <v>2025.0</v>
      </c>
      <c r="C88" s="5">
        <v>9795.07</v>
      </c>
      <c r="D88" s="5">
        <v>239325.0</v>
      </c>
      <c r="E88" s="5">
        <v>13246.876763752434</v>
      </c>
      <c r="F88" s="5">
        <v>11784.178598583316</v>
      </c>
      <c r="G88" s="5">
        <v>4.0</v>
      </c>
      <c r="H88" s="5">
        <v>4.0</v>
      </c>
      <c r="I88" s="5">
        <v>0.7394248602661082</v>
      </c>
      <c r="J88" s="5">
        <v>3.9232901490837246</v>
      </c>
      <c r="K88" s="5">
        <v>4.734971203565874</v>
      </c>
      <c r="L88" s="5">
        <v>0.8312051551202351</v>
      </c>
      <c r="M88" s="5">
        <v>3.314554467723929</v>
      </c>
      <c r="N88" s="5">
        <v>5.352076067312028</v>
      </c>
      <c r="O88" s="5">
        <v>8.84402801144104</v>
      </c>
      <c r="AA88" s="5">
        <v>864.0</v>
      </c>
      <c r="AB88" s="5">
        <v>1786.0</v>
      </c>
      <c r="AC88" s="5">
        <v>12.0</v>
      </c>
      <c r="AD88" s="5">
        <v>12.0</v>
      </c>
      <c r="AE88" s="9" t="b">
        <v>1</v>
      </c>
      <c r="AF88" s="9" t="b">
        <v>1</v>
      </c>
      <c r="AG88" s="5">
        <v>7.462655384936801</v>
      </c>
      <c r="AH88" s="5">
        <v>3.6101535568787217</v>
      </c>
      <c r="AI88" s="5">
        <v>296.0</v>
      </c>
      <c r="AJ88" s="5">
        <v>322.0</v>
      </c>
      <c r="AK88" s="5">
        <v>6.0</v>
      </c>
      <c r="AL88" s="5">
        <v>6.0</v>
      </c>
      <c r="AM88" s="5">
        <v>-60.44226044226044</v>
      </c>
      <c r="AN88" s="5">
        <v>-38.20459290187892</v>
      </c>
    </row>
    <row r="89" ht="15.75" customHeight="1">
      <c r="A89" s="5">
        <v>4.0</v>
      </c>
      <c r="B89" s="5">
        <v>2026.0</v>
      </c>
      <c r="AI89" s="5">
        <v>247.0</v>
      </c>
      <c r="AJ89" s="5">
        <v>1533.0</v>
      </c>
      <c r="AK89" s="5">
        <v>6.0</v>
      </c>
      <c r="AL89" s="5">
        <v>6.0</v>
      </c>
      <c r="AM89" s="5">
        <v>376.0869565217392</v>
      </c>
      <c r="AN89" s="5">
        <v>-16.554054054054056</v>
      </c>
    </row>
    <row r="90" ht="15.75" customHeight="1">
      <c r="A90" s="5">
        <v>5.0</v>
      </c>
      <c r="B90" s="5">
        <v>2005.0</v>
      </c>
      <c r="C90" s="5">
        <v>3395.63</v>
      </c>
      <c r="D90" s="5">
        <v>318744.0</v>
      </c>
      <c r="AA90" s="5">
        <v>317.0</v>
      </c>
      <c r="AB90" s="5">
        <v>320.0</v>
      </c>
      <c r="AC90" s="5">
        <v>12.0</v>
      </c>
      <c r="AD90" s="5">
        <v>12.0</v>
      </c>
      <c r="AE90" s="9" t="b">
        <v>1</v>
      </c>
      <c r="AF90" s="9" t="b">
        <v>1</v>
      </c>
      <c r="AG90" s="5">
        <v>1.0039404663303466</v>
      </c>
      <c r="AH90" s="5">
        <v>0.9945285244584996</v>
      </c>
      <c r="AI90" s="5">
        <v>92.0</v>
      </c>
      <c r="AJ90" s="5">
        <v>92.0</v>
      </c>
      <c r="AK90" s="5">
        <v>6.0</v>
      </c>
      <c r="AL90" s="5">
        <v>6.0</v>
      </c>
    </row>
    <row r="91" ht="15.75" customHeight="1">
      <c r="A91" s="5">
        <v>5.0</v>
      </c>
      <c r="B91" s="5">
        <v>2006.0</v>
      </c>
      <c r="C91" s="5">
        <v>3523.92</v>
      </c>
      <c r="D91" s="5">
        <v>315996.0</v>
      </c>
      <c r="AA91" s="5">
        <v>440.0</v>
      </c>
      <c r="AB91" s="5">
        <v>416.0</v>
      </c>
      <c r="AC91" s="5">
        <v>12.0</v>
      </c>
      <c r="AD91" s="5">
        <v>12.0</v>
      </c>
      <c r="AE91" s="9" t="b">
        <v>1</v>
      </c>
      <c r="AF91" s="9" t="b">
        <v>1</v>
      </c>
      <c r="AG91" s="5">
        <v>1.3164723604096256</v>
      </c>
      <c r="AH91" s="5">
        <v>1.3924226888947961</v>
      </c>
      <c r="AI91" s="5">
        <v>98.0</v>
      </c>
      <c r="AJ91" s="5">
        <v>137.0</v>
      </c>
      <c r="AK91" s="5">
        <v>6.0</v>
      </c>
      <c r="AL91" s="5">
        <v>6.0</v>
      </c>
      <c r="AM91" s="5">
        <v>48.91304347826087</v>
      </c>
      <c r="AN91" s="5">
        <v>6.521739130434789</v>
      </c>
    </row>
    <row r="92" ht="15.75" customHeight="1">
      <c r="A92" s="5">
        <v>5.0</v>
      </c>
      <c r="B92" s="5">
        <v>2007.0</v>
      </c>
      <c r="C92" s="5">
        <v>3727.38</v>
      </c>
      <c r="D92" s="5">
        <v>313461.0</v>
      </c>
      <c r="E92" s="5">
        <v>5078.6224999999995</v>
      </c>
      <c r="F92" s="5">
        <v>3201.2284983919963</v>
      </c>
      <c r="G92" s="5">
        <v>4.0</v>
      </c>
      <c r="H92" s="5">
        <v>4.0</v>
      </c>
      <c r="I92" s="5">
        <v>0.7339352353910928</v>
      </c>
      <c r="L92" s="5">
        <v>1.1643592457933865</v>
      </c>
      <c r="AA92" s="5">
        <v>619.0</v>
      </c>
      <c r="AB92" s="5">
        <v>769.0</v>
      </c>
      <c r="AC92" s="5">
        <v>12.0</v>
      </c>
      <c r="AD92" s="5">
        <v>12.0</v>
      </c>
      <c r="AE92" s="9" t="b">
        <v>1</v>
      </c>
      <c r="AF92" s="9" t="b">
        <v>1</v>
      </c>
      <c r="AG92" s="5">
        <v>2.453255747923984</v>
      </c>
      <c r="AH92" s="5">
        <v>1.974727318549995</v>
      </c>
      <c r="AI92" s="5">
        <v>160.0</v>
      </c>
      <c r="AJ92" s="5">
        <v>328.0</v>
      </c>
      <c r="AK92" s="5">
        <v>6.0</v>
      </c>
      <c r="AL92" s="5">
        <v>6.0</v>
      </c>
      <c r="AM92" s="5">
        <v>139.41605839416061</v>
      </c>
      <c r="AN92" s="5">
        <v>63.26530612244898</v>
      </c>
    </row>
    <row r="93" ht="15.75" customHeight="1">
      <c r="A93" s="5">
        <v>5.0</v>
      </c>
      <c r="B93" s="5">
        <v>2008.0</v>
      </c>
      <c r="C93" s="5">
        <v>4150.44</v>
      </c>
      <c r="D93" s="5">
        <v>311179.0</v>
      </c>
      <c r="E93" s="5">
        <v>5457.5525</v>
      </c>
      <c r="F93" s="5">
        <v>3713.4796980715787</v>
      </c>
      <c r="G93" s="5">
        <v>4.0</v>
      </c>
      <c r="H93" s="5">
        <v>4.0</v>
      </c>
      <c r="I93" s="5">
        <v>0.7604947455842156</v>
      </c>
      <c r="J93" s="5">
        <v>7.461275178456361</v>
      </c>
      <c r="K93" s="5">
        <v>3.618781182915942</v>
      </c>
      <c r="L93" s="5">
        <v>1.1176686928315067</v>
      </c>
      <c r="M93" s="5">
        <v>16.001706842760232</v>
      </c>
      <c r="N93" s="5">
        <v>-4.00997828896571</v>
      </c>
      <c r="O93" s="5">
        <v>11.350063583535874</v>
      </c>
      <c r="AA93" s="5">
        <v>1303.0</v>
      </c>
      <c r="AB93" s="5">
        <v>658.0</v>
      </c>
      <c r="AC93" s="5">
        <v>12.0</v>
      </c>
      <c r="AD93" s="5">
        <v>12.0</v>
      </c>
      <c r="AE93" s="9" t="b">
        <v>1</v>
      </c>
      <c r="AF93" s="9" t="b">
        <v>1</v>
      </c>
      <c r="AG93" s="5">
        <v>2.114538577474701</v>
      </c>
      <c r="AH93" s="5">
        <v>4.187300556914188</v>
      </c>
      <c r="AI93" s="5">
        <v>378.0</v>
      </c>
      <c r="AJ93" s="5">
        <v>449.0</v>
      </c>
      <c r="AK93" s="5">
        <v>6.0</v>
      </c>
      <c r="AL93" s="5">
        <v>6.0</v>
      </c>
      <c r="AM93" s="5">
        <v>36.890243902439025</v>
      </c>
      <c r="AN93" s="5">
        <v>136.24999999999997</v>
      </c>
    </row>
    <row r="94" ht="15.75" customHeight="1">
      <c r="A94" s="5">
        <v>5.0</v>
      </c>
      <c r="B94" s="5">
        <v>2009.0</v>
      </c>
      <c r="C94" s="5">
        <v>4494.03</v>
      </c>
      <c r="D94" s="5">
        <v>308724.0</v>
      </c>
      <c r="E94" s="5">
        <v>4948.9425</v>
      </c>
      <c r="F94" s="5">
        <v>3477.561822000574</v>
      </c>
      <c r="G94" s="5">
        <v>4.0</v>
      </c>
      <c r="H94" s="5">
        <v>4.0</v>
      </c>
      <c r="I94" s="5">
        <v>0.9080788471476481</v>
      </c>
      <c r="J94" s="5">
        <v>-9.319378970701608</v>
      </c>
      <c r="K94" s="5">
        <v>19.406327580877324</v>
      </c>
      <c r="L94" s="5">
        <v>1.2922933451732777</v>
      </c>
      <c r="M94" s="5">
        <v>-6.353013756706883</v>
      </c>
      <c r="N94" s="5">
        <v>15.624008569066739</v>
      </c>
      <c r="O94" s="5">
        <v>8.278399398617985</v>
      </c>
      <c r="AA94" s="5">
        <v>949.0</v>
      </c>
      <c r="AB94" s="5">
        <v>920.0</v>
      </c>
      <c r="AC94" s="5">
        <v>12.0</v>
      </c>
      <c r="AD94" s="5">
        <v>12.0</v>
      </c>
      <c r="AE94" s="9" t="b">
        <v>1</v>
      </c>
      <c r="AF94" s="9" t="b">
        <v>1</v>
      </c>
      <c r="AG94" s="5">
        <v>2.9800080330651326</v>
      </c>
      <c r="AH94" s="5">
        <v>3.073943068890012</v>
      </c>
      <c r="AI94" s="5">
        <v>423.0</v>
      </c>
      <c r="AJ94" s="5">
        <v>395.0</v>
      </c>
      <c r="AK94" s="5">
        <v>6.0</v>
      </c>
      <c r="AL94" s="5">
        <v>6.0</v>
      </c>
      <c r="AM94" s="5">
        <v>-12.026726057906457</v>
      </c>
      <c r="AN94" s="5">
        <v>11.904761904761907</v>
      </c>
    </row>
    <row r="95" ht="15.75" customHeight="1">
      <c r="A95" s="5">
        <v>5.0</v>
      </c>
      <c r="B95" s="5">
        <v>2010.0</v>
      </c>
      <c r="C95" s="5">
        <v>4563.66</v>
      </c>
      <c r="D95" s="5">
        <v>312294.0</v>
      </c>
      <c r="E95" s="5">
        <v>4949.75</v>
      </c>
      <c r="F95" s="5">
        <v>3578.836956356301</v>
      </c>
      <c r="G95" s="5">
        <v>4.0</v>
      </c>
      <c r="H95" s="5">
        <v>4.0</v>
      </c>
      <c r="I95" s="5">
        <v>0.921998080711147</v>
      </c>
      <c r="J95" s="5">
        <v>0.01631661713588084</v>
      </c>
      <c r="K95" s="5">
        <v>1.5328221340272785</v>
      </c>
      <c r="L95" s="5">
        <v>1.2751796339574997</v>
      </c>
      <c r="M95" s="5">
        <v>2.9122454046687674</v>
      </c>
      <c r="N95" s="5">
        <v>-1.3242899748495796</v>
      </c>
      <c r="O95" s="5">
        <v>1.549388855882139</v>
      </c>
      <c r="P95" s="5">
        <v>673.0</v>
      </c>
      <c r="Q95" s="5">
        <v>4.0</v>
      </c>
      <c r="R95" s="5">
        <v>682.0</v>
      </c>
      <c r="S95" s="5">
        <v>4.0</v>
      </c>
      <c r="T95" s="5">
        <v>37327.4</v>
      </c>
      <c r="U95" s="5">
        <v>4.0</v>
      </c>
      <c r="V95" s="5">
        <v>54.73225806451613</v>
      </c>
      <c r="W95" s="9" t="b">
        <v>1</v>
      </c>
      <c r="X95" s="9" t="b">
        <v>1</v>
      </c>
      <c r="Y95" s="5">
        <v>2.1550205895726466</v>
      </c>
      <c r="Z95" s="5">
        <v>2.183839587055787</v>
      </c>
      <c r="AA95" s="5">
        <v>1137.0</v>
      </c>
      <c r="AB95" s="5">
        <v>1670.0</v>
      </c>
      <c r="AC95" s="5">
        <v>12.0</v>
      </c>
      <c r="AD95" s="5">
        <v>12.0</v>
      </c>
      <c r="AE95" s="9" t="b">
        <v>1</v>
      </c>
      <c r="AF95" s="9" t="b">
        <v>1</v>
      </c>
      <c r="AG95" s="5">
        <v>5.347525088538364</v>
      </c>
      <c r="AH95" s="5">
        <v>3.640800015370132</v>
      </c>
      <c r="AI95" s="5">
        <v>333.0</v>
      </c>
      <c r="AJ95" s="5">
        <v>250.0</v>
      </c>
      <c r="AK95" s="5">
        <v>6.0</v>
      </c>
      <c r="AL95" s="5">
        <v>6.0</v>
      </c>
      <c r="AM95" s="5">
        <v>-36.70886075949367</v>
      </c>
      <c r="AN95" s="5">
        <v>-21.276595744680847</v>
      </c>
    </row>
    <row r="96" ht="15.75" customHeight="1">
      <c r="A96" s="5">
        <v>5.0</v>
      </c>
      <c r="B96" s="5">
        <v>2011.0</v>
      </c>
      <c r="C96" s="5">
        <v>5013.92</v>
      </c>
      <c r="D96" s="5">
        <v>310434.0</v>
      </c>
      <c r="E96" s="5">
        <v>4761.649916980505</v>
      </c>
      <c r="F96" s="5">
        <v>3486.0744683628805</v>
      </c>
      <c r="G96" s="5">
        <v>4.0</v>
      </c>
      <c r="H96" s="5">
        <v>4.0</v>
      </c>
      <c r="I96" s="5">
        <v>1.0529795527638175</v>
      </c>
      <c r="J96" s="5">
        <v>-3.80019360613153</v>
      </c>
      <c r="K96" s="5">
        <v>14.20626298393628</v>
      </c>
      <c r="L96" s="5">
        <v>1.4382710540187116</v>
      </c>
      <c r="M96" s="5">
        <v>-2.5919730103565297</v>
      </c>
      <c r="N96" s="5">
        <v>12.789681996022818</v>
      </c>
      <c r="O96" s="5">
        <v>9.866203880218949</v>
      </c>
      <c r="P96" s="5">
        <v>949.0</v>
      </c>
      <c r="Q96" s="5">
        <v>4.0</v>
      </c>
      <c r="R96" s="5">
        <v>971.0</v>
      </c>
      <c r="S96" s="5">
        <v>4.0</v>
      </c>
      <c r="T96" s="5">
        <v>54200.6</v>
      </c>
      <c r="U96" s="5">
        <v>4.0</v>
      </c>
      <c r="V96" s="5">
        <v>55.81936148300721</v>
      </c>
      <c r="W96" s="9" t="b">
        <v>1</v>
      </c>
      <c r="X96" s="9" t="b">
        <v>1</v>
      </c>
      <c r="Y96" s="5">
        <v>3.0570105078696277</v>
      </c>
      <c r="Z96" s="5">
        <v>3.1278790338687132</v>
      </c>
      <c r="AA96" s="5">
        <v>663.0</v>
      </c>
      <c r="AB96" s="5">
        <v>1290.0</v>
      </c>
      <c r="AC96" s="5">
        <v>12.0</v>
      </c>
      <c r="AD96" s="5">
        <v>12.0</v>
      </c>
      <c r="AE96" s="9" t="b">
        <v>1</v>
      </c>
      <c r="AF96" s="9" t="b">
        <v>1</v>
      </c>
      <c r="AG96" s="5">
        <v>4.155472660855448</v>
      </c>
      <c r="AH96" s="5">
        <v>2.135719669881521</v>
      </c>
      <c r="AI96" s="5">
        <v>147.0</v>
      </c>
      <c r="AJ96" s="5">
        <v>270.0</v>
      </c>
      <c r="AK96" s="5">
        <v>6.0</v>
      </c>
      <c r="AL96" s="5">
        <v>6.0</v>
      </c>
      <c r="AM96" s="5">
        <v>8.000000000000007</v>
      </c>
      <c r="AN96" s="5">
        <v>-55.855855855855864</v>
      </c>
    </row>
    <row r="97" ht="15.75" customHeight="1">
      <c r="A97" s="5">
        <v>5.0</v>
      </c>
      <c r="B97" s="5">
        <v>2012.0</v>
      </c>
      <c r="C97" s="5">
        <v>4966.8</v>
      </c>
      <c r="D97" s="5">
        <v>308269.0</v>
      </c>
      <c r="E97" s="5">
        <v>4952.712630460013</v>
      </c>
      <c r="F97" s="5">
        <v>3369.1180329880726</v>
      </c>
      <c r="G97" s="5">
        <v>4.0</v>
      </c>
      <c r="H97" s="5">
        <v>4.0</v>
      </c>
      <c r="I97" s="5">
        <v>1.0028443745056692</v>
      </c>
      <c r="J97" s="5">
        <v>4.012531723471735</v>
      </c>
      <c r="K97" s="5">
        <v>-4.761267977764194</v>
      </c>
      <c r="L97" s="5">
        <v>1.474213711531781</v>
      </c>
      <c r="M97" s="5">
        <v>-3.3549609004690173</v>
      </c>
      <c r="N97" s="5">
        <v>2.4990183465516624</v>
      </c>
      <c r="O97" s="5">
        <v>-0.9397836423397199</v>
      </c>
      <c r="P97" s="5">
        <v>904.0</v>
      </c>
      <c r="Q97" s="5">
        <v>4.0</v>
      </c>
      <c r="R97" s="5">
        <v>908.0</v>
      </c>
      <c r="S97" s="5">
        <v>4.0</v>
      </c>
      <c r="T97" s="5">
        <v>48997.7</v>
      </c>
      <c r="U97" s="5">
        <v>4.0</v>
      </c>
      <c r="V97" s="5">
        <v>53.96222466960352</v>
      </c>
      <c r="W97" s="9" t="b">
        <v>1</v>
      </c>
      <c r="X97" s="9" t="b">
        <v>1</v>
      </c>
      <c r="Y97" s="5">
        <v>2.9325037548374957</v>
      </c>
      <c r="Z97" s="5">
        <v>2.945479435168635</v>
      </c>
      <c r="AA97" s="5">
        <v>376.0</v>
      </c>
      <c r="AB97" s="5">
        <v>606.0</v>
      </c>
      <c r="AC97" s="5">
        <v>12.0</v>
      </c>
      <c r="AD97" s="5">
        <v>12.0</v>
      </c>
      <c r="AE97" s="9" t="b">
        <v>1</v>
      </c>
      <c r="AF97" s="9" t="b">
        <v>1</v>
      </c>
      <c r="AG97" s="5">
        <v>1.9658155701676132</v>
      </c>
      <c r="AH97" s="5">
        <v>1.2197139511271002</v>
      </c>
      <c r="AI97" s="5">
        <v>221.0</v>
      </c>
      <c r="AJ97" s="5">
        <v>333.0</v>
      </c>
      <c r="AK97" s="5">
        <v>6.0</v>
      </c>
      <c r="AL97" s="5">
        <v>6.0</v>
      </c>
      <c r="AM97" s="5">
        <v>23.33333333333334</v>
      </c>
      <c r="AN97" s="5">
        <v>50.340136054421755</v>
      </c>
    </row>
    <row r="98" ht="15.75" customHeight="1">
      <c r="A98" s="5">
        <v>5.0</v>
      </c>
      <c r="B98" s="5">
        <v>2013.0</v>
      </c>
      <c r="C98" s="5">
        <v>5270.37</v>
      </c>
      <c r="D98" s="5">
        <v>305995.0</v>
      </c>
      <c r="E98" s="5">
        <v>4883.842856702568</v>
      </c>
      <c r="F98" s="5">
        <v>3270.8292171139606</v>
      </c>
      <c r="G98" s="5">
        <v>4.0</v>
      </c>
      <c r="H98" s="5">
        <v>4.0</v>
      </c>
      <c r="I98" s="5">
        <v>1.079144058201415</v>
      </c>
      <c r="J98" s="5">
        <v>-1.3905465326997768</v>
      </c>
      <c r="K98" s="5">
        <v>7.608327436982032</v>
      </c>
      <c r="L98" s="5">
        <v>1.6113253398935785</v>
      </c>
      <c r="M98" s="5">
        <v>-2.917345575659147</v>
      </c>
      <c r="N98" s="5">
        <v>9.300661585851877</v>
      </c>
      <c r="O98" s="5">
        <v>6.1119835709108505</v>
      </c>
      <c r="P98" s="5">
        <v>983.0</v>
      </c>
      <c r="Q98" s="5">
        <v>4.0</v>
      </c>
      <c r="R98" s="5">
        <v>996.0</v>
      </c>
      <c r="S98" s="5">
        <v>4.0</v>
      </c>
      <c r="T98" s="5">
        <v>54623.8</v>
      </c>
      <c r="U98" s="5">
        <v>4.0</v>
      </c>
      <c r="V98" s="5">
        <v>54.843172690763055</v>
      </c>
      <c r="W98" s="9" t="b">
        <v>1</v>
      </c>
      <c r="X98" s="9" t="b">
        <v>1</v>
      </c>
      <c r="Y98" s="5">
        <v>3.212470792006405</v>
      </c>
      <c r="Z98" s="5">
        <v>3.2549551463259205</v>
      </c>
      <c r="AA98" s="5">
        <v>510.0</v>
      </c>
      <c r="AB98" s="5">
        <v>1334.0</v>
      </c>
      <c r="AC98" s="5">
        <v>12.0</v>
      </c>
      <c r="AD98" s="5">
        <v>12.0</v>
      </c>
      <c r="AE98" s="9" t="b">
        <v>1</v>
      </c>
      <c r="AF98" s="9" t="b">
        <v>1</v>
      </c>
      <c r="AG98" s="5">
        <v>4.359548358633311</v>
      </c>
      <c r="AH98" s="5">
        <v>1.666693900227128</v>
      </c>
      <c r="AI98" s="5">
        <v>214.0</v>
      </c>
      <c r="AJ98" s="5">
        <v>318.0</v>
      </c>
      <c r="AK98" s="5">
        <v>6.0</v>
      </c>
      <c r="AL98" s="5">
        <v>6.0</v>
      </c>
      <c r="AM98" s="5">
        <v>-4.504504504504503</v>
      </c>
      <c r="AN98" s="5">
        <v>-3.167420814479638</v>
      </c>
    </row>
    <row r="99" ht="15.75" customHeight="1">
      <c r="A99" s="5">
        <v>5.0</v>
      </c>
      <c r="B99" s="5">
        <v>2014.0</v>
      </c>
      <c r="C99" s="5">
        <v>5199.41</v>
      </c>
      <c r="D99" s="5">
        <v>303314.0</v>
      </c>
      <c r="E99" s="5">
        <v>4856.956175207943</v>
      </c>
      <c r="F99" s="5">
        <v>3382.5037469078816</v>
      </c>
      <c r="G99" s="5">
        <v>4.0</v>
      </c>
      <c r="H99" s="5">
        <v>4.0</v>
      </c>
      <c r="I99" s="5">
        <v>1.0705079091592578</v>
      </c>
      <c r="J99" s="5">
        <v>-0.5505230672548378</v>
      </c>
      <c r="K99" s="5">
        <v>-0.8002776808641143</v>
      </c>
      <c r="L99" s="5">
        <v>1.5371483342045207</v>
      </c>
      <c r="M99" s="5">
        <v>3.4142574369094625</v>
      </c>
      <c r="N99" s="5">
        <v>-4.603477885723373</v>
      </c>
      <c r="O99" s="5">
        <v>-1.3463950348836962</v>
      </c>
      <c r="P99" s="5">
        <v>1079.0</v>
      </c>
      <c r="Q99" s="5">
        <v>4.0</v>
      </c>
      <c r="R99" s="5">
        <v>1104.0</v>
      </c>
      <c r="S99" s="5">
        <v>4.0</v>
      </c>
      <c r="T99" s="5">
        <v>60877.2</v>
      </c>
      <c r="U99" s="5">
        <v>4.0</v>
      </c>
      <c r="V99" s="5">
        <v>55.142391304347825</v>
      </c>
      <c r="W99" s="9" t="b">
        <v>1</v>
      </c>
      <c r="X99" s="9" t="b">
        <v>1</v>
      </c>
      <c r="Y99" s="5">
        <v>3.5573695905892904</v>
      </c>
      <c r="Z99" s="5">
        <v>3.6397924263304695</v>
      </c>
      <c r="AA99" s="5">
        <v>1314.0</v>
      </c>
      <c r="AB99" s="5">
        <v>625.0</v>
      </c>
      <c r="AC99" s="5">
        <v>12.0</v>
      </c>
      <c r="AD99" s="5">
        <v>12.0</v>
      </c>
      <c r="AE99" s="9" t="b">
        <v>1</v>
      </c>
      <c r="AF99" s="9" t="b">
        <v>1</v>
      </c>
      <c r="AG99" s="5">
        <v>2.0605708935294778</v>
      </c>
      <c r="AH99" s="5">
        <v>4.332144246556374</v>
      </c>
      <c r="AI99" s="5">
        <v>961.0</v>
      </c>
      <c r="AJ99" s="5">
        <v>258.0</v>
      </c>
      <c r="AK99" s="5">
        <v>6.0</v>
      </c>
      <c r="AL99" s="5">
        <v>6.0</v>
      </c>
      <c r="AM99" s="5">
        <v>-18.867924528301884</v>
      </c>
      <c r="AN99" s="5">
        <v>349.0654205607477</v>
      </c>
    </row>
    <row r="100" ht="15.75" customHeight="1">
      <c r="A100" s="5">
        <v>5.0</v>
      </c>
      <c r="B100" s="5">
        <v>2015.0</v>
      </c>
      <c r="C100" s="5">
        <v>5262.02</v>
      </c>
      <c r="D100" s="5">
        <v>300797.0</v>
      </c>
      <c r="E100" s="5">
        <v>4936.127048372907</v>
      </c>
      <c r="F100" s="5">
        <v>3412.163952106832</v>
      </c>
      <c r="G100" s="5">
        <v>4.0</v>
      </c>
      <c r="H100" s="5">
        <v>4.0</v>
      </c>
      <c r="I100" s="5">
        <v>1.0660219942544868</v>
      </c>
      <c r="J100" s="5">
        <v>1.630051215390571</v>
      </c>
      <c r="K100" s="5">
        <v>-0.41904547050884977</v>
      </c>
      <c r="L100" s="5">
        <v>1.5421357454852014</v>
      </c>
      <c r="M100" s="5">
        <v>0.8768713183559429</v>
      </c>
      <c r="N100" s="5">
        <v>0.3244586855868814</v>
      </c>
      <c r="O100" s="5">
        <v>1.2041750890966485</v>
      </c>
      <c r="P100" s="5">
        <v>1147.0</v>
      </c>
      <c r="Q100" s="5">
        <v>4.0</v>
      </c>
      <c r="R100" s="5">
        <v>1153.0</v>
      </c>
      <c r="S100" s="5">
        <v>4.0</v>
      </c>
      <c r="T100" s="5">
        <v>61772.4</v>
      </c>
      <c r="U100" s="5">
        <v>4.0</v>
      </c>
      <c r="V100" s="5">
        <v>53.57536860364267</v>
      </c>
      <c r="W100" s="9" t="b">
        <v>1</v>
      </c>
      <c r="X100" s="9" t="b">
        <v>1</v>
      </c>
      <c r="Y100" s="5">
        <v>3.813202924231292</v>
      </c>
      <c r="Z100" s="5">
        <v>3.833149931681499</v>
      </c>
      <c r="AA100" s="5">
        <v>1159.0</v>
      </c>
      <c r="AB100" s="5">
        <v>1365.0</v>
      </c>
      <c r="AC100" s="5">
        <v>12.0</v>
      </c>
      <c r="AD100" s="5">
        <v>12.0</v>
      </c>
      <c r="AE100" s="9" t="b">
        <v>1</v>
      </c>
      <c r="AF100" s="9" t="b">
        <v>1</v>
      </c>
      <c r="AG100" s="5">
        <v>4.537944194922157</v>
      </c>
      <c r="AH100" s="5">
        <v>3.853096939131707</v>
      </c>
      <c r="AI100" s="5">
        <v>619.0</v>
      </c>
      <c r="AJ100" s="5">
        <v>810.0</v>
      </c>
      <c r="AK100" s="5">
        <v>6.0</v>
      </c>
      <c r="AL100" s="5">
        <v>6.0</v>
      </c>
      <c r="AM100" s="5">
        <v>213.953488372093</v>
      </c>
      <c r="AN100" s="5">
        <v>-35.587929240374606</v>
      </c>
    </row>
    <row r="101" ht="15.75" customHeight="1">
      <c r="A101" s="5">
        <v>5.0</v>
      </c>
      <c r="B101" s="5">
        <v>2016.0</v>
      </c>
      <c r="C101" s="5">
        <v>5274.86</v>
      </c>
      <c r="D101" s="5">
        <v>299012.0</v>
      </c>
      <c r="E101" s="5">
        <v>5027.16203724434</v>
      </c>
      <c r="F101" s="5">
        <v>3502.3903198626213</v>
      </c>
      <c r="G101" s="5">
        <v>4.0</v>
      </c>
      <c r="H101" s="5">
        <v>4.0</v>
      </c>
      <c r="I101" s="5">
        <v>1.0492719273658893</v>
      </c>
      <c r="J101" s="5">
        <v>1.8442594361796516</v>
      </c>
      <c r="K101" s="5">
        <v>-1.5712684146176215</v>
      </c>
      <c r="L101" s="5">
        <v>1.5060742859199376</v>
      </c>
      <c r="M101" s="5">
        <v>2.644256519387911</v>
      </c>
      <c r="N101" s="5">
        <v>-2.338410199675245</v>
      </c>
      <c r="O101" s="5">
        <v>0.24401275555774316</v>
      </c>
      <c r="P101" s="5">
        <v>1308.0</v>
      </c>
      <c r="Q101" s="5">
        <v>4.0</v>
      </c>
      <c r="R101" s="5">
        <v>1349.0</v>
      </c>
      <c r="S101" s="5">
        <v>4.0</v>
      </c>
      <c r="T101" s="5">
        <v>72353.2</v>
      </c>
      <c r="U101" s="5">
        <v>4.0</v>
      </c>
      <c r="V101" s="5">
        <v>53.6346923647146</v>
      </c>
      <c r="W101" s="9" t="b">
        <v>1</v>
      </c>
      <c r="X101" s="9" t="b">
        <v>1</v>
      </c>
      <c r="Y101" s="5">
        <v>4.374406378339331</v>
      </c>
      <c r="Z101" s="5">
        <v>4.511524621085441</v>
      </c>
      <c r="AA101" s="5">
        <v>1675.0</v>
      </c>
      <c r="AB101" s="5">
        <v>1795.0</v>
      </c>
      <c r="AC101" s="5">
        <v>12.0</v>
      </c>
      <c r="AD101" s="5">
        <v>12.0</v>
      </c>
      <c r="AE101" s="9" t="b">
        <v>1</v>
      </c>
      <c r="AF101" s="9" t="b">
        <v>1</v>
      </c>
      <c r="AG101" s="5">
        <v>6.0031035543724</v>
      </c>
      <c r="AH101" s="5">
        <v>5.601781868286222</v>
      </c>
      <c r="AI101" s="5">
        <v>667.0</v>
      </c>
      <c r="AJ101" s="5">
        <v>1193.0</v>
      </c>
      <c r="AK101" s="5">
        <v>6.0</v>
      </c>
      <c r="AL101" s="5">
        <v>6.0</v>
      </c>
      <c r="AM101" s="5">
        <v>47.28395061728394</v>
      </c>
      <c r="AN101" s="5">
        <v>7.7544426494345675</v>
      </c>
    </row>
    <row r="102" ht="15.75" customHeight="1">
      <c r="A102" s="5">
        <v>5.0</v>
      </c>
      <c r="B102" s="5">
        <v>2017.0</v>
      </c>
      <c r="C102" s="5">
        <v>5290.36</v>
      </c>
      <c r="D102" s="5">
        <v>297197.0</v>
      </c>
      <c r="E102" s="5">
        <v>5175.449307957145</v>
      </c>
      <c r="F102" s="5">
        <v>3608.1517645616814</v>
      </c>
      <c r="G102" s="5">
        <v>4.0</v>
      </c>
      <c r="H102" s="5">
        <v>4.0</v>
      </c>
      <c r="I102" s="5">
        <v>1.0222030369162698</v>
      </c>
      <c r="J102" s="5">
        <v>2.9497213261518107</v>
      </c>
      <c r="K102" s="5">
        <v>-2.5797783914388805</v>
      </c>
      <c r="L102" s="5">
        <v>1.4662243567359128</v>
      </c>
      <c r="M102" s="5">
        <v>3.019693267745449</v>
      </c>
      <c r="N102" s="5">
        <v>-2.645947119380221</v>
      </c>
      <c r="O102" s="5">
        <v>0.2938466613331858</v>
      </c>
      <c r="P102" s="5">
        <v>1559.0</v>
      </c>
      <c r="Q102" s="5">
        <v>4.0</v>
      </c>
      <c r="R102" s="5">
        <v>1610.0</v>
      </c>
      <c r="S102" s="5">
        <v>4.0</v>
      </c>
      <c r="T102" s="5">
        <v>85427.70000000001</v>
      </c>
      <c r="U102" s="5">
        <v>4.0</v>
      </c>
      <c r="V102" s="5">
        <v>53.06068322981367</v>
      </c>
      <c r="W102" s="9" t="b">
        <v>1</v>
      </c>
      <c r="X102" s="9" t="b">
        <v>1</v>
      </c>
      <c r="Y102" s="5">
        <v>5.245678792181617</v>
      </c>
      <c r="Z102" s="5">
        <v>5.41728213945632</v>
      </c>
      <c r="AA102" s="5">
        <v>1642.0</v>
      </c>
      <c r="AB102" s="5">
        <v>1427.0</v>
      </c>
      <c r="AC102" s="5">
        <v>12.0</v>
      </c>
      <c r="AD102" s="5">
        <v>12.0</v>
      </c>
      <c r="AE102" s="9" t="b">
        <v>1</v>
      </c>
      <c r="AF102" s="9" t="b">
        <v>1</v>
      </c>
      <c r="AG102" s="5">
        <v>4.801528952176503</v>
      </c>
      <c r="AH102" s="5">
        <v>5.524954827942408</v>
      </c>
      <c r="AI102" s="5">
        <v>551.0</v>
      </c>
      <c r="AJ102" s="5">
        <v>719.0</v>
      </c>
      <c r="AK102" s="5">
        <v>6.0</v>
      </c>
      <c r="AL102" s="5">
        <v>6.0</v>
      </c>
      <c r="AM102" s="5">
        <v>-39.73176865046102</v>
      </c>
      <c r="AN102" s="5">
        <v>-17.391304347826086</v>
      </c>
    </row>
    <row r="103" ht="15.75" customHeight="1">
      <c r="A103" s="5">
        <v>5.0</v>
      </c>
      <c r="B103" s="5">
        <v>2018.0</v>
      </c>
      <c r="C103" s="5">
        <v>5698.98</v>
      </c>
      <c r="D103" s="5">
        <v>295449.0</v>
      </c>
      <c r="E103" s="5">
        <v>5503.524801023182</v>
      </c>
      <c r="F103" s="5">
        <v>4072.8342001674664</v>
      </c>
      <c r="G103" s="5">
        <v>4.0</v>
      </c>
      <c r="H103" s="5">
        <v>4.0</v>
      </c>
      <c r="I103" s="5">
        <v>1.0355145485926547</v>
      </c>
      <c r="J103" s="5">
        <v>6.339072678417068</v>
      </c>
      <c r="K103" s="5">
        <v>1.302237539475759</v>
      </c>
      <c r="L103" s="5">
        <v>1.3992663879530547</v>
      </c>
      <c r="M103" s="5">
        <v>12.878683213100238</v>
      </c>
      <c r="N103" s="5">
        <v>-4.566693253679055</v>
      </c>
      <c r="O103" s="5">
        <v>7.723860001965832</v>
      </c>
      <c r="P103" s="5">
        <v>1820.0</v>
      </c>
      <c r="Q103" s="5">
        <v>4.0</v>
      </c>
      <c r="R103" s="5">
        <v>1876.0</v>
      </c>
      <c r="S103" s="5">
        <v>4.0</v>
      </c>
      <c r="T103" s="5">
        <v>102209.5</v>
      </c>
      <c r="U103" s="5">
        <v>4.0</v>
      </c>
      <c r="V103" s="5">
        <v>54.48267590618337</v>
      </c>
      <c r="W103" s="9" t="b">
        <v>1</v>
      </c>
      <c r="X103" s="9" t="b">
        <v>1</v>
      </c>
      <c r="Y103" s="5">
        <v>6.1601156206316485</v>
      </c>
      <c r="Z103" s="5">
        <v>6.349657639728007</v>
      </c>
      <c r="AA103" s="5">
        <v>894.0</v>
      </c>
      <c r="AB103" s="5">
        <v>3106.0</v>
      </c>
      <c r="AC103" s="5">
        <v>12.0</v>
      </c>
      <c r="AD103" s="5">
        <v>12.0</v>
      </c>
      <c r="AE103" s="9" t="b">
        <v>1</v>
      </c>
      <c r="AF103" s="9" t="b">
        <v>1</v>
      </c>
      <c r="AG103" s="5">
        <v>10.512812702023023</v>
      </c>
      <c r="AH103" s="5">
        <v>3.025902947716865</v>
      </c>
      <c r="AI103" s="5">
        <v>376.0</v>
      </c>
      <c r="AJ103" s="5">
        <v>1514.0</v>
      </c>
      <c r="AK103" s="5">
        <v>6.0</v>
      </c>
      <c r="AL103" s="5">
        <v>6.0</v>
      </c>
      <c r="AM103" s="5">
        <v>110.57023643949933</v>
      </c>
      <c r="AN103" s="5">
        <v>-31.76043557168784</v>
      </c>
    </row>
    <row r="104" ht="15.75" customHeight="1">
      <c r="A104" s="5">
        <v>5.0</v>
      </c>
      <c r="B104" s="5">
        <v>2019.0</v>
      </c>
      <c r="C104" s="5">
        <v>6175.8</v>
      </c>
      <c r="D104" s="5">
        <v>293636.0</v>
      </c>
      <c r="E104" s="5">
        <v>6609.915061885179</v>
      </c>
      <c r="F104" s="5">
        <v>4642.6270811417235</v>
      </c>
      <c r="G104" s="5">
        <v>4.0</v>
      </c>
      <c r="H104" s="5">
        <v>4.0</v>
      </c>
      <c r="I104" s="5">
        <v>0.9343236550211634</v>
      </c>
      <c r="J104" s="5">
        <v>20.103302898831377</v>
      </c>
      <c r="K104" s="5">
        <v>-9.772039775686158</v>
      </c>
      <c r="L104" s="5">
        <v>1.3302382233296317</v>
      </c>
      <c r="M104" s="5">
        <v>13.990082899785804</v>
      </c>
      <c r="N104" s="5">
        <v>-4.933168209979099</v>
      </c>
      <c r="O104" s="5">
        <v>8.366760367644744</v>
      </c>
      <c r="P104" s="5">
        <v>1656.0</v>
      </c>
      <c r="Q104" s="5">
        <v>4.0</v>
      </c>
      <c r="R104" s="5">
        <v>1707.0</v>
      </c>
      <c r="S104" s="5">
        <v>4.0</v>
      </c>
      <c r="T104" s="5">
        <v>94905.20000000001</v>
      </c>
      <c r="U104" s="5">
        <v>4.0</v>
      </c>
      <c r="V104" s="5">
        <v>55.59765670767429</v>
      </c>
      <c r="W104" s="9" t="b">
        <v>1</v>
      </c>
      <c r="X104" s="9" t="b">
        <v>1</v>
      </c>
      <c r="Y104" s="5">
        <v>5.639635467040826</v>
      </c>
      <c r="Z104" s="5">
        <v>5.813319892656214</v>
      </c>
      <c r="AA104" s="5">
        <v>1344.0</v>
      </c>
      <c r="AB104" s="5">
        <v>2783.0</v>
      </c>
      <c r="AC104" s="5">
        <v>12.0</v>
      </c>
      <c r="AD104" s="5">
        <v>12.0</v>
      </c>
      <c r="AE104" s="9" t="b">
        <v>1</v>
      </c>
      <c r="AF104" s="9" t="b">
        <v>1</v>
      </c>
      <c r="AG104" s="5">
        <v>9.477720715443612</v>
      </c>
      <c r="AH104" s="5">
        <v>4.577095451511395</v>
      </c>
      <c r="AI104" s="5">
        <v>631.0</v>
      </c>
      <c r="AJ104" s="5">
        <v>1291.0</v>
      </c>
      <c r="AK104" s="5">
        <v>6.0</v>
      </c>
      <c r="AL104" s="5">
        <v>6.0</v>
      </c>
      <c r="AM104" s="5">
        <v>-14.72919418758256</v>
      </c>
      <c r="AN104" s="5">
        <v>67.81914893617021</v>
      </c>
    </row>
    <row r="105" ht="15.75" customHeight="1">
      <c r="A105" s="5">
        <v>5.0</v>
      </c>
      <c r="B105" s="5">
        <v>2020.0</v>
      </c>
      <c r="C105" s="5">
        <v>6525.94</v>
      </c>
      <c r="D105" s="5">
        <v>287590.0</v>
      </c>
      <c r="E105" s="5">
        <v>6989.039775256407</v>
      </c>
      <c r="F105" s="5">
        <v>5262.725525370267</v>
      </c>
      <c r="G105" s="5">
        <v>4.0</v>
      </c>
      <c r="H105" s="5">
        <v>4.0</v>
      </c>
      <c r="I105" s="5">
        <v>0.9337391415490381</v>
      </c>
      <c r="J105" s="5">
        <v>5.7356972036959775</v>
      </c>
      <c r="K105" s="5">
        <v>-0.06256006352659549</v>
      </c>
      <c r="L105" s="5">
        <v>1.2400304687257764</v>
      </c>
      <c r="M105" s="5">
        <v>13.35662833543907</v>
      </c>
      <c r="N105" s="5">
        <v>-6.781323301480713</v>
      </c>
      <c r="O105" s="5">
        <v>5.669548884355047</v>
      </c>
      <c r="P105" s="5">
        <v>1513.0</v>
      </c>
      <c r="Q105" s="5">
        <v>4.0</v>
      </c>
      <c r="R105" s="5">
        <v>1531.0</v>
      </c>
      <c r="S105" s="5">
        <v>4.0</v>
      </c>
      <c r="T105" s="5">
        <v>80599.6</v>
      </c>
      <c r="U105" s="5">
        <v>4.0</v>
      </c>
      <c r="V105" s="5">
        <v>52.64506858262574</v>
      </c>
      <c r="W105" s="9" t="b">
        <v>1</v>
      </c>
      <c r="X105" s="9" t="b">
        <v>1</v>
      </c>
      <c r="Y105" s="5">
        <v>5.260961785875726</v>
      </c>
      <c r="Z105" s="5">
        <v>5.323550888417539</v>
      </c>
      <c r="AA105" s="5">
        <v>3451.0</v>
      </c>
      <c r="AB105" s="5">
        <v>1616.0</v>
      </c>
      <c r="AC105" s="5">
        <v>12.0</v>
      </c>
      <c r="AD105" s="5">
        <v>12.0</v>
      </c>
      <c r="AE105" s="9" t="b">
        <v>1</v>
      </c>
      <c r="AF105" s="9" t="b">
        <v>1</v>
      </c>
      <c r="AG105" s="5">
        <v>5.619110539309434</v>
      </c>
      <c r="AH105" s="5">
        <v>11.999721826210926</v>
      </c>
      <c r="AI105" s="5">
        <v>1226.0</v>
      </c>
      <c r="AJ105" s="5">
        <v>289.0</v>
      </c>
      <c r="AK105" s="5">
        <v>6.0</v>
      </c>
      <c r="AL105" s="5">
        <v>6.0</v>
      </c>
      <c r="AM105" s="5">
        <v>-77.61425251742835</v>
      </c>
      <c r="AN105" s="5">
        <v>94.29477020602219</v>
      </c>
    </row>
    <row r="106" ht="15.75" customHeight="1">
      <c r="A106" s="5">
        <v>5.0</v>
      </c>
      <c r="B106" s="5">
        <v>2021.0</v>
      </c>
      <c r="C106" s="5">
        <v>6924.74</v>
      </c>
      <c r="D106" s="5">
        <v>284957.0</v>
      </c>
      <c r="E106" s="5">
        <v>7960.196218611005</v>
      </c>
      <c r="F106" s="5">
        <v>5657.86963094032</v>
      </c>
      <c r="G106" s="5">
        <v>4.0</v>
      </c>
      <c r="H106" s="5">
        <v>4.0</v>
      </c>
      <c r="I106" s="5">
        <v>0.869920767004449</v>
      </c>
      <c r="J106" s="5">
        <v>13.895420180506402</v>
      </c>
      <c r="K106" s="5">
        <v>-6.8347112919264426</v>
      </c>
      <c r="L106" s="5">
        <v>1.2239129657798653</v>
      </c>
      <c r="M106" s="5">
        <v>7.508354818528229</v>
      </c>
      <c r="N106" s="5">
        <v>-1.2997666873841407</v>
      </c>
      <c r="O106" s="5">
        <v>6.110997036442267</v>
      </c>
      <c r="P106" s="5">
        <v>1360.0</v>
      </c>
      <c r="Q106" s="5">
        <v>4.0</v>
      </c>
      <c r="R106" s="5">
        <v>1379.0</v>
      </c>
      <c r="S106" s="5">
        <v>4.0</v>
      </c>
      <c r="T106" s="5">
        <v>71724.3</v>
      </c>
      <c r="U106" s="5">
        <v>4.0</v>
      </c>
      <c r="V106" s="5">
        <v>52.0118201595359</v>
      </c>
      <c r="W106" s="9" t="b">
        <v>1</v>
      </c>
      <c r="X106" s="9" t="b">
        <v>1</v>
      </c>
      <c r="Y106" s="5">
        <v>4.772649908582698</v>
      </c>
      <c r="Z106" s="5">
        <v>4.839326635246721</v>
      </c>
      <c r="AA106" s="5">
        <v>2325.0</v>
      </c>
      <c r="AB106" s="5">
        <v>4847.0</v>
      </c>
      <c r="AC106" s="5">
        <v>12.0</v>
      </c>
      <c r="AD106" s="5">
        <v>12.0</v>
      </c>
      <c r="AE106" s="9" t="b">
        <v>1</v>
      </c>
      <c r="AF106" s="9" t="b">
        <v>1</v>
      </c>
      <c r="AG106" s="5">
        <v>17.009583902132604</v>
      </c>
      <c r="AH106" s="5">
        <v>8.159125762834393</v>
      </c>
      <c r="AI106" s="5">
        <v>1323.0</v>
      </c>
      <c r="AJ106" s="5">
        <v>2142.0</v>
      </c>
      <c r="AK106" s="5">
        <v>6.0</v>
      </c>
      <c r="AL106" s="5">
        <v>6.0</v>
      </c>
      <c r="AM106" s="5">
        <v>641.1764705882354</v>
      </c>
      <c r="AN106" s="5">
        <v>7.911908646003263</v>
      </c>
    </row>
    <row r="107" ht="15.75" customHeight="1">
      <c r="A107" s="5">
        <v>5.0</v>
      </c>
      <c r="B107" s="5">
        <v>2022.0</v>
      </c>
      <c r="C107" s="5">
        <v>8017.49</v>
      </c>
      <c r="D107" s="5">
        <v>281418.0</v>
      </c>
      <c r="E107" s="5">
        <v>9317.114533688902</v>
      </c>
      <c r="F107" s="5">
        <v>6282.034628140828</v>
      </c>
      <c r="G107" s="5">
        <v>4.0</v>
      </c>
      <c r="H107" s="5">
        <v>4.0</v>
      </c>
      <c r="I107" s="5">
        <v>0.8605121221822798</v>
      </c>
      <c r="J107" s="5">
        <v>17.046292299998967</v>
      </c>
      <c r="K107" s="5">
        <v>-1.0815519273746799</v>
      </c>
      <c r="L107" s="5">
        <v>1.2762568936002157</v>
      </c>
      <c r="M107" s="5">
        <v>11.03180239055408</v>
      </c>
      <c r="N107" s="5">
        <v>4.27676879679082</v>
      </c>
      <c r="O107" s="5">
        <v>15.780375869707752</v>
      </c>
      <c r="Q107" s="5">
        <v>2.0</v>
      </c>
      <c r="S107" s="5">
        <v>2.0</v>
      </c>
      <c r="U107" s="5">
        <v>2.0</v>
      </c>
      <c r="W107" s="9" t="b">
        <v>0</v>
      </c>
      <c r="X107" s="9" t="b">
        <v>0</v>
      </c>
      <c r="AA107" s="5">
        <v>1870.0</v>
      </c>
      <c r="AB107" s="5">
        <v>1264.0</v>
      </c>
      <c r="AC107" s="5">
        <v>12.0</v>
      </c>
      <c r="AD107" s="5">
        <v>12.0</v>
      </c>
      <c r="AE107" s="9" t="b">
        <v>1</v>
      </c>
      <c r="AF107" s="9" t="b">
        <v>1</v>
      </c>
      <c r="AG107" s="5">
        <v>4.4915392760946355</v>
      </c>
      <c r="AH107" s="5">
        <v>6.6449196568805124</v>
      </c>
      <c r="AI107" s="5">
        <v>787.0</v>
      </c>
      <c r="AJ107" s="5">
        <v>716.0</v>
      </c>
      <c r="AK107" s="5">
        <v>6.0</v>
      </c>
      <c r="AL107" s="5">
        <v>6.0</v>
      </c>
      <c r="AM107" s="5">
        <v>-66.5732959850607</v>
      </c>
      <c r="AN107" s="5">
        <v>-40.51398337112623</v>
      </c>
    </row>
    <row r="108" ht="15.75" customHeight="1">
      <c r="A108" s="5">
        <v>5.0</v>
      </c>
      <c r="B108" s="5">
        <v>2023.0</v>
      </c>
      <c r="C108" s="5">
        <v>9105.52</v>
      </c>
      <c r="D108" s="5">
        <v>279119.0</v>
      </c>
      <c r="E108" s="5">
        <v>9717.582695062862</v>
      </c>
      <c r="F108" s="5">
        <v>6842.72769132366</v>
      </c>
      <c r="G108" s="5">
        <v>4.0</v>
      </c>
      <c r="H108" s="5">
        <v>4.0</v>
      </c>
      <c r="I108" s="5">
        <v>0.9370149229217439</v>
      </c>
      <c r="J108" s="5">
        <v>4.298199404181879</v>
      </c>
      <c r="K108" s="5">
        <v>8.89038036389902</v>
      </c>
      <c r="L108" s="5">
        <v>1.330685716391357</v>
      </c>
      <c r="M108" s="5">
        <v>8.925341809979304</v>
      </c>
      <c r="N108" s="5">
        <v>4.264723118368607</v>
      </c>
      <c r="O108" s="5">
        <v>13.570706043911507</v>
      </c>
      <c r="Q108" s="5">
        <v>2.0</v>
      </c>
      <c r="R108" s="5">
        <v>4031.0</v>
      </c>
      <c r="S108" s="5">
        <v>4.0</v>
      </c>
      <c r="T108" s="5">
        <v>214718.0</v>
      </c>
      <c r="U108" s="5">
        <v>4.0</v>
      </c>
      <c r="V108" s="5">
        <v>53.26668320516001</v>
      </c>
      <c r="W108" s="9" t="b">
        <v>0</v>
      </c>
      <c r="X108" s="9" t="b">
        <v>1</v>
      </c>
      <c r="Z108" s="5">
        <v>14.441868880298367</v>
      </c>
      <c r="AA108" s="5">
        <v>2968.0</v>
      </c>
      <c r="AB108" s="5">
        <v>2513.0</v>
      </c>
      <c r="AC108" s="5">
        <v>12.0</v>
      </c>
      <c r="AD108" s="5">
        <v>12.0</v>
      </c>
      <c r="AE108" s="9" t="b">
        <v>1</v>
      </c>
      <c r="AF108" s="9" t="b">
        <v>1</v>
      </c>
      <c r="AG108" s="5">
        <v>9.003328329493872</v>
      </c>
      <c r="AH108" s="5">
        <v>10.633457414221173</v>
      </c>
      <c r="AI108" s="5">
        <v>679.0</v>
      </c>
      <c r="AJ108" s="5">
        <v>940.0</v>
      </c>
      <c r="AK108" s="5">
        <v>6.0</v>
      </c>
      <c r="AL108" s="5">
        <v>6.0</v>
      </c>
      <c r="AM108" s="5">
        <v>31.28491620111731</v>
      </c>
      <c r="AN108" s="5">
        <v>-13.722998729351964</v>
      </c>
    </row>
    <row r="109" ht="15.75" customHeight="1">
      <c r="A109" s="5">
        <v>5.0</v>
      </c>
      <c r="B109" s="5">
        <v>2024.0</v>
      </c>
      <c r="C109" s="5">
        <v>10051.54</v>
      </c>
      <c r="D109" s="5">
        <v>278090.0</v>
      </c>
      <c r="E109" s="5">
        <v>11489.71722031723</v>
      </c>
      <c r="F109" s="5">
        <v>7796.060830890309</v>
      </c>
      <c r="G109" s="5">
        <v>4.0</v>
      </c>
      <c r="H109" s="5">
        <v>4.0</v>
      </c>
      <c r="I109" s="5">
        <v>0.8748291892010966</v>
      </c>
      <c r="J109" s="5">
        <v>18.236371954464815</v>
      </c>
      <c r="K109" s="5">
        <v>-6.636578799272852</v>
      </c>
      <c r="L109" s="5">
        <v>1.289310103914635</v>
      </c>
      <c r="M109" s="5">
        <v>13.932063097811742</v>
      </c>
      <c r="N109" s="5">
        <v>-3.1093452020306556</v>
      </c>
      <c r="O109" s="5">
        <v>10.389521960305403</v>
      </c>
      <c r="P109" s="5">
        <v>5710.0</v>
      </c>
      <c r="Q109" s="5">
        <v>4.0</v>
      </c>
      <c r="R109" s="5">
        <v>5565.0</v>
      </c>
      <c r="S109" s="5">
        <v>4.0</v>
      </c>
      <c r="T109" s="5">
        <v>293728.3</v>
      </c>
      <c r="U109" s="5">
        <v>4.0</v>
      </c>
      <c r="V109" s="5">
        <v>52.78136567834681</v>
      </c>
      <c r="W109" s="9" t="b">
        <v>1</v>
      </c>
      <c r="X109" s="9" t="b">
        <v>1</v>
      </c>
      <c r="Y109" s="5">
        <v>20.532920996799596</v>
      </c>
      <c r="Z109" s="5">
        <v>20.01150706605775</v>
      </c>
      <c r="AA109" s="5">
        <v>2664.0</v>
      </c>
      <c r="AB109" s="5">
        <v>3818.0</v>
      </c>
      <c r="AC109" s="5">
        <v>12.0</v>
      </c>
      <c r="AD109" s="5">
        <v>12.0</v>
      </c>
      <c r="AE109" s="9" t="b">
        <v>1</v>
      </c>
      <c r="AF109" s="9" t="b">
        <v>1</v>
      </c>
      <c r="AG109" s="5">
        <v>13.729368190154267</v>
      </c>
      <c r="AH109" s="5">
        <v>9.579632493077781</v>
      </c>
      <c r="AI109" s="5">
        <v>1165.0</v>
      </c>
      <c r="AJ109" s="5">
        <v>2393.0</v>
      </c>
      <c r="AK109" s="5">
        <v>6.0</v>
      </c>
      <c r="AL109" s="5">
        <v>6.0</v>
      </c>
      <c r="AM109" s="5">
        <v>154.5744680851064</v>
      </c>
      <c r="AN109" s="5">
        <v>71.57584683357878</v>
      </c>
    </row>
    <row r="110" ht="15.75" customHeight="1">
      <c r="A110" s="5">
        <v>5.0</v>
      </c>
      <c r="B110" s="5">
        <v>2025.0</v>
      </c>
      <c r="C110" s="5">
        <v>10801.86</v>
      </c>
      <c r="D110" s="5">
        <v>277884.0</v>
      </c>
      <c r="E110" s="5">
        <v>11885.467285214052</v>
      </c>
      <c r="F110" s="5">
        <v>8160.589806789118</v>
      </c>
      <c r="G110" s="5">
        <v>4.0</v>
      </c>
      <c r="H110" s="5">
        <v>4.0</v>
      </c>
      <c r="I110" s="5">
        <v>0.9088292231840057</v>
      </c>
      <c r="J110" s="5">
        <v>3.4443847251263815</v>
      </c>
      <c r="K110" s="5">
        <v>3.8864768577232978</v>
      </c>
      <c r="L110" s="5">
        <v>1.3236616783524036</v>
      </c>
      <c r="M110" s="5">
        <v>4.67580979428015</v>
      </c>
      <c r="N110" s="5">
        <v>2.6643376433233</v>
      </c>
      <c r="O110" s="5">
        <v>7.464726798082677</v>
      </c>
      <c r="AA110" s="5">
        <v>2334.0</v>
      </c>
      <c r="AB110" s="5">
        <v>3291.0</v>
      </c>
      <c r="AC110" s="5">
        <v>12.0</v>
      </c>
      <c r="AD110" s="5">
        <v>12.0</v>
      </c>
      <c r="AE110" s="9" t="b">
        <v>1</v>
      </c>
      <c r="AF110" s="9" t="b">
        <v>1</v>
      </c>
      <c r="AG110" s="5">
        <v>11.84307120956946</v>
      </c>
      <c r="AH110" s="5">
        <v>8.399188150451268</v>
      </c>
      <c r="AI110" s="5">
        <v>1269.0</v>
      </c>
      <c r="AJ110" s="5">
        <v>2325.0</v>
      </c>
      <c r="AK110" s="5">
        <v>6.0</v>
      </c>
      <c r="AL110" s="5">
        <v>6.0</v>
      </c>
      <c r="AM110" s="5">
        <v>-2.84162139573757</v>
      </c>
      <c r="AN110" s="5">
        <v>8.927038626609441</v>
      </c>
    </row>
    <row r="111" ht="15.75" customHeight="1">
      <c r="A111" s="5">
        <v>5.0</v>
      </c>
      <c r="B111" s="5">
        <v>2026.0</v>
      </c>
      <c r="AI111" s="5">
        <v>1420.0</v>
      </c>
      <c r="AJ111" s="5">
        <v>1532.0</v>
      </c>
      <c r="AK111" s="5">
        <v>6.0</v>
      </c>
      <c r="AL111" s="5">
        <v>6.0</v>
      </c>
      <c r="AM111" s="5">
        <v>-34.10752688172043</v>
      </c>
      <c r="AN111" s="5">
        <v>11.899133175728927</v>
      </c>
    </row>
    <row r="112" ht="15.75" customHeight="1">
      <c r="A112" s="5">
        <v>6.0</v>
      </c>
      <c r="B112" s="5">
        <v>2005.0</v>
      </c>
      <c r="C112" s="5">
        <v>2372.75</v>
      </c>
      <c r="D112" s="5">
        <v>209057.0</v>
      </c>
      <c r="AA112" s="5">
        <v>726.0</v>
      </c>
      <c r="AB112" s="5">
        <v>302.0</v>
      </c>
      <c r="AC112" s="5">
        <v>12.0</v>
      </c>
      <c r="AD112" s="5">
        <v>12.0</v>
      </c>
      <c r="AE112" s="9" t="b">
        <v>1</v>
      </c>
      <c r="AF112" s="9" t="b">
        <v>1</v>
      </c>
      <c r="AG112" s="5">
        <v>1.4445820996187642</v>
      </c>
      <c r="AH112" s="5">
        <v>3.4727371004080227</v>
      </c>
      <c r="AI112" s="5">
        <v>332.0</v>
      </c>
      <c r="AJ112" s="5">
        <v>117.0</v>
      </c>
      <c r="AK112" s="5">
        <v>6.0</v>
      </c>
      <c r="AL112" s="5">
        <v>6.0</v>
      </c>
    </row>
    <row r="113" ht="15.75" customHeight="1">
      <c r="A113" s="5">
        <v>6.0</v>
      </c>
      <c r="B113" s="5">
        <v>2006.0</v>
      </c>
      <c r="C113" s="5">
        <v>2461.78</v>
      </c>
      <c r="D113" s="5">
        <v>207718.0</v>
      </c>
      <c r="AA113" s="5">
        <v>442.0</v>
      </c>
      <c r="AB113" s="5">
        <v>480.0</v>
      </c>
      <c r="AC113" s="5">
        <v>12.0</v>
      </c>
      <c r="AD113" s="5">
        <v>12.0</v>
      </c>
      <c r="AE113" s="9" t="b">
        <v>1</v>
      </c>
      <c r="AF113" s="9" t="b">
        <v>1</v>
      </c>
      <c r="AG113" s="5">
        <v>2.3108252534686446</v>
      </c>
      <c r="AH113" s="5">
        <v>2.1278849209023774</v>
      </c>
      <c r="AI113" s="5">
        <v>206.0</v>
      </c>
      <c r="AJ113" s="5">
        <v>311.0</v>
      </c>
      <c r="AK113" s="5">
        <v>6.0</v>
      </c>
      <c r="AL113" s="5">
        <v>6.0</v>
      </c>
      <c r="AM113" s="5">
        <v>165.8119658119658</v>
      </c>
      <c r="AN113" s="5">
        <v>-37.951807228915655</v>
      </c>
    </row>
    <row r="114" ht="15.75" customHeight="1">
      <c r="A114" s="5">
        <v>6.0</v>
      </c>
      <c r="B114" s="5">
        <v>2007.0</v>
      </c>
      <c r="C114" s="5">
        <v>2655.81</v>
      </c>
      <c r="D114" s="5">
        <v>206796.0</v>
      </c>
      <c r="E114" s="5">
        <v>3913.555967622855</v>
      </c>
      <c r="F114" s="5">
        <v>3531.6979797158183</v>
      </c>
      <c r="G114" s="5">
        <v>4.0</v>
      </c>
      <c r="H114" s="5">
        <v>4.0</v>
      </c>
      <c r="I114" s="5">
        <v>0.6786181217214516</v>
      </c>
      <c r="L114" s="5">
        <v>0.7519923887188401</v>
      </c>
      <c r="AA114" s="5">
        <v>578.0</v>
      </c>
      <c r="AB114" s="5">
        <v>407.0</v>
      </c>
      <c r="AC114" s="5">
        <v>12.0</v>
      </c>
      <c r="AD114" s="5">
        <v>12.0</v>
      </c>
      <c r="AE114" s="9" t="b">
        <v>1</v>
      </c>
      <c r="AF114" s="9" t="b">
        <v>1</v>
      </c>
      <c r="AG114" s="5">
        <v>1.968123174529488</v>
      </c>
      <c r="AH114" s="5">
        <v>2.795025048840403</v>
      </c>
      <c r="AI114" s="5">
        <v>136.0</v>
      </c>
      <c r="AJ114" s="5">
        <v>166.0</v>
      </c>
      <c r="AK114" s="5">
        <v>6.0</v>
      </c>
      <c r="AL114" s="5">
        <v>6.0</v>
      </c>
      <c r="AM114" s="5">
        <v>-46.62379421221865</v>
      </c>
      <c r="AN114" s="5">
        <v>-33.98058252427184</v>
      </c>
    </row>
    <row r="115" ht="15.75" customHeight="1">
      <c r="A115" s="5">
        <v>6.0</v>
      </c>
      <c r="B115" s="5">
        <v>2008.0</v>
      </c>
      <c r="C115" s="5">
        <v>2953.74</v>
      </c>
      <c r="D115" s="5">
        <v>205655.0</v>
      </c>
      <c r="E115" s="5">
        <v>4703.423500291353</v>
      </c>
      <c r="F115" s="5">
        <v>4072.8791624439586</v>
      </c>
      <c r="G115" s="5">
        <v>4.0</v>
      </c>
      <c r="H115" s="5">
        <v>4.0</v>
      </c>
      <c r="I115" s="5">
        <v>0.6279978827798582</v>
      </c>
      <c r="J115" s="5">
        <v>20.18286027344778</v>
      </c>
      <c r="K115" s="5">
        <v>-7.459311403766367</v>
      </c>
      <c r="L115" s="5">
        <v>0.7252216140455265</v>
      </c>
      <c r="M115" s="5">
        <v>15.323540853051277</v>
      </c>
      <c r="N115" s="5">
        <v>-3.559979472521335</v>
      </c>
      <c r="O115" s="5">
        <v>11.218046471697885</v>
      </c>
      <c r="AA115" s="5">
        <v>768.0</v>
      </c>
      <c r="AB115" s="5">
        <v>604.0</v>
      </c>
      <c r="AC115" s="5">
        <v>12.0</v>
      </c>
      <c r="AD115" s="5">
        <v>12.0</v>
      </c>
      <c r="AE115" s="9" t="b">
        <v>1</v>
      </c>
      <c r="AF115" s="9" t="b">
        <v>1</v>
      </c>
      <c r="AG115" s="5">
        <v>2.93695752595366</v>
      </c>
      <c r="AH115" s="5">
        <v>3.7344095694245216</v>
      </c>
      <c r="AI115" s="5">
        <v>401.0</v>
      </c>
      <c r="AJ115" s="5">
        <v>325.0</v>
      </c>
      <c r="AK115" s="5">
        <v>6.0</v>
      </c>
      <c r="AL115" s="5">
        <v>6.0</v>
      </c>
      <c r="AM115" s="5">
        <v>95.78313253012047</v>
      </c>
      <c r="AN115" s="5">
        <v>194.8529411764706</v>
      </c>
    </row>
    <row r="116" ht="15.75" customHeight="1">
      <c r="A116" s="5">
        <v>6.0</v>
      </c>
      <c r="B116" s="5">
        <v>2009.0</v>
      </c>
      <c r="C116" s="5">
        <v>3082.94</v>
      </c>
      <c r="D116" s="5">
        <v>204891.0</v>
      </c>
      <c r="E116" s="5">
        <v>4748.492741189844</v>
      </c>
      <c r="F116" s="5">
        <v>3962.779029686395</v>
      </c>
      <c r="G116" s="5">
        <v>4.0</v>
      </c>
      <c r="H116" s="5">
        <v>4.0</v>
      </c>
      <c r="I116" s="5">
        <v>0.6492460172167176</v>
      </c>
      <c r="J116" s="5">
        <v>0.958222046041568</v>
      </c>
      <c r="K116" s="5">
        <v>3.383472304524915</v>
      </c>
      <c r="L116" s="5">
        <v>0.7779742390137703</v>
      </c>
      <c r="M116" s="5">
        <v>-2.7032506579816484</v>
      </c>
      <c r="N116" s="5">
        <v>7.274000656705759</v>
      </c>
      <c r="O116" s="5">
        <v>4.374115528110134</v>
      </c>
      <c r="AA116" s="5">
        <v>626.0</v>
      </c>
      <c r="AB116" s="5">
        <v>473.0</v>
      </c>
      <c r="AC116" s="5">
        <v>12.0</v>
      </c>
      <c r="AD116" s="5">
        <v>12.0</v>
      </c>
      <c r="AE116" s="9" t="b">
        <v>1</v>
      </c>
      <c r="AF116" s="9" t="b">
        <v>1</v>
      </c>
      <c r="AG116" s="5">
        <v>2.308544543196138</v>
      </c>
      <c r="AH116" s="5">
        <v>3.055283052940344</v>
      </c>
      <c r="AI116" s="5">
        <v>276.0</v>
      </c>
      <c r="AJ116" s="5">
        <v>304.0</v>
      </c>
      <c r="AK116" s="5">
        <v>6.0</v>
      </c>
      <c r="AL116" s="5">
        <v>6.0</v>
      </c>
      <c r="AM116" s="5">
        <v>-6.4615384615384635</v>
      </c>
      <c r="AN116" s="5">
        <v>-31.17206982543641</v>
      </c>
    </row>
    <row r="117" ht="15.75" customHeight="1">
      <c r="A117" s="5">
        <v>6.0</v>
      </c>
      <c r="B117" s="5">
        <v>2010.0</v>
      </c>
      <c r="C117" s="5">
        <v>3200.8</v>
      </c>
      <c r="D117" s="5">
        <v>203092.0</v>
      </c>
      <c r="E117" s="5">
        <v>4738.394091424333</v>
      </c>
      <c r="F117" s="5">
        <v>4142.7364130029255</v>
      </c>
      <c r="G117" s="5">
        <v>4.0</v>
      </c>
      <c r="H117" s="5">
        <v>4.0</v>
      </c>
      <c r="I117" s="5">
        <v>0.6755031215729587</v>
      </c>
      <c r="J117" s="5">
        <v>-0.21267063710369571</v>
      </c>
      <c r="K117" s="5">
        <v>4.044245734275553</v>
      </c>
      <c r="L117" s="5">
        <v>0.7726294122777296</v>
      </c>
      <c r="M117" s="5">
        <v>4.541191471147243</v>
      </c>
      <c r="N117" s="5">
        <v>-0.6870184728502315</v>
      </c>
      <c r="O117" s="5">
        <v>3.8229741740027468</v>
      </c>
      <c r="P117" s="5">
        <v>529.0</v>
      </c>
      <c r="Q117" s="5">
        <v>4.0</v>
      </c>
      <c r="R117" s="5">
        <v>405.0</v>
      </c>
      <c r="S117" s="5">
        <v>4.0</v>
      </c>
      <c r="T117" s="5">
        <v>21103.0</v>
      </c>
      <c r="U117" s="5">
        <v>4.0</v>
      </c>
      <c r="V117" s="5">
        <v>52.10617283950617</v>
      </c>
      <c r="W117" s="9" t="b">
        <v>1</v>
      </c>
      <c r="X117" s="9" t="b">
        <v>1</v>
      </c>
      <c r="Y117" s="5">
        <v>2.6047308608906308</v>
      </c>
      <c r="Z117" s="5">
        <v>1.9941701297933943</v>
      </c>
      <c r="AA117" s="5">
        <v>744.0</v>
      </c>
      <c r="AB117" s="5">
        <v>589.0</v>
      </c>
      <c r="AC117" s="5">
        <v>12.0</v>
      </c>
      <c r="AD117" s="5">
        <v>12.0</v>
      </c>
      <c r="AE117" s="9" t="b">
        <v>1</v>
      </c>
      <c r="AF117" s="9" t="b">
        <v>1</v>
      </c>
      <c r="AG117" s="5">
        <v>2.900163472711874</v>
      </c>
      <c r="AH117" s="5">
        <v>3.6633643865834205</v>
      </c>
      <c r="AI117" s="5">
        <v>416.0</v>
      </c>
      <c r="AJ117" s="5">
        <v>337.0</v>
      </c>
      <c r="AK117" s="5">
        <v>6.0</v>
      </c>
      <c r="AL117" s="5">
        <v>6.0</v>
      </c>
      <c r="AM117" s="5">
        <v>10.855263157894735</v>
      </c>
      <c r="AN117" s="5">
        <v>50.72463768115942</v>
      </c>
    </row>
    <row r="118" ht="15.75" customHeight="1">
      <c r="A118" s="5">
        <v>6.0</v>
      </c>
      <c r="B118" s="5">
        <v>2011.0</v>
      </c>
      <c r="C118" s="5">
        <v>3381.09</v>
      </c>
      <c r="D118" s="5">
        <v>202166.0</v>
      </c>
      <c r="E118" s="5">
        <v>4832.311926958606</v>
      </c>
      <c r="F118" s="5">
        <v>4285.921028251549</v>
      </c>
      <c r="G118" s="5">
        <v>4.0</v>
      </c>
      <c r="H118" s="5">
        <v>4.0</v>
      </c>
      <c r="I118" s="5">
        <v>0.699683723051383</v>
      </c>
      <c r="J118" s="5">
        <v>1.9820604559728006</v>
      </c>
      <c r="K118" s="5">
        <v>3.579643188342052</v>
      </c>
      <c r="L118" s="5">
        <v>0.788882944345646</v>
      </c>
      <c r="M118" s="5">
        <v>3.456281089938651</v>
      </c>
      <c r="N118" s="5">
        <v>2.1036646818816562</v>
      </c>
      <c r="O118" s="5">
        <v>5.632654336415888</v>
      </c>
      <c r="P118" s="5">
        <v>415.0</v>
      </c>
      <c r="Q118" s="5">
        <v>4.0</v>
      </c>
      <c r="R118" s="5">
        <v>347.0</v>
      </c>
      <c r="S118" s="5">
        <v>4.0</v>
      </c>
      <c r="T118" s="5">
        <v>17739.0</v>
      </c>
      <c r="U118" s="5">
        <v>4.0</v>
      </c>
      <c r="V118" s="5">
        <v>51.12103746397695</v>
      </c>
      <c r="W118" s="9" t="b">
        <v>1</v>
      </c>
      <c r="X118" s="9" t="b">
        <v>1</v>
      </c>
      <c r="Y118" s="5">
        <v>2.0527685169613092</v>
      </c>
      <c r="Z118" s="5">
        <v>1.7164112659893356</v>
      </c>
      <c r="AA118" s="5">
        <v>876.0</v>
      </c>
      <c r="AB118" s="5">
        <v>792.0</v>
      </c>
      <c r="AC118" s="5">
        <v>12.0</v>
      </c>
      <c r="AD118" s="5">
        <v>12.0</v>
      </c>
      <c r="AE118" s="9" t="b">
        <v>1</v>
      </c>
      <c r="AF118" s="9" t="b">
        <v>1</v>
      </c>
      <c r="AG118" s="5">
        <v>3.917572687791221</v>
      </c>
      <c r="AH118" s="5">
        <v>4.333072821344835</v>
      </c>
      <c r="AI118" s="5">
        <v>379.0</v>
      </c>
      <c r="AJ118" s="5">
        <v>534.0</v>
      </c>
      <c r="AK118" s="5">
        <v>6.0</v>
      </c>
      <c r="AL118" s="5">
        <v>6.0</v>
      </c>
      <c r="AM118" s="5">
        <v>58.456973293768556</v>
      </c>
      <c r="AN118" s="5">
        <v>-8.89423076923077</v>
      </c>
    </row>
    <row r="119" ht="15.75" customHeight="1">
      <c r="A119" s="5">
        <v>6.0</v>
      </c>
      <c r="B119" s="5">
        <v>2012.0</v>
      </c>
      <c r="C119" s="5">
        <v>3467.85</v>
      </c>
      <c r="D119" s="5">
        <v>201363.0</v>
      </c>
      <c r="E119" s="5">
        <v>4820.751060961603</v>
      </c>
      <c r="F119" s="5">
        <v>3949.0414617344413</v>
      </c>
      <c r="G119" s="5">
        <v>4.0</v>
      </c>
      <c r="H119" s="5">
        <v>4.0</v>
      </c>
      <c r="I119" s="5">
        <v>0.7193588625811063</v>
      </c>
      <c r="J119" s="5">
        <v>-0.23924088866257298</v>
      </c>
      <c r="K119" s="5">
        <v>2.8120047503632284</v>
      </c>
      <c r="L119" s="5">
        <v>0.878149807643929</v>
      </c>
      <c r="M119" s="5">
        <v>-7.860144045970396</v>
      </c>
      <c r="N119" s="5">
        <v>11.315603149758434</v>
      </c>
      <c r="O119" s="5">
        <v>2.566036396546667</v>
      </c>
      <c r="P119" s="5">
        <v>1196.0</v>
      </c>
      <c r="Q119" s="5">
        <v>4.0</v>
      </c>
      <c r="R119" s="5">
        <v>907.0</v>
      </c>
      <c r="S119" s="5">
        <v>4.0</v>
      </c>
      <c r="T119" s="5">
        <v>48485.0</v>
      </c>
      <c r="U119" s="5">
        <v>4.0</v>
      </c>
      <c r="V119" s="5">
        <v>53.456449834619626</v>
      </c>
      <c r="W119" s="9" t="b">
        <v>1</v>
      </c>
      <c r="X119" s="9" t="b">
        <v>1</v>
      </c>
      <c r="Y119" s="5">
        <v>5.939522156503429</v>
      </c>
      <c r="Z119" s="5">
        <v>4.504303173870076</v>
      </c>
      <c r="AA119" s="5">
        <v>810.0</v>
      </c>
      <c r="AB119" s="5">
        <v>977.0</v>
      </c>
      <c r="AC119" s="5">
        <v>12.0</v>
      </c>
      <c r="AD119" s="5">
        <v>12.0</v>
      </c>
      <c r="AE119" s="9" t="b">
        <v>1</v>
      </c>
      <c r="AF119" s="9" t="b">
        <v>1</v>
      </c>
      <c r="AG119" s="5">
        <v>4.8519340693176005</v>
      </c>
      <c r="AH119" s="5">
        <v>4.022586075892791</v>
      </c>
      <c r="AI119" s="5">
        <v>342.0</v>
      </c>
      <c r="AJ119" s="5">
        <v>236.0</v>
      </c>
      <c r="AK119" s="5">
        <v>6.0</v>
      </c>
      <c r="AL119" s="5">
        <v>6.0</v>
      </c>
      <c r="AM119" s="5">
        <v>-55.80524344569289</v>
      </c>
      <c r="AN119" s="5">
        <v>-9.762532981530347</v>
      </c>
    </row>
    <row r="120" ht="15.75" customHeight="1">
      <c r="A120" s="5">
        <v>6.0</v>
      </c>
      <c r="B120" s="5">
        <v>2013.0</v>
      </c>
      <c r="C120" s="5">
        <v>3597.04</v>
      </c>
      <c r="D120" s="5">
        <v>200236.0</v>
      </c>
      <c r="E120" s="5">
        <v>4665.5023739906</v>
      </c>
      <c r="F120" s="5">
        <v>3732.3159373388357</v>
      </c>
      <c r="G120" s="5">
        <v>4.0</v>
      </c>
      <c r="H120" s="5">
        <v>4.0</v>
      </c>
      <c r="I120" s="5">
        <v>0.7709866401639617</v>
      </c>
      <c r="J120" s="5">
        <v>-3.2204253031899</v>
      </c>
      <c r="K120" s="5">
        <v>7.176915482435509</v>
      </c>
      <c r="L120" s="5">
        <v>0.9637554966916095</v>
      </c>
      <c r="M120" s="5">
        <v>-5.488053911199464</v>
      </c>
      <c r="N120" s="5">
        <v>9.748415168177305</v>
      </c>
      <c r="O120" s="5">
        <v>3.72536297706072</v>
      </c>
      <c r="P120" s="5">
        <v>1475.0</v>
      </c>
      <c r="Q120" s="5">
        <v>4.0</v>
      </c>
      <c r="R120" s="5">
        <v>1110.0</v>
      </c>
      <c r="S120" s="5">
        <v>4.0</v>
      </c>
      <c r="T120" s="5">
        <v>56853.0</v>
      </c>
      <c r="U120" s="5">
        <v>4.0</v>
      </c>
      <c r="V120" s="5">
        <v>51.21891891891892</v>
      </c>
      <c r="W120" s="9" t="b">
        <v>1</v>
      </c>
      <c r="X120" s="9" t="b">
        <v>1</v>
      </c>
      <c r="Y120" s="5">
        <v>7.366307756846921</v>
      </c>
      <c r="Z120" s="5">
        <v>5.54345871871192</v>
      </c>
      <c r="AA120" s="5">
        <v>666.0</v>
      </c>
      <c r="AB120" s="5">
        <v>876.0</v>
      </c>
      <c r="AC120" s="5">
        <v>12.0</v>
      </c>
      <c r="AD120" s="5">
        <v>12.0</v>
      </c>
      <c r="AE120" s="9" t="b">
        <v>1</v>
      </c>
      <c r="AF120" s="9" t="b">
        <v>1</v>
      </c>
      <c r="AG120" s="5">
        <v>4.374837691524002</v>
      </c>
      <c r="AH120" s="5">
        <v>3.326075231227152</v>
      </c>
      <c r="AI120" s="5">
        <v>152.0</v>
      </c>
      <c r="AJ120" s="5">
        <v>596.0</v>
      </c>
      <c r="AK120" s="5">
        <v>6.0</v>
      </c>
      <c r="AL120" s="5">
        <v>6.0</v>
      </c>
      <c r="AM120" s="5">
        <v>152.54237288135593</v>
      </c>
      <c r="AN120" s="5">
        <v>-55.55555555555556</v>
      </c>
    </row>
    <row r="121" ht="15.75" customHeight="1">
      <c r="A121" s="5">
        <v>6.0</v>
      </c>
      <c r="B121" s="5">
        <v>2014.0</v>
      </c>
      <c r="C121" s="5">
        <v>3669.64</v>
      </c>
      <c r="D121" s="5">
        <v>199475.0</v>
      </c>
      <c r="E121" s="5">
        <v>4597.330688106848</v>
      </c>
      <c r="F121" s="5">
        <v>3715.635777049879</v>
      </c>
      <c r="G121" s="5">
        <v>4.0</v>
      </c>
      <c r="H121" s="5">
        <v>4.0</v>
      </c>
      <c r="I121" s="5">
        <v>0.7982110161214299</v>
      </c>
      <c r="J121" s="5">
        <v>-1.4611863936410674</v>
      </c>
      <c r="K121" s="5">
        <v>3.5311086521134127</v>
      </c>
      <c r="L121" s="5">
        <v>0.9876210210554064</v>
      </c>
      <c r="M121" s="5">
        <v>-0.44691179870613995</v>
      </c>
      <c r="N121" s="5">
        <v>2.4763048766749174</v>
      </c>
      <c r="O121" s="5">
        <v>2.018326179302976</v>
      </c>
      <c r="P121" s="5">
        <v>1226.0</v>
      </c>
      <c r="Q121" s="5">
        <v>4.0</v>
      </c>
      <c r="R121" s="5">
        <v>1032.0</v>
      </c>
      <c r="S121" s="5">
        <v>4.0</v>
      </c>
      <c r="T121" s="5">
        <v>53952.0</v>
      </c>
      <c r="U121" s="5">
        <v>4.0</v>
      </c>
      <c r="V121" s="5">
        <v>52.27906976744186</v>
      </c>
      <c r="W121" s="9" t="b">
        <v>1</v>
      </c>
      <c r="X121" s="9" t="b">
        <v>1</v>
      </c>
      <c r="Y121" s="5">
        <v>6.146133600701842</v>
      </c>
      <c r="Z121" s="5">
        <v>5.173580649204161</v>
      </c>
      <c r="AA121" s="5">
        <v>1377.0</v>
      </c>
      <c r="AB121" s="5">
        <v>907.0</v>
      </c>
      <c r="AC121" s="5">
        <v>12.0</v>
      </c>
      <c r="AD121" s="5">
        <v>12.0</v>
      </c>
      <c r="AE121" s="9" t="b">
        <v>1</v>
      </c>
      <c r="AF121" s="9" t="b">
        <v>1</v>
      </c>
      <c r="AG121" s="5">
        <v>4.546935706228851</v>
      </c>
      <c r="AH121" s="5">
        <v>6.903120691816017</v>
      </c>
      <c r="AI121" s="5">
        <v>361.0</v>
      </c>
      <c r="AJ121" s="5">
        <v>507.0</v>
      </c>
      <c r="AK121" s="5">
        <v>6.0</v>
      </c>
      <c r="AL121" s="5">
        <v>6.0</v>
      </c>
      <c r="AM121" s="5">
        <v>-14.932885906040273</v>
      </c>
      <c r="AN121" s="5">
        <v>137.5</v>
      </c>
    </row>
    <row r="122" ht="15.75" customHeight="1">
      <c r="A122" s="5">
        <v>6.0</v>
      </c>
      <c r="B122" s="5">
        <v>2015.0</v>
      </c>
      <c r="C122" s="5">
        <v>3845.52</v>
      </c>
      <c r="D122" s="5">
        <v>198475.0</v>
      </c>
      <c r="E122" s="5">
        <v>4602.872953042801</v>
      </c>
      <c r="F122" s="5">
        <v>3583.497811084543</v>
      </c>
      <c r="G122" s="5">
        <v>4.0</v>
      </c>
      <c r="H122" s="5">
        <v>4.0</v>
      </c>
      <c r="I122" s="5">
        <v>0.8354608174570317</v>
      </c>
      <c r="J122" s="5">
        <v>0.12055397603418783</v>
      </c>
      <c r="K122" s="5">
        <v>4.666660893331387</v>
      </c>
      <c r="L122" s="5">
        <v>1.0731191151017212</v>
      </c>
      <c r="M122" s="5">
        <v>-3.5562679954128873</v>
      </c>
      <c r="N122" s="5">
        <v>8.656973902291853</v>
      </c>
      <c r="O122" s="5">
        <v>4.7928407146205165</v>
      </c>
      <c r="P122" s="5">
        <v>1446.0</v>
      </c>
      <c r="Q122" s="5">
        <v>4.0</v>
      </c>
      <c r="R122" s="5">
        <v>1285.0</v>
      </c>
      <c r="S122" s="5">
        <v>4.0</v>
      </c>
      <c r="T122" s="5">
        <v>67482.0</v>
      </c>
      <c r="U122" s="5">
        <v>4.0</v>
      </c>
      <c r="V122" s="5">
        <v>52.51517509727626</v>
      </c>
      <c r="W122" s="9" t="b">
        <v>1</v>
      </c>
      <c r="X122" s="9" t="b">
        <v>1</v>
      </c>
      <c r="Y122" s="5">
        <v>7.285552336566318</v>
      </c>
      <c r="Z122" s="5">
        <v>6.474367048746693</v>
      </c>
      <c r="AA122" s="5">
        <v>943.0</v>
      </c>
      <c r="AB122" s="5">
        <v>766.0</v>
      </c>
      <c r="AC122" s="5">
        <v>12.0</v>
      </c>
      <c r="AD122" s="5">
        <v>12.0</v>
      </c>
      <c r="AE122" s="9" t="b">
        <v>1</v>
      </c>
      <c r="AF122" s="9" t="b">
        <v>1</v>
      </c>
      <c r="AG122" s="5">
        <v>3.859428139564177</v>
      </c>
      <c r="AH122" s="5">
        <v>4.751228114372087</v>
      </c>
      <c r="AI122" s="5">
        <v>211.0</v>
      </c>
      <c r="AJ122" s="5">
        <v>110.0</v>
      </c>
      <c r="AK122" s="5">
        <v>6.0</v>
      </c>
      <c r="AL122" s="5">
        <v>6.0</v>
      </c>
      <c r="AM122" s="5">
        <v>-78.30374753451676</v>
      </c>
      <c r="AN122" s="5">
        <v>-41.551246537396125</v>
      </c>
    </row>
    <row r="123" ht="15.75" customHeight="1">
      <c r="A123" s="5">
        <v>6.0</v>
      </c>
      <c r="B123" s="5">
        <v>2016.0</v>
      </c>
      <c r="C123" s="5">
        <v>3920.24</v>
      </c>
      <c r="D123" s="5">
        <v>197724.0</v>
      </c>
      <c r="E123" s="5">
        <v>4634.017403698809</v>
      </c>
      <c r="F123" s="5">
        <v>3499.6867675120498</v>
      </c>
      <c r="G123" s="5">
        <v>4.0</v>
      </c>
      <c r="H123" s="5">
        <v>4.0</v>
      </c>
      <c r="I123" s="5">
        <v>0.8459700640897287</v>
      </c>
      <c r="J123" s="5">
        <v>0.6766306820486845</v>
      </c>
      <c r="K123" s="5">
        <v>1.2578982057692478</v>
      </c>
      <c r="L123" s="5">
        <v>1.1201688209333442</v>
      </c>
      <c r="M123" s="5">
        <v>-2.3388054909158185</v>
      </c>
      <c r="N123" s="5">
        <v>4.384388011498919</v>
      </c>
      <c r="O123" s="5">
        <v>1.9430402130270918</v>
      </c>
      <c r="P123" s="5">
        <v>1410.0</v>
      </c>
      <c r="Q123" s="5">
        <v>4.0</v>
      </c>
      <c r="R123" s="5">
        <v>1301.0</v>
      </c>
      <c r="S123" s="5">
        <v>4.0</v>
      </c>
      <c r="T123" s="5">
        <v>65916.6</v>
      </c>
      <c r="U123" s="5">
        <v>4.0</v>
      </c>
      <c r="V123" s="5">
        <v>50.66610299769408</v>
      </c>
      <c r="W123" s="9" t="b">
        <v>1</v>
      </c>
      <c r="X123" s="9" t="b">
        <v>1</v>
      </c>
      <c r="Y123" s="5">
        <v>7.1311525156278455</v>
      </c>
      <c r="Z123" s="5">
        <v>6.579879023284983</v>
      </c>
      <c r="AA123" s="5">
        <v>755.0</v>
      </c>
      <c r="AB123" s="5">
        <v>892.0</v>
      </c>
      <c r="AC123" s="5">
        <v>12.0</v>
      </c>
      <c r="AD123" s="5">
        <v>12.0</v>
      </c>
      <c r="AE123" s="9" t="b">
        <v>1</v>
      </c>
      <c r="AF123" s="9" t="b">
        <v>1</v>
      </c>
      <c r="AG123" s="5">
        <v>4.511339038255346</v>
      </c>
      <c r="AH123" s="5">
        <v>3.8184540065950516</v>
      </c>
      <c r="AI123" s="5">
        <v>397.0</v>
      </c>
      <c r="AJ123" s="5">
        <v>484.0</v>
      </c>
      <c r="AK123" s="5">
        <v>6.0</v>
      </c>
      <c r="AL123" s="5">
        <v>6.0</v>
      </c>
      <c r="AM123" s="5">
        <v>340.00000000000006</v>
      </c>
      <c r="AN123" s="5">
        <v>88.15165876777252</v>
      </c>
    </row>
    <row r="124" ht="15.75" customHeight="1">
      <c r="A124" s="5">
        <v>6.0</v>
      </c>
      <c r="B124" s="5">
        <v>2017.0</v>
      </c>
      <c r="C124" s="5">
        <v>4197.4</v>
      </c>
      <c r="D124" s="5">
        <v>197336.0</v>
      </c>
      <c r="E124" s="5">
        <v>4598.723512882875</v>
      </c>
      <c r="F124" s="5">
        <v>3560.671147547505</v>
      </c>
      <c r="G124" s="5">
        <v>4.0</v>
      </c>
      <c r="H124" s="5">
        <v>4.0</v>
      </c>
      <c r="I124" s="5">
        <v>0.9127315413160615</v>
      </c>
      <c r="J124" s="5">
        <v>-0.7616262033837584</v>
      </c>
      <c r="K124" s="5">
        <v>7.891706818038369</v>
      </c>
      <c r="L124" s="5">
        <v>1.1788227067503991</v>
      </c>
      <c r="M124" s="5">
        <v>1.742566809166446</v>
      </c>
      <c r="N124" s="5">
        <v>5.236164828100054</v>
      </c>
      <c r="O124" s="5">
        <v>7.069975307634224</v>
      </c>
      <c r="P124" s="5">
        <v>1391.0</v>
      </c>
      <c r="Q124" s="5">
        <v>4.0</v>
      </c>
      <c r="R124" s="5">
        <v>1286.0</v>
      </c>
      <c r="S124" s="5">
        <v>4.0</v>
      </c>
      <c r="T124" s="5">
        <v>65301.7</v>
      </c>
      <c r="U124" s="5">
        <v>4.0</v>
      </c>
      <c r="V124" s="5">
        <v>50.77892690513219</v>
      </c>
      <c r="W124" s="9" t="b">
        <v>1</v>
      </c>
      <c r="X124" s="9" t="b">
        <v>1</v>
      </c>
      <c r="Y124" s="5">
        <v>7.048891231199579</v>
      </c>
      <c r="Z124" s="5">
        <v>6.516803826975311</v>
      </c>
      <c r="AA124" s="5">
        <v>609.0</v>
      </c>
      <c r="AB124" s="5">
        <v>894.0</v>
      </c>
      <c r="AC124" s="5">
        <v>12.0</v>
      </c>
      <c r="AD124" s="5">
        <v>12.0</v>
      </c>
      <c r="AE124" s="9" t="b">
        <v>1</v>
      </c>
      <c r="AF124" s="9" t="b">
        <v>1</v>
      </c>
      <c r="AG124" s="5">
        <v>4.5303441845380465</v>
      </c>
      <c r="AH124" s="5">
        <v>3.08610694450075</v>
      </c>
      <c r="AI124" s="5">
        <v>389.0</v>
      </c>
      <c r="AJ124" s="5">
        <v>690.0</v>
      </c>
      <c r="AK124" s="5">
        <v>6.0</v>
      </c>
      <c r="AL124" s="5">
        <v>6.0</v>
      </c>
      <c r="AM124" s="5">
        <v>42.561983471074385</v>
      </c>
      <c r="AN124" s="5">
        <v>-2.015113350125941</v>
      </c>
    </row>
    <row r="125" ht="15.75" customHeight="1">
      <c r="A125" s="5">
        <v>6.0</v>
      </c>
      <c r="B125" s="5">
        <v>2018.0</v>
      </c>
      <c r="C125" s="5">
        <v>4493.16</v>
      </c>
      <c r="D125" s="5">
        <v>196335.0</v>
      </c>
      <c r="E125" s="5">
        <v>4790.347342322969</v>
      </c>
      <c r="F125" s="5">
        <v>3793.124694895231</v>
      </c>
      <c r="G125" s="5">
        <v>4.0</v>
      </c>
      <c r="H125" s="5">
        <v>4.0</v>
      </c>
      <c r="I125" s="5">
        <v>0.9379612121865771</v>
      </c>
      <c r="J125" s="5">
        <v>4.166891723394084</v>
      </c>
      <c r="K125" s="5">
        <v>2.7641940404663945</v>
      </c>
      <c r="L125" s="5">
        <v>1.1845537284990586</v>
      </c>
      <c r="M125" s="5">
        <v>6.528363269599713</v>
      </c>
      <c r="N125" s="5">
        <v>0.4861648588750045</v>
      </c>
      <c r="O125" s="5">
        <v>7.046266736551199</v>
      </c>
      <c r="P125" s="5">
        <v>1757.0</v>
      </c>
      <c r="Q125" s="5">
        <v>4.0</v>
      </c>
      <c r="R125" s="5">
        <v>1673.0</v>
      </c>
      <c r="S125" s="5">
        <v>4.0</v>
      </c>
      <c r="T125" s="5">
        <v>86513.79999999999</v>
      </c>
      <c r="U125" s="5">
        <v>4.0</v>
      </c>
      <c r="V125" s="5">
        <v>51.71177525403466</v>
      </c>
      <c r="W125" s="9" t="b">
        <v>1</v>
      </c>
      <c r="X125" s="9" t="b">
        <v>1</v>
      </c>
      <c r="Y125" s="5">
        <v>8.948990246262765</v>
      </c>
      <c r="Z125" s="5">
        <v>8.521150075126696</v>
      </c>
      <c r="AA125" s="5">
        <v>895.0</v>
      </c>
      <c r="AB125" s="5">
        <v>1868.0</v>
      </c>
      <c r="AC125" s="5">
        <v>12.0</v>
      </c>
      <c r="AD125" s="5">
        <v>12.0</v>
      </c>
      <c r="AE125" s="9" t="b">
        <v>1</v>
      </c>
      <c r="AF125" s="9" t="b">
        <v>1</v>
      </c>
      <c r="AG125" s="5">
        <v>9.514350472406857</v>
      </c>
      <c r="AH125" s="5">
        <v>4.558535156747396</v>
      </c>
      <c r="AI125" s="5">
        <v>518.0</v>
      </c>
      <c r="AJ125" s="5">
        <v>1124.0</v>
      </c>
      <c r="AK125" s="5">
        <v>6.0</v>
      </c>
      <c r="AL125" s="5">
        <v>6.0</v>
      </c>
      <c r="AM125" s="5">
        <v>62.89855072463768</v>
      </c>
      <c r="AN125" s="5">
        <v>33.16195372750643</v>
      </c>
    </row>
    <row r="126" ht="15.75" customHeight="1">
      <c r="A126" s="5">
        <v>6.0</v>
      </c>
      <c r="B126" s="5">
        <v>2019.0</v>
      </c>
      <c r="C126" s="5">
        <v>4879.19</v>
      </c>
      <c r="D126" s="5">
        <v>195266.0</v>
      </c>
      <c r="E126" s="5">
        <v>5133.71730573593</v>
      </c>
      <c r="F126" s="5">
        <v>4193.746458778666</v>
      </c>
      <c r="G126" s="5">
        <v>4.0</v>
      </c>
      <c r="H126" s="5">
        <v>4.0</v>
      </c>
      <c r="I126" s="5">
        <v>0.9504204671629376</v>
      </c>
      <c r="J126" s="5">
        <v>7.167955450312946</v>
      </c>
      <c r="K126" s="5">
        <v>1.3283337108701332</v>
      </c>
      <c r="L126" s="5">
        <v>1.1634442014935145</v>
      </c>
      <c r="M126" s="5">
        <v>10.56178734178157</v>
      </c>
      <c r="N126" s="5">
        <v>-1.7820658107498333</v>
      </c>
      <c r="O126" s="5">
        <v>8.591503529809753</v>
      </c>
      <c r="P126" s="5">
        <v>1815.0</v>
      </c>
      <c r="Q126" s="5">
        <v>4.0</v>
      </c>
      <c r="R126" s="5">
        <v>1748.0</v>
      </c>
      <c r="S126" s="5">
        <v>4.0</v>
      </c>
      <c r="T126" s="5">
        <v>92214.9</v>
      </c>
      <c r="U126" s="5">
        <v>4.0</v>
      </c>
      <c r="V126" s="5">
        <v>52.75451945080091</v>
      </c>
      <c r="W126" s="9" t="b">
        <v>1</v>
      </c>
      <c r="X126" s="9" t="b">
        <v>1</v>
      </c>
      <c r="Y126" s="5">
        <v>9.295012956684728</v>
      </c>
      <c r="Z126" s="5">
        <v>8.951891266272675</v>
      </c>
      <c r="AA126" s="5">
        <v>1424.0</v>
      </c>
      <c r="AB126" s="5">
        <v>1102.0</v>
      </c>
      <c r="AC126" s="5">
        <v>12.0</v>
      </c>
      <c r="AD126" s="5">
        <v>12.0</v>
      </c>
      <c r="AE126" s="9" t="b">
        <v>1</v>
      </c>
      <c r="AF126" s="9" t="b">
        <v>1</v>
      </c>
      <c r="AG126" s="5">
        <v>5.6435836243892945</v>
      </c>
      <c r="AH126" s="5">
        <v>7.292616226071103</v>
      </c>
      <c r="AI126" s="5">
        <v>551.0</v>
      </c>
      <c r="AJ126" s="5">
        <v>457.0</v>
      </c>
      <c r="AK126" s="5">
        <v>6.0</v>
      </c>
      <c r="AL126" s="5">
        <v>6.0</v>
      </c>
      <c r="AM126" s="5">
        <v>-59.341637010676166</v>
      </c>
      <c r="AN126" s="5">
        <v>6.370656370656369</v>
      </c>
    </row>
    <row r="127" ht="15.75" customHeight="1">
      <c r="A127" s="5">
        <v>6.0</v>
      </c>
      <c r="B127" s="5">
        <v>2020.0</v>
      </c>
      <c r="C127" s="5">
        <v>5218.61</v>
      </c>
      <c r="D127" s="5">
        <v>188230.0</v>
      </c>
      <c r="E127" s="5">
        <v>5660.759889108242</v>
      </c>
      <c r="F127" s="5">
        <v>4751.883488167603</v>
      </c>
      <c r="G127" s="5">
        <v>4.0</v>
      </c>
      <c r="H127" s="5">
        <v>4.0</v>
      </c>
      <c r="I127" s="5">
        <v>0.9218921314859204</v>
      </c>
      <c r="J127" s="5">
        <v>10.266295395413461</v>
      </c>
      <c r="K127" s="5">
        <v>-3.0016541796680785</v>
      </c>
      <c r="L127" s="5">
        <v>1.0982192667380348</v>
      </c>
      <c r="M127" s="5">
        <v>13.308792862777906</v>
      </c>
      <c r="N127" s="5">
        <v>-5.606193633674083</v>
      </c>
      <c r="O127" s="5">
        <v>6.9564825309119005</v>
      </c>
      <c r="P127" s="5">
        <v>2162.0</v>
      </c>
      <c r="Q127" s="5">
        <v>4.0</v>
      </c>
      <c r="R127" s="5">
        <v>2160.0</v>
      </c>
      <c r="S127" s="5">
        <v>4.0</v>
      </c>
      <c r="T127" s="5">
        <v>116393.90000000001</v>
      </c>
      <c r="U127" s="5">
        <v>4.0</v>
      </c>
      <c r="V127" s="5">
        <v>53.886064814814816</v>
      </c>
      <c r="W127" s="9" t="b">
        <v>1</v>
      </c>
      <c r="X127" s="9" t="b">
        <v>1</v>
      </c>
      <c r="Y127" s="5">
        <v>11.485948042288689</v>
      </c>
      <c r="Z127" s="5">
        <v>11.475322743452159</v>
      </c>
      <c r="AA127" s="5">
        <v>1545.0</v>
      </c>
      <c r="AB127" s="5">
        <v>833.0</v>
      </c>
      <c r="AC127" s="5">
        <v>12.0</v>
      </c>
      <c r="AD127" s="5">
        <v>12.0</v>
      </c>
      <c r="AE127" s="9" t="b">
        <v>1</v>
      </c>
      <c r="AF127" s="9" t="b">
        <v>1</v>
      </c>
      <c r="AG127" s="5">
        <v>4.425436965414653</v>
      </c>
      <c r="AH127" s="5">
        <v>8.208043351219253</v>
      </c>
      <c r="AI127" s="5">
        <v>840.0</v>
      </c>
      <c r="AJ127" s="5">
        <v>253.0</v>
      </c>
      <c r="AK127" s="5">
        <v>6.0</v>
      </c>
      <c r="AL127" s="5">
        <v>6.0</v>
      </c>
      <c r="AM127" s="5">
        <v>-44.63894967177243</v>
      </c>
      <c r="AN127" s="5">
        <v>52.45009074410163</v>
      </c>
    </row>
    <row r="128" ht="15.75" customHeight="1">
      <c r="A128" s="5">
        <v>6.0</v>
      </c>
      <c r="B128" s="5">
        <v>2021.0</v>
      </c>
      <c r="C128" s="5">
        <v>5648.73</v>
      </c>
      <c r="D128" s="5">
        <v>186498.0</v>
      </c>
      <c r="E128" s="5">
        <v>6381.966022791697</v>
      </c>
      <c r="F128" s="5">
        <v>5266.801089215545</v>
      </c>
      <c r="G128" s="5">
        <v>4.0</v>
      </c>
      <c r="H128" s="5">
        <v>4.0</v>
      </c>
      <c r="I128" s="5">
        <v>0.8851081280951487</v>
      </c>
      <c r="J128" s="5">
        <v>12.74044735709623</v>
      </c>
      <c r="K128" s="5">
        <v>-3.9900550329551754</v>
      </c>
      <c r="L128" s="5">
        <v>1.0725162967643687</v>
      </c>
      <c r="M128" s="5">
        <v>10.836073786954369</v>
      </c>
      <c r="N128" s="5">
        <v>-2.3404224231113657</v>
      </c>
      <c r="O128" s="5">
        <v>8.242041463148242</v>
      </c>
      <c r="P128" s="5">
        <v>2096.0</v>
      </c>
      <c r="Q128" s="5">
        <v>4.0</v>
      </c>
      <c r="R128" s="5">
        <v>2102.0</v>
      </c>
      <c r="S128" s="5">
        <v>4.0</v>
      </c>
      <c r="T128" s="5">
        <v>111906.49999999999</v>
      </c>
      <c r="U128" s="5">
        <v>4.0</v>
      </c>
      <c r="V128" s="5">
        <v>53.23810656517602</v>
      </c>
      <c r="W128" s="9" t="b">
        <v>1</v>
      </c>
      <c r="X128" s="9" t="b">
        <v>1</v>
      </c>
      <c r="Y128" s="5">
        <v>11.238726420658667</v>
      </c>
      <c r="Z128" s="5">
        <v>11.270898347435361</v>
      </c>
      <c r="AA128" s="5">
        <v>1173.0</v>
      </c>
      <c r="AB128" s="5">
        <v>1909.0</v>
      </c>
      <c r="AC128" s="5">
        <v>12.0</v>
      </c>
      <c r="AD128" s="5">
        <v>12.0</v>
      </c>
      <c r="AE128" s="9" t="b">
        <v>1</v>
      </c>
      <c r="AF128" s="9" t="b">
        <v>1</v>
      </c>
      <c r="AG128" s="5">
        <v>10.236034702785016</v>
      </c>
      <c r="AH128" s="5">
        <v>6.2896116848438055</v>
      </c>
      <c r="AI128" s="5">
        <v>772.0</v>
      </c>
      <c r="AJ128" s="5">
        <v>899.0</v>
      </c>
      <c r="AK128" s="5">
        <v>6.0</v>
      </c>
      <c r="AL128" s="5">
        <v>6.0</v>
      </c>
      <c r="AM128" s="5">
        <v>255.33596837944663</v>
      </c>
      <c r="AN128" s="5">
        <v>-8.0952380952381</v>
      </c>
    </row>
    <row r="129" ht="15.75" customHeight="1">
      <c r="A129" s="5">
        <v>6.0</v>
      </c>
      <c r="B129" s="5">
        <v>2022.0</v>
      </c>
      <c r="C129" s="5">
        <v>6185.4</v>
      </c>
      <c r="D129" s="5">
        <v>184520.0</v>
      </c>
      <c r="E129" s="5">
        <v>7590.690210827466</v>
      </c>
      <c r="F129" s="5">
        <v>6151.746091039957</v>
      </c>
      <c r="G129" s="5">
        <v>4.0</v>
      </c>
      <c r="H129" s="5">
        <v>4.0</v>
      </c>
      <c r="I129" s="5">
        <v>0.8148666100451655</v>
      </c>
      <c r="J129" s="5">
        <v>18.93968384850522</v>
      </c>
      <c r="K129" s="5">
        <v>-7.935925094389407</v>
      </c>
      <c r="L129" s="5">
        <v>1.0054706271133427</v>
      </c>
      <c r="M129" s="5">
        <v>16.8023243489573</v>
      </c>
      <c r="N129" s="5">
        <v>-6.251249501130507</v>
      </c>
      <c r="O129" s="5">
        <v>9.500719630784271</v>
      </c>
      <c r="P129" s="5">
        <v>1971.0</v>
      </c>
      <c r="Q129" s="5">
        <v>4.0</v>
      </c>
      <c r="R129" s="5">
        <v>1975.0</v>
      </c>
      <c r="S129" s="5">
        <v>4.0</v>
      </c>
      <c r="T129" s="5">
        <v>104139.0</v>
      </c>
      <c r="U129" s="5">
        <v>4.0</v>
      </c>
      <c r="V129" s="5">
        <v>52.72860759493671</v>
      </c>
      <c r="W129" s="9" t="b">
        <v>1</v>
      </c>
      <c r="X129" s="9" t="b">
        <v>1</v>
      </c>
      <c r="Y129" s="5">
        <v>10.681768913938868</v>
      </c>
      <c r="Z129" s="5">
        <v>10.703446780836765</v>
      </c>
      <c r="AA129" s="5">
        <v>1093.0</v>
      </c>
      <c r="AB129" s="5">
        <v>1288.0</v>
      </c>
      <c r="AC129" s="5">
        <v>12.0</v>
      </c>
      <c r="AD129" s="5">
        <v>12.0</v>
      </c>
      <c r="AE129" s="9" t="b">
        <v>1</v>
      </c>
      <c r="AF129" s="9" t="b">
        <v>1</v>
      </c>
      <c r="AG129" s="5">
        <v>6.980273141122913</v>
      </c>
      <c r="AH129" s="5">
        <v>5.923477129850423</v>
      </c>
      <c r="AI129" s="5">
        <v>831.0</v>
      </c>
      <c r="AJ129" s="5">
        <v>491.0</v>
      </c>
      <c r="AK129" s="5">
        <v>6.0</v>
      </c>
      <c r="AL129" s="5">
        <v>6.0</v>
      </c>
      <c r="AM129" s="5">
        <v>-45.38375973303671</v>
      </c>
      <c r="AN129" s="5">
        <v>7.642487046632129</v>
      </c>
    </row>
    <row r="130" ht="15.75" customHeight="1">
      <c r="A130" s="5">
        <v>6.0</v>
      </c>
      <c r="B130" s="5">
        <v>2023.0</v>
      </c>
      <c r="C130" s="5">
        <v>7062.45</v>
      </c>
      <c r="D130" s="5">
        <v>183147.0</v>
      </c>
      <c r="E130" s="5">
        <v>8333.219004601575</v>
      </c>
      <c r="F130" s="5">
        <v>6544.281617523132</v>
      </c>
      <c r="G130" s="5">
        <v>4.0</v>
      </c>
      <c r="H130" s="5">
        <v>4.0</v>
      </c>
      <c r="I130" s="5">
        <v>0.8475056273092234</v>
      </c>
      <c r="J130" s="5">
        <v>9.78209850686509</v>
      </c>
      <c r="K130" s="5">
        <v>4.005442959829808</v>
      </c>
      <c r="L130" s="5">
        <v>1.0791788026189777</v>
      </c>
      <c r="M130" s="5">
        <v>6.380879845722243</v>
      </c>
      <c r="N130" s="5">
        <v>7.330713948078982</v>
      </c>
      <c r="O130" s="5">
        <v>14.179357842661755</v>
      </c>
      <c r="Q130" s="5">
        <v>2.0</v>
      </c>
      <c r="R130" s="5">
        <v>2093.0</v>
      </c>
      <c r="S130" s="5">
        <v>4.0</v>
      </c>
      <c r="T130" s="5">
        <v>104216.5</v>
      </c>
      <c r="U130" s="5">
        <v>4.0</v>
      </c>
      <c r="V130" s="5">
        <v>49.792881032011465</v>
      </c>
      <c r="W130" s="9" t="b">
        <v>0</v>
      </c>
      <c r="X130" s="9" t="b">
        <v>1</v>
      </c>
      <c r="Z130" s="5">
        <v>11.427978618268387</v>
      </c>
      <c r="AA130" s="5">
        <v>1177.0</v>
      </c>
      <c r="AB130" s="5">
        <v>879.0</v>
      </c>
      <c r="AC130" s="5">
        <v>12.0</v>
      </c>
      <c r="AD130" s="5">
        <v>12.0</v>
      </c>
      <c r="AE130" s="9" t="b">
        <v>1</v>
      </c>
      <c r="AF130" s="9" t="b">
        <v>1</v>
      </c>
      <c r="AG130" s="5">
        <v>4.799423413978935</v>
      </c>
      <c r="AH130" s="5">
        <v>6.426531693120826</v>
      </c>
      <c r="AI130" s="5">
        <v>797.0</v>
      </c>
      <c r="AJ130" s="5">
        <v>373.0</v>
      </c>
      <c r="AK130" s="5">
        <v>6.0</v>
      </c>
      <c r="AL130" s="5">
        <v>6.0</v>
      </c>
      <c r="AM130" s="5">
        <v>-24.032586558044812</v>
      </c>
      <c r="AN130" s="5">
        <v>-4.091456077015643</v>
      </c>
    </row>
    <row r="131" ht="15.75" customHeight="1">
      <c r="A131" s="5">
        <v>6.0</v>
      </c>
      <c r="B131" s="5">
        <v>2024.0</v>
      </c>
      <c r="C131" s="5">
        <v>8213.37</v>
      </c>
      <c r="D131" s="5">
        <v>181211.0</v>
      </c>
      <c r="E131" s="5">
        <v>9446.8868170512</v>
      </c>
      <c r="F131" s="5">
        <v>7843.051527274867</v>
      </c>
      <c r="G131" s="5">
        <v>4.0</v>
      </c>
      <c r="H131" s="5">
        <v>4.0</v>
      </c>
      <c r="I131" s="5">
        <v>0.8694261039705952</v>
      </c>
      <c r="J131" s="5">
        <v>13.364197098800123</v>
      </c>
      <c r="K131" s="5">
        <v>2.586469747813691</v>
      </c>
      <c r="L131" s="5">
        <v>1.0472161213575253</v>
      </c>
      <c r="M131" s="5">
        <v>19.845874393212483</v>
      </c>
      <c r="N131" s="5">
        <v>-2.9617595512332673</v>
      </c>
      <c r="O131" s="5">
        <v>16.296327761612496</v>
      </c>
      <c r="Q131" s="5">
        <v>1.0</v>
      </c>
      <c r="R131" s="5">
        <v>2227.0</v>
      </c>
      <c r="S131" s="5">
        <v>4.0</v>
      </c>
      <c r="T131" s="5">
        <v>113682.0</v>
      </c>
      <c r="U131" s="5">
        <v>4.0</v>
      </c>
      <c r="V131" s="5">
        <v>51.047148630444546</v>
      </c>
      <c r="W131" s="9" t="b">
        <v>0</v>
      </c>
      <c r="X131" s="9" t="b">
        <v>1</v>
      </c>
      <c r="Z131" s="5">
        <v>12.289540921908713</v>
      </c>
      <c r="AA131" s="5">
        <v>1303.0</v>
      </c>
      <c r="AB131" s="5">
        <v>1432.0</v>
      </c>
      <c r="AC131" s="5">
        <v>12.0</v>
      </c>
      <c r="AD131" s="5">
        <v>12.0</v>
      </c>
      <c r="AE131" s="9" t="b">
        <v>1</v>
      </c>
      <c r="AF131" s="9" t="b">
        <v>1</v>
      </c>
      <c r="AG131" s="5">
        <v>7.902390031510229</v>
      </c>
      <c r="AH131" s="5">
        <v>7.190512717219153</v>
      </c>
      <c r="AI131" s="5">
        <v>782.0</v>
      </c>
      <c r="AJ131" s="5">
        <v>888.0</v>
      </c>
      <c r="AK131" s="5">
        <v>6.0</v>
      </c>
      <c r="AL131" s="5">
        <v>6.0</v>
      </c>
      <c r="AM131" s="5">
        <v>138.06970509383376</v>
      </c>
      <c r="AN131" s="5">
        <v>-1.8820577164366359</v>
      </c>
    </row>
    <row r="132" ht="15.75" customHeight="1">
      <c r="A132" s="5">
        <v>6.0</v>
      </c>
      <c r="B132" s="5">
        <v>2025.0</v>
      </c>
      <c r="C132" s="5">
        <v>9008.73</v>
      </c>
      <c r="D132" s="5">
        <v>179694.0</v>
      </c>
      <c r="E132" s="5">
        <v>9900.424621027254</v>
      </c>
      <c r="F132" s="5">
        <v>8111.766150731651</v>
      </c>
      <c r="G132" s="5">
        <v>4.0</v>
      </c>
      <c r="H132" s="5">
        <v>4.0</v>
      </c>
      <c r="I132" s="5">
        <v>0.9099336992947346</v>
      </c>
      <c r="J132" s="5">
        <v>4.800923444509131</v>
      </c>
      <c r="K132" s="5">
        <v>4.659118830127662</v>
      </c>
      <c r="L132" s="5">
        <v>1.1105756542534755</v>
      </c>
      <c r="M132" s="5">
        <v>3.426148897814918</v>
      </c>
      <c r="N132" s="5">
        <v>6.050282420577724</v>
      </c>
      <c r="O132" s="5">
        <v>9.683723002859956</v>
      </c>
      <c r="AA132" s="5">
        <v>1045.0</v>
      </c>
      <c r="AB132" s="5">
        <v>1120.0</v>
      </c>
      <c r="AC132" s="5">
        <v>12.0</v>
      </c>
      <c r="AD132" s="5">
        <v>12.0</v>
      </c>
      <c r="AE132" s="9" t="b">
        <v>1</v>
      </c>
      <c r="AF132" s="9" t="b">
        <v>1</v>
      </c>
      <c r="AG132" s="5">
        <v>6.2328180128440565</v>
      </c>
      <c r="AH132" s="5">
        <v>5.815441806626821</v>
      </c>
      <c r="AI132" s="5">
        <v>587.0</v>
      </c>
      <c r="AJ132" s="5">
        <v>502.0</v>
      </c>
      <c r="AK132" s="5">
        <v>6.0</v>
      </c>
      <c r="AL132" s="5">
        <v>6.0</v>
      </c>
      <c r="AM132" s="5">
        <v>-43.468468468468465</v>
      </c>
      <c r="AN132" s="5">
        <v>-24.936061381074172</v>
      </c>
    </row>
    <row r="133" ht="15.75" customHeight="1">
      <c r="A133" s="5">
        <v>6.0</v>
      </c>
      <c r="B133" s="5">
        <v>2026.0</v>
      </c>
      <c r="AI133" s="5">
        <v>493.0</v>
      </c>
      <c r="AJ133" s="5">
        <v>785.0</v>
      </c>
      <c r="AK133" s="5">
        <v>6.0</v>
      </c>
      <c r="AL133" s="5">
        <v>6.0</v>
      </c>
      <c r="AM133" s="5">
        <v>56.37450199203187</v>
      </c>
      <c r="AN133" s="5">
        <v>-16.013628620102217</v>
      </c>
    </row>
    <row r="134" ht="15.75" customHeight="1">
      <c r="A134" s="5">
        <v>7.0</v>
      </c>
      <c r="B134" s="5">
        <v>2005.0</v>
      </c>
      <c r="C134" s="5">
        <v>2579.09</v>
      </c>
      <c r="D134" s="5">
        <v>757762.0</v>
      </c>
      <c r="AA134" s="5">
        <v>4557.0</v>
      </c>
      <c r="AB134" s="5">
        <v>4306.0</v>
      </c>
      <c r="AC134" s="5">
        <v>12.0</v>
      </c>
      <c r="AD134" s="5">
        <v>12.0</v>
      </c>
      <c r="AE134" s="9" t="b">
        <v>1</v>
      </c>
      <c r="AF134" s="9" t="b">
        <v>1</v>
      </c>
      <c r="AG134" s="5">
        <v>5.68252300854358</v>
      </c>
      <c r="AH134" s="5">
        <v>6.013761576853946</v>
      </c>
      <c r="AI134" s="5">
        <v>3190.0</v>
      </c>
      <c r="AJ134" s="5">
        <v>2144.0</v>
      </c>
      <c r="AK134" s="5">
        <v>6.0</v>
      </c>
      <c r="AL134" s="5">
        <v>6.0</v>
      </c>
    </row>
    <row r="135" ht="15.75" customHeight="1">
      <c r="A135" s="5">
        <v>7.0</v>
      </c>
      <c r="B135" s="5">
        <v>2006.0</v>
      </c>
      <c r="C135" s="5">
        <v>2753.21</v>
      </c>
      <c r="D135" s="5">
        <v>756757.0</v>
      </c>
      <c r="AA135" s="5">
        <v>6612.0</v>
      </c>
      <c r="AB135" s="5">
        <v>9649.0</v>
      </c>
      <c r="AC135" s="5">
        <v>12.0</v>
      </c>
      <c r="AD135" s="5">
        <v>12.0</v>
      </c>
      <c r="AE135" s="9" t="b">
        <v>1</v>
      </c>
      <c r="AF135" s="9" t="b">
        <v>1</v>
      </c>
      <c r="AG135" s="5">
        <v>12.750460187352083</v>
      </c>
      <c r="AH135" s="5">
        <v>8.737282905873352</v>
      </c>
      <c r="AI135" s="5">
        <v>4472.0</v>
      </c>
      <c r="AJ135" s="5">
        <v>3532.0</v>
      </c>
      <c r="AK135" s="5">
        <v>6.0</v>
      </c>
      <c r="AL135" s="5">
        <v>6.0</v>
      </c>
      <c r="AM135" s="5">
        <v>64.73880597014924</v>
      </c>
      <c r="AN135" s="5">
        <v>40.18808777429468</v>
      </c>
    </row>
    <row r="136" ht="15.75" customHeight="1">
      <c r="A136" s="5">
        <v>7.0</v>
      </c>
      <c r="B136" s="5">
        <v>2007.0</v>
      </c>
      <c r="C136" s="5">
        <v>2995.18</v>
      </c>
      <c r="D136" s="5">
        <v>756336.0</v>
      </c>
      <c r="E136" s="5">
        <v>7773.25</v>
      </c>
      <c r="F136" s="5">
        <v>6896.71361901566</v>
      </c>
      <c r="G136" s="5">
        <v>4.0</v>
      </c>
      <c r="H136" s="5">
        <v>4.0</v>
      </c>
      <c r="I136" s="5">
        <v>0.3853188820634869</v>
      </c>
      <c r="L136" s="5">
        <v>0.43429090512641727</v>
      </c>
      <c r="AA136" s="5">
        <v>4922.0</v>
      </c>
      <c r="AB136" s="5">
        <v>10499.0</v>
      </c>
      <c r="AC136" s="5">
        <v>12.0</v>
      </c>
      <c r="AD136" s="5">
        <v>12.0</v>
      </c>
      <c r="AE136" s="9" t="b">
        <v>1</v>
      </c>
      <c r="AF136" s="9" t="b">
        <v>1</v>
      </c>
      <c r="AG136" s="5">
        <v>13.881396627953714</v>
      </c>
      <c r="AH136" s="5">
        <v>6.507689704046879</v>
      </c>
      <c r="AI136" s="5">
        <v>2289.0</v>
      </c>
      <c r="AJ136" s="5">
        <v>4778.0</v>
      </c>
      <c r="AK136" s="5">
        <v>6.0</v>
      </c>
      <c r="AL136" s="5">
        <v>6.0</v>
      </c>
      <c r="AM136" s="5">
        <v>35.27746319365799</v>
      </c>
      <c r="AN136" s="5">
        <v>-48.81484794275492</v>
      </c>
    </row>
    <row r="137" ht="15.75" customHeight="1">
      <c r="A137" s="5">
        <v>7.0</v>
      </c>
      <c r="B137" s="5">
        <v>2008.0</v>
      </c>
      <c r="C137" s="5">
        <v>3259.63</v>
      </c>
      <c r="D137" s="5">
        <v>756441.0</v>
      </c>
      <c r="E137" s="5">
        <v>7839.75</v>
      </c>
      <c r="F137" s="5">
        <v>6516.882392516567</v>
      </c>
      <c r="G137" s="5">
        <v>4.0</v>
      </c>
      <c r="H137" s="5">
        <v>4.0</v>
      </c>
      <c r="I137" s="5">
        <v>0.4157823910201218</v>
      </c>
      <c r="J137" s="5">
        <v>0.8554980220628394</v>
      </c>
      <c r="K137" s="5">
        <v>7.906051422524274</v>
      </c>
      <c r="L137" s="5">
        <v>0.5001824190878573</v>
      </c>
      <c r="M137" s="5">
        <v>-5.507423498807018</v>
      </c>
      <c r="N137" s="5">
        <v>15.172206736003325</v>
      </c>
      <c r="O137" s="5">
        <v>8.829185558130082</v>
      </c>
      <c r="AA137" s="5">
        <v>6621.0</v>
      </c>
      <c r="AB137" s="5">
        <v>7583.0</v>
      </c>
      <c r="AC137" s="5">
        <v>12.0</v>
      </c>
      <c r="AD137" s="5">
        <v>12.0</v>
      </c>
      <c r="AE137" s="9" t="b">
        <v>1</v>
      </c>
      <c r="AF137" s="9" t="b">
        <v>1</v>
      </c>
      <c r="AG137" s="5">
        <v>10.02457561131668</v>
      </c>
      <c r="AH137" s="5">
        <v>8.752830690033989</v>
      </c>
      <c r="AI137" s="5">
        <v>3538.0</v>
      </c>
      <c r="AJ137" s="5">
        <v>3928.0</v>
      </c>
      <c r="AK137" s="5">
        <v>6.0</v>
      </c>
      <c r="AL137" s="5">
        <v>6.0</v>
      </c>
      <c r="AM137" s="5">
        <v>-17.78987023859355</v>
      </c>
      <c r="AN137" s="5">
        <v>54.5653123634775</v>
      </c>
    </row>
    <row r="138" ht="15.75" customHeight="1">
      <c r="A138" s="5">
        <v>7.0</v>
      </c>
      <c r="B138" s="5">
        <v>2009.0</v>
      </c>
      <c r="C138" s="5">
        <v>3423.56</v>
      </c>
      <c r="D138" s="5">
        <v>754854.0</v>
      </c>
      <c r="E138" s="5">
        <v>7097.25</v>
      </c>
      <c r="F138" s="5">
        <v>6200.048846722625</v>
      </c>
      <c r="G138" s="5">
        <v>4.0</v>
      </c>
      <c r="H138" s="5">
        <v>4.0</v>
      </c>
      <c r="I138" s="5">
        <v>0.48237838599457533</v>
      </c>
      <c r="J138" s="5">
        <v>-9.47096527312733</v>
      </c>
      <c r="K138" s="5">
        <v>16.0170311231941</v>
      </c>
      <c r="L138" s="5">
        <v>0.552182746400411</v>
      </c>
      <c r="M138" s="5">
        <v>-4.861734901918235</v>
      </c>
      <c r="N138" s="5">
        <v>10.396272505415617</v>
      </c>
      <c r="O138" s="5">
        <v>5.02909839460306</v>
      </c>
      <c r="AA138" s="5">
        <v>10344.0</v>
      </c>
      <c r="AB138" s="5">
        <v>6199.0</v>
      </c>
      <c r="AC138" s="5">
        <v>12.0</v>
      </c>
      <c r="AD138" s="5">
        <v>12.0</v>
      </c>
      <c r="AE138" s="9" t="b">
        <v>1</v>
      </c>
      <c r="AF138" s="9" t="b">
        <v>1</v>
      </c>
      <c r="AG138" s="5">
        <v>8.212184077980641</v>
      </c>
      <c r="AH138" s="5">
        <v>13.703312163676683</v>
      </c>
      <c r="AI138" s="5">
        <v>6120.0</v>
      </c>
      <c r="AJ138" s="5">
        <v>3629.0</v>
      </c>
      <c r="AK138" s="5">
        <v>6.0</v>
      </c>
      <c r="AL138" s="5">
        <v>6.0</v>
      </c>
      <c r="AM138" s="5">
        <v>-7.612016293279023</v>
      </c>
      <c r="AN138" s="5">
        <v>72.97908422837762</v>
      </c>
    </row>
    <row r="139" ht="15.75" customHeight="1">
      <c r="A139" s="5">
        <v>7.0</v>
      </c>
      <c r="B139" s="5">
        <v>2010.0</v>
      </c>
      <c r="C139" s="5">
        <v>3543.43</v>
      </c>
      <c r="D139" s="5">
        <v>757103.0</v>
      </c>
      <c r="E139" s="5">
        <v>6882.0</v>
      </c>
      <c r="F139" s="5">
        <v>6368.00260742301</v>
      </c>
      <c r="G139" s="5">
        <v>4.0</v>
      </c>
      <c r="H139" s="5">
        <v>4.0</v>
      </c>
      <c r="I139" s="5">
        <v>0.5148837547224644</v>
      </c>
      <c r="J139" s="5">
        <v>-3.0328648420162696</v>
      </c>
      <c r="K139" s="5">
        <v>6.738562438047246</v>
      </c>
      <c r="L139" s="5">
        <v>0.5564429254268078</v>
      </c>
      <c r="M139" s="5">
        <v>2.708910282040211</v>
      </c>
      <c r="N139" s="5">
        <v>0.7715161428292205</v>
      </c>
      <c r="O139" s="5">
        <v>3.501326104990121</v>
      </c>
      <c r="P139" s="5">
        <v>9326.0</v>
      </c>
      <c r="Q139" s="5">
        <v>4.0</v>
      </c>
      <c r="R139" s="5">
        <v>8352.0</v>
      </c>
      <c r="S139" s="5">
        <v>4.0</v>
      </c>
      <c r="T139" s="5">
        <v>447038.30000000005</v>
      </c>
      <c r="U139" s="5">
        <v>4.0</v>
      </c>
      <c r="V139" s="5">
        <v>53.52470067049809</v>
      </c>
      <c r="W139" s="9" t="b">
        <v>1</v>
      </c>
      <c r="X139" s="9" t="b">
        <v>1</v>
      </c>
      <c r="Y139" s="5">
        <v>12.318006929044001</v>
      </c>
      <c r="Z139" s="5">
        <v>11.031524112307045</v>
      </c>
      <c r="AA139" s="5">
        <v>4716.0</v>
      </c>
      <c r="AB139" s="5">
        <v>9158.0</v>
      </c>
      <c r="AC139" s="5">
        <v>12.0</v>
      </c>
      <c r="AD139" s="5">
        <v>12.0</v>
      </c>
      <c r="AE139" s="9" t="b">
        <v>1</v>
      </c>
      <c r="AF139" s="9" t="b">
        <v>1</v>
      </c>
      <c r="AG139" s="5">
        <v>12.096108455520582</v>
      </c>
      <c r="AH139" s="5">
        <v>6.22900714962165</v>
      </c>
      <c r="AI139" s="5">
        <v>2559.0</v>
      </c>
      <c r="AJ139" s="5">
        <v>3851.0</v>
      </c>
      <c r="AK139" s="5">
        <v>6.0</v>
      </c>
      <c r="AL139" s="5">
        <v>6.0</v>
      </c>
      <c r="AM139" s="5">
        <v>6.117387710112987</v>
      </c>
      <c r="AN139" s="5">
        <v>-58.186274509803916</v>
      </c>
    </row>
    <row r="140" ht="15.75" customHeight="1">
      <c r="A140" s="5">
        <v>7.0</v>
      </c>
      <c r="B140" s="5">
        <v>2011.0</v>
      </c>
      <c r="C140" s="5">
        <v>3722.48</v>
      </c>
      <c r="D140" s="5">
        <v>758241.0</v>
      </c>
      <c r="E140" s="5">
        <v>6909.25</v>
      </c>
      <c r="F140" s="5">
        <v>6330.677094860135</v>
      </c>
      <c r="G140" s="5">
        <v>4.0</v>
      </c>
      <c r="H140" s="5">
        <v>4.0</v>
      </c>
      <c r="I140" s="5">
        <v>0.5387675941672396</v>
      </c>
      <c r="J140" s="5">
        <v>0.39596047660563904</v>
      </c>
      <c r="K140" s="5">
        <v>4.638685766586148</v>
      </c>
      <c r="L140" s="5">
        <v>0.588006613545694</v>
      </c>
      <c r="M140" s="5">
        <v>-0.5861416030101041</v>
      </c>
      <c r="N140" s="5">
        <v>5.672403525424619</v>
      </c>
      <c r="O140" s="5">
        <v>5.053013605461376</v>
      </c>
      <c r="P140" s="5">
        <v>8670.0</v>
      </c>
      <c r="Q140" s="5">
        <v>4.0</v>
      </c>
      <c r="R140" s="5">
        <v>7307.0</v>
      </c>
      <c r="S140" s="5">
        <v>4.0</v>
      </c>
      <c r="T140" s="5">
        <v>385446.4</v>
      </c>
      <c r="U140" s="5">
        <v>4.0</v>
      </c>
      <c r="V140" s="5">
        <v>52.75029423840154</v>
      </c>
      <c r="W140" s="9" t="b">
        <v>1</v>
      </c>
      <c r="X140" s="9" t="b">
        <v>1</v>
      </c>
      <c r="Y140" s="5">
        <v>11.434359260446216</v>
      </c>
      <c r="Z140" s="5">
        <v>9.636777752719782</v>
      </c>
      <c r="AA140" s="5">
        <v>4852.0</v>
      </c>
      <c r="AB140" s="5">
        <v>9423.0</v>
      </c>
      <c r="AC140" s="5">
        <v>12.0</v>
      </c>
      <c r="AD140" s="5">
        <v>12.0</v>
      </c>
      <c r="AE140" s="9" t="b">
        <v>1</v>
      </c>
      <c r="AF140" s="9" t="b">
        <v>1</v>
      </c>
      <c r="AG140" s="5">
        <v>12.427447210055906</v>
      </c>
      <c r="AH140" s="5">
        <v>6.399020891774515</v>
      </c>
      <c r="AI140" s="5">
        <v>2443.0</v>
      </c>
      <c r="AJ140" s="5">
        <v>4850.0</v>
      </c>
      <c r="AK140" s="5">
        <v>6.0</v>
      </c>
      <c r="AL140" s="5">
        <v>6.0</v>
      </c>
      <c r="AM140" s="5">
        <v>25.94131394443002</v>
      </c>
      <c r="AN140" s="5">
        <v>-4.533020711215318</v>
      </c>
    </row>
    <row r="141" ht="15.75" customHeight="1">
      <c r="A141" s="5">
        <v>7.0</v>
      </c>
      <c r="B141" s="5">
        <v>2012.0</v>
      </c>
      <c r="C141" s="5">
        <v>3877.57</v>
      </c>
      <c r="D141" s="5">
        <v>759131.0</v>
      </c>
      <c r="E141" s="5">
        <v>6595.180984933903</v>
      </c>
      <c r="F141" s="5">
        <v>6116.590260474314</v>
      </c>
      <c r="G141" s="5">
        <v>4.0</v>
      </c>
      <c r="H141" s="5">
        <v>4.0</v>
      </c>
      <c r="I141" s="5">
        <v>0.5879398926061256</v>
      </c>
      <c r="J141" s="5">
        <v>-4.545631075241118</v>
      </c>
      <c r="K141" s="5">
        <v>9.12681070116892</v>
      </c>
      <c r="L141" s="5">
        <v>0.6339430687481283</v>
      </c>
      <c r="M141" s="5">
        <v>-3.3817367586105096</v>
      </c>
      <c r="N141" s="5">
        <v>7.812234445023747</v>
      </c>
      <c r="O141" s="5">
        <v>4.166308482517045</v>
      </c>
      <c r="P141" s="5">
        <v>8288.0</v>
      </c>
      <c r="Q141" s="5">
        <v>4.0</v>
      </c>
      <c r="R141" s="5">
        <v>7273.0</v>
      </c>
      <c r="S141" s="5">
        <v>4.0</v>
      </c>
      <c r="T141" s="5">
        <v>381282.6</v>
      </c>
      <c r="U141" s="5">
        <v>4.0</v>
      </c>
      <c r="V141" s="5">
        <v>52.42439158531555</v>
      </c>
      <c r="W141" s="9" t="b">
        <v>1</v>
      </c>
      <c r="X141" s="9" t="b">
        <v>1</v>
      </c>
      <c r="Y141" s="5">
        <v>10.917746739363825</v>
      </c>
      <c r="Z141" s="5">
        <v>9.580691606587004</v>
      </c>
      <c r="AA141" s="5">
        <v>6824.0</v>
      </c>
      <c r="AB141" s="5">
        <v>9021.0</v>
      </c>
      <c r="AC141" s="5">
        <v>12.0</v>
      </c>
      <c r="AD141" s="5">
        <v>12.0</v>
      </c>
      <c r="AE141" s="9" t="b">
        <v>1</v>
      </c>
      <c r="AF141" s="9" t="b">
        <v>1</v>
      </c>
      <c r="AG141" s="5">
        <v>11.883324485497234</v>
      </c>
      <c r="AH141" s="5">
        <v>8.989225838491643</v>
      </c>
      <c r="AI141" s="5">
        <v>3095.0</v>
      </c>
      <c r="AJ141" s="5">
        <v>5898.0</v>
      </c>
      <c r="AK141" s="5">
        <v>6.0</v>
      </c>
      <c r="AL141" s="5">
        <v>6.0</v>
      </c>
      <c r="AM141" s="5">
        <v>21.608247422680414</v>
      </c>
      <c r="AN141" s="5">
        <v>26.68849774866966</v>
      </c>
    </row>
    <row r="142" ht="15.75" customHeight="1">
      <c r="A142" s="5">
        <v>7.0</v>
      </c>
      <c r="B142" s="5">
        <v>2013.0</v>
      </c>
      <c r="C142" s="5">
        <v>3997.8</v>
      </c>
      <c r="D142" s="5">
        <v>758940.0</v>
      </c>
      <c r="E142" s="5">
        <v>5975.683904498015</v>
      </c>
      <c r="F142" s="5">
        <v>5699.609927871317</v>
      </c>
      <c r="G142" s="5">
        <v>4.0</v>
      </c>
      <c r="H142" s="5">
        <v>4.0</v>
      </c>
      <c r="I142" s="5">
        <v>0.6690112904048986</v>
      </c>
      <c r="J142" s="5">
        <v>-9.393177865036206</v>
      </c>
      <c r="K142" s="5">
        <v>13.78906225250558</v>
      </c>
      <c r="L142" s="5">
        <v>0.7014164215783611</v>
      </c>
      <c r="M142" s="5">
        <v>-6.8172023111886855</v>
      </c>
      <c r="N142" s="5">
        <v>10.643440421783467</v>
      </c>
      <c r="O142" s="5">
        <v>3.10065324417097</v>
      </c>
      <c r="P142" s="5">
        <v>10450.0</v>
      </c>
      <c r="Q142" s="5">
        <v>4.0</v>
      </c>
      <c r="R142" s="5">
        <v>9721.0</v>
      </c>
      <c r="S142" s="5">
        <v>4.0</v>
      </c>
      <c r="T142" s="5">
        <v>506541.1</v>
      </c>
      <c r="U142" s="5">
        <v>4.0</v>
      </c>
      <c r="V142" s="5">
        <v>52.10792099578232</v>
      </c>
      <c r="W142" s="9" t="b">
        <v>1</v>
      </c>
      <c r="X142" s="9" t="b">
        <v>1</v>
      </c>
      <c r="Y142" s="5">
        <v>13.76920441668643</v>
      </c>
      <c r="Z142" s="5">
        <v>12.808654175560651</v>
      </c>
      <c r="AA142" s="5">
        <v>7019.0</v>
      </c>
      <c r="AB142" s="5">
        <v>8650.0</v>
      </c>
      <c r="AC142" s="5">
        <v>12.0</v>
      </c>
      <c r="AD142" s="5">
        <v>12.0</v>
      </c>
      <c r="AE142" s="9" t="b">
        <v>1</v>
      </c>
      <c r="AF142" s="9" t="b">
        <v>1</v>
      </c>
      <c r="AG142" s="5">
        <v>11.397475426252404</v>
      </c>
      <c r="AH142" s="5">
        <v>9.248425435475795</v>
      </c>
      <c r="AI142" s="5">
        <v>3904.0</v>
      </c>
      <c r="AJ142" s="5">
        <v>3720.0</v>
      </c>
      <c r="AK142" s="5">
        <v>6.0</v>
      </c>
      <c r="AL142" s="5">
        <v>6.0</v>
      </c>
      <c r="AM142" s="5">
        <v>-36.927772126144454</v>
      </c>
      <c r="AN142" s="5">
        <v>26.138933764135697</v>
      </c>
    </row>
    <row r="143" ht="15.75" customHeight="1">
      <c r="A143" s="5">
        <v>7.0</v>
      </c>
      <c r="B143" s="5">
        <v>2014.0</v>
      </c>
      <c r="C143" s="5">
        <v>4152.52</v>
      </c>
      <c r="D143" s="5">
        <v>759800.0</v>
      </c>
      <c r="E143" s="5">
        <v>5966.083661744582</v>
      </c>
      <c r="F143" s="5">
        <v>5848.692732830291</v>
      </c>
      <c r="G143" s="5">
        <v>4.0</v>
      </c>
      <c r="H143" s="5">
        <v>4.0</v>
      </c>
      <c r="I143" s="5">
        <v>0.6960210810697439</v>
      </c>
      <c r="J143" s="5">
        <v>-0.1606551301384429</v>
      </c>
      <c r="K143" s="5">
        <v>4.037269781874464</v>
      </c>
      <c r="L143" s="5">
        <v>0.709991136427938</v>
      </c>
      <c r="M143" s="5">
        <v>2.615666806073036</v>
      </c>
      <c r="N143" s="5">
        <v>1.2224856142206697</v>
      </c>
      <c r="O143" s="5">
        <v>3.8701285707138933</v>
      </c>
      <c r="P143" s="5">
        <v>11478.0</v>
      </c>
      <c r="Q143" s="5">
        <v>4.0</v>
      </c>
      <c r="R143" s="5">
        <v>10883.0</v>
      </c>
      <c r="S143" s="5">
        <v>4.0</v>
      </c>
      <c r="T143" s="5">
        <v>561032.0</v>
      </c>
      <c r="U143" s="5">
        <v>4.0</v>
      </c>
      <c r="V143" s="5">
        <v>51.5512266838188</v>
      </c>
      <c r="W143" s="9" t="b">
        <v>1</v>
      </c>
      <c r="X143" s="9" t="b">
        <v>1</v>
      </c>
      <c r="Y143" s="5">
        <v>15.10660700184259</v>
      </c>
      <c r="Z143" s="5">
        <v>14.32350618583838</v>
      </c>
      <c r="AA143" s="5">
        <v>7346.0</v>
      </c>
      <c r="AB143" s="5">
        <v>9266.0</v>
      </c>
      <c r="AC143" s="5">
        <v>12.0</v>
      </c>
      <c r="AD143" s="5">
        <v>12.0</v>
      </c>
      <c r="AE143" s="9" t="b">
        <v>1</v>
      </c>
      <c r="AF143" s="9" t="b">
        <v>1</v>
      </c>
      <c r="AG143" s="5">
        <v>12.195314556462227</v>
      </c>
      <c r="AH143" s="5">
        <v>9.668333772045274</v>
      </c>
      <c r="AI143" s="5">
        <v>3356.0</v>
      </c>
      <c r="AJ143" s="5">
        <v>3222.0</v>
      </c>
      <c r="AK143" s="5">
        <v>6.0</v>
      </c>
      <c r="AL143" s="5">
        <v>6.0</v>
      </c>
      <c r="AM143" s="5">
        <v>-13.387096774193552</v>
      </c>
      <c r="AN143" s="5">
        <v>-14.036885245901642</v>
      </c>
    </row>
    <row r="144" ht="15.75" customHeight="1">
      <c r="A144" s="5">
        <v>7.0</v>
      </c>
      <c r="B144" s="5">
        <v>2015.0</v>
      </c>
      <c r="C144" s="5">
        <v>4431.17</v>
      </c>
      <c r="D144" s="5">
        <v>762508.0</v>
      </c>
      <c r="E144" s="5">
        <v>6106.362012016274</v>
      </c>
      <c r="F144" s="5">
        <v>5951.476319661884</v>
      </c>
      <c r="G144" s="5">
        <v>4.0</v>
      </c>
      <c r="H144" s="5">
        <v>4.0</v>
      </c>
      <c r="I144" s="5">
        <v>0.7256644776841296</v>
      </c>
      <c r="J144" s="5">
        <v>2.351263546154714</v>
      </c>
      <c r="K144" s="5">
        <v>4.258979709181432</v>
      </c>
      <c r="L144" s="5">
        <v>0.7445497153976316</v>
      </c>
      <c r="M144" s="5">
        <v>1.7573771016323292</v>
      </c>
      <c r="N144" s="5">
        <v>4.8674662536722035</v>
      </c>
      <c r="O144" s="5">
        <v>6.710383092676242</v>
      </c>
      <c r="P144" s="5">
        <v>11404.0</v>
      </c>
      <c r="Q144" s="5">
        <v>4.0</v>
      </c>
      <c r="R144" s="5">
        <v>11090.0</v>
      </c>
      <c r="S144" s="5">
        <v>4.0</v>
      </c>
      <c r="T144" s="5">
        <v>565853.0</v>
      </c>
      <c r="U144" s="5">
        <v>4.0</v>
      </c>
      <c r="V144" s="5">
        <v>51.02371505861136</v>
      </c>
      <c r="W144" s="9" t="b">
        <v>1</v>
      </c>
      <c r="X144" s="9" t="b">
        <v>1</v>
      </c>
      <c r="Y144" s="5">
        <v>14.955908659318984</v>
      </c>
      <c r="Z144" s="5">
        <v>14.54410970114412</v>
      </c>
      <c r="AA144" s="5">
        <v>6455.0</v>
      </c>
      <c r="AB144" s="5">
        <v>10942.0</v>
      </c>
      <c r="AC144" s="5">
        <v>12.0</v>
      </c>
      <c r="AD144" s="5">
        <v>12.0</v>
      </c>
      <c r="AE144" s="9" t="b">
        <v>1</v>
      </c>
      <c r="AF144" s="9" t="b">
        <v>1</v>
      </c>
      <c r="AG144" s="5">
        <v>14.350013376908832</v>
      </c>
      <c r="AH144" s="5">
        <v>8.465484952289026</v>
      </c>
      <c r="AI144" s="5">
        <v>3256.0</v>
      </c>
      <c r="AJ144" s="5">
        <v>6291.0</v>
      </c>
      <c r="AK144" s="5">
        <v>6.0</v>
      </c>
      <c r="AL144" s="5">
        <v>6.0</v>
      </c>
      <c r="AM144" s="5">
        <v>95.25139664804469</v>
      </c>
      <c r="AN144" s="5">
        <v>-2.979737783075087</v>
      </c>
    </row>
    <row r="145" ht="15.75" customHeight="1">
      <c r="A145" s="5">
        <v>7.0</v>
      </c>
      <c r="B145" s="5">
        <v>2016.0</v>
      </c>
      <c r="C145" s="5">
        <v>4635.26</v>
      </c>
      <c r="D145" s="5">
        <v>762448.0</v>
      </c>
      <c r="E145" s="5">
        <v>6332.7872823092775</v>
      </c>
      <c r="F145" s="5">
        <v>6007.006963671351</v>
      </c>
      <c r="G145" s="5">
        <v>4.0</v>
      </c>
      <c r="H145" s="5">
        <v>4.0</v>
      </c>
      <c r="I145" s="5">
        <v>0.7319462652643739</v>
      </c>
      <c r="J145" s="5">
        <v>3.7080223846446936</v>
      </c>
      <c r="K145" s="5">
        <v>0.8656600637655387</v>
      </c>
      <c r="L145" s="5">
        <v>0.7716421885362742</v>
      </c>
      <c r="M145" s="5">
        <v>0.9330566237155224</v>
      </c>
      <c r="N145" s="5">
        <v>3.63877288223442</v>
      </c>
      <c r="O145" s="5">
        <v>4.605781317349589</v>
      </c>
      <c r="P145" s="5">
        <v>10850.0</v>
      </c>
      <c r="Q145" s="5">
        <v>4.0</v>
      </c>
      <c r="R145" s="5">
        <v>10960.0</v>
      </c>
      <c r="S145" s="5">
        <v>4.0</v>
      </c>
      <c r="T145" s="5">
        <v>566098.4</v>
      </c>
      <c r="U145" s="5">
        <v>4.0</v>
      </c>
      <c r="V145" s="5">
        <v>51.651313868613144</v>
      </c>
      <c r="W145" s="9" t="b">
        <v>1</v>
      </c>
      <c r="X145" s="9" t="b">
        <v>1</v>
      </c>
      <c r="Y145" s="5">
        <v>14.23047866870921</v>
      </c>
      <c r="Z145" s="5">
        <v>14.37475080267769</v>
      </c>
      <c r="AA145" s="5">
        <v>9363.0</v>
      </c>
      <c r="AB145" s="5">
        <v>8054.0</v>
      </c>
      <c r="AC145" s="5">
        <v>12.0</v>
      </c>
      <c r="AD145" s="5">
        <v>12.0</v>
      </c>
      <c r="AE145" s="9" t="b">
        <v>1</v>
      </c>
      <c r="AF145" s="9" t="b">
        <v>1</v>
      </c>
      <c r="AG145" s="5">
        <v>10.563343336201289</v>
      </c>
      <c r="AH145" s="5">
        <v>12.280181730426207</v>
      </c>
      <c r="AI145" s="5">
        <v>4431.0</v>
      </c>
      <c r="AJ145" s="5">
        <v>5257.0</v>
      </c>
      <c r="AK145" s="5">
        <v>6.0</v>
      </c>
      <c r="AL145" s="5">
        <v>6.0</v>
      </c>
      <c r="AM145" s="5">
        <v>-16.43617866793833</v>
      </c>
      <c r="AN145" s="5">
        <v>36.08722358722358</v>
      </c>
    </row>
    <row r="146" ht="15.75" customHeight="1">
      <c r="A146" s="5">
        <v>7.0</v>
      </c>
      <c r="B146" s="5">
        <v>2017.0</v>
      </c>
      <c r="C146" s="5">
        <v>4966.2</v>
      </c>
      <c r="D146" s="5">
        <v>766739.0</v>
      </c>
      <c r="E146" s="5">
        <v>6630.401811255997</v>
      </c>
      <c r="F146" s="5">
        <v>6356.287577589125</v>
      </c>
      <c r="G146" s="5">
        <v>4.0</v>
      </c>
      <c r="H146" s="5">
        <v>4.0</v>
      </c>
      <c r="I146" s="5">
        <v>0.7490043803332113</v>
      </c>
      <c r="J146" s="5">
        <v>4.699581964139377</v>
      </c>
      <c r="K146" s="5">
        <v>2.3305146673131993</v>
      </c>
      <c r="L146" s="5">
        <v>0.7813051155063737</v>
      </c>
      <c r="M146" s="5">
        <v>5.814553171489956</v>
      </c>
      <c r="N146" s="5">
        <v>1.252254881038728</v>
      </c>
      <c r="O146" s="5">
        <v>7.139621078429248</v>
      </c>
      <c r="P146" s="5">
        <v>10545.0</v>
      </c>
      <c r="Q146" s="5">
        <v>4.0</v>
      </c>
      <c r="R146" s="5">
        <v>10502.0</v>
      </c>
      <c r="S146" s="5">
        <v>4.0</v>
      </c>
      <c r="T146" s="5">
        <v>530693.5</v>
      </c>
      <c r="U146" s="5">
        <v>4.0</v>
      </c>
      <c r="V146" s="5">
        <v>50.532612835650355</v>
      </c>
      <c r="W146" s="9" t="b">
        <v>1</v>
      </c>
      <c r="X146" s="9" t="b">
        <v>1</v>
      </c>
      <c r="Y146" s="5">
        <v>13.753050255693267</v>
      </c>
      <c r="Z146" s="5">
        <v>13.696968590354736</v>
      </c>
      <c r="AA146" s="5">
        <v>11044.0</v>
      </c>
      <c r="AB146" s="5">
        <v>10582.0</v>
      </c>
      <c r="AC146" s="5">
        <v>12.0</v>
      </c>
      <c r="AD146" s="5">
        <v>12.0</v>
      </c>
      <c r="AE146" s="9" t="b">
        <v>1</v>
      </c>
      <c r="AF146" s="9" t="b">
        <v>1</v>
      </c>
      <c r="AG146" s="5">
        <v>13.80130657237991</v>
      </c>
      <c r="AH146" s="5">
        <v>14.403858418575291</v>
      </c>
      <c r="AI146" s="5">
        <v>5257.0</v>
      </c>
      <c r="AJ146" s="5">
        <v>4706.0</v>
      </c>
      <c r="AK146" s="5">
        <v>6.0</v>
      </c>
      <c r="AL146" s="5">
        <v>6.0</v>
      </c>
      <c r="AM146" s="5">
        <v>-10.481263077801028</v>
      </c>
      <c r="AN146" s="5">
        <v>18.641390205371255</v>
      </c>
    </row>
    <row r="147" ht="15.75" customHeight="1">
      <c r="A147" s="5">
        <v>7.0</v>
      </c>
      <c r="B147" s="5">
        <v>2018.0</v>
      </c>
      <c r="C147" s="5">
        <v>5368.39</v>
      </c>
      <c r="D147" s="5">
        <v>769498.0</v>
      </c>
      <c r="E147" s="5">
        <v>6929.388502803448</v>
      </c>
      <c r="F147" s="5">
        <v>6802.278841172776</v>
      </c>
      <c r="G147" s="5">
        <v>4.0</v>
      </c>
      <c r="H147" s="5">
        <v>4.0</v>
      </c>
      <c r="I147" s="5">
        <v>0.7747278129705227</v>
      </c>
      <c r="J147" s="5">
        <v>4.509329902750103</v>
      </c>
      <c r="K147" s="5">
        <v>3.4343500936360183</v>
      </c>
      <c r="L147" s="5">
        <v>0.7892046364677459</v>
      </c>
      <c r="M147" s="5">
        <v>7.016536903649828</v>
      </c>
      <c r="N147" s="5">
        <v>1.0110673544294402</v>
      </c>
      <c r="O147" s="5">
        <v>8.098546172123555</v>
      </c>
      <c r="P147" s="5">
        <v>11443.0</v>
      </c>
      <c r="Q147" s="5">
        <v>4.0</v>
      </c>
      <c r="R147" s="5">
        <v>11585.0</v>
      </c>
      <c r="S147" s="5">
        <v>4.0</v>
      </c>
      <c r="T147" s="5">
        <v>581920.6</v>
      </c>
      <c r="U147" s="5">
        <v>4.0</v>
      </c>
      <c r="V147" s="5">
        <v>50.230522227017694</v>
      </c>
      <c r="W147" s="9" t="b">
        <v>1</v>
      </c>
      <c r="X147" s="9" t="b">
        <v>1</v>
      </c>
      <c r="Y147" s="5">
        <v>14.870733907040695</v>
      </c>
      <c r="Z147" s="5">
        <v>15.055269799271734</v>
      </c>
      <c r="AA147" s="5">
        <v>9606.0</v>
      </c>
      <c r="AB147" s="5">
        <v>10070.0</v>
      </c>
      <c r="AC147" s="5">
        <v>12.0</v>
      </c>
      <c r="AD147" s="5">
        <v>12.0</v>
      </c>
      <c r="AE147" s="9" t="b">
        <v>1</v>
      </c>
      <c r="AF147" s="9" t="b">
        <v>1</v>
      </c>
      <c r="AG147" s="5">
        <v>13.086453765961705</v>
      </c>
      <c r="AH147" s="5">
        <v>12.483463244868734</v>
      </c>
      <c r="AI147" s="5">
        <v>4506.0</v>
      </c>
      <c r="AJ147" s="5">
        <v>5039.0</v>
      </c>
      <c r="AK147" s="5">
        <v>6.0</v>
      </c>
      <c r="AL147" s="5">
        <v>6.0</v>
      </c>
      <c r="AM147" s="5">
        <v>7.076073098172553</v>
      </c>
      <c r="AN147" s="5">
        <v>-14.28571428571429</v>
      </c>
    </row>
    <row r="148" ht="15.75" customHeight="1">
      <c r="A148" s="5">
        <v>7.0</v>
      </c>
      <c r="B148" s="5">
        <v>2019.0</v>
      </c>
      <c r="C148" s="5">
        <v>5878.79</v>
      </c>
      <c r="D148" s="5">
        <v>774839.0</v>
      </c>
      <c r="E148" s="5">
        <v>7797.651644141692</v>
      </c>
      <c r="F148" s="5">
        <v>7689.7833525106</v>
      </c>
      <c r="G148" s="5">
        <v>4.0</v>
      </c>
      <c r="H148" s="5">
        <v>4.0</v>
      </c>
      <c r="I148" s="5">
        <v>0.7539180086887678</v>
      </c>
      <c r="J148" s="5">
        <v>12.53015530861008</v>
      </c>
      <c r="K148" s="5">
        <v>-2.6860794118084286</v>
      </c>
      <c r="L148" s="5">
        <v>0.7644935794037243</v>
      </c>
      <c r="M148" s="5">
        <v>13.047164517366493</v>
      </c>
      <c r="N148" s="5">
        <v>-3.131134299289118</v>
      </c>
      <c r="O148" s="5">
        <v>9.507505974789465</v>
      </c>
      <c r="P148" s="5">
        <v>12971.0</v>
      </c>
      <c r="Q148" s="5">
        <v>4.0</v>
      </c>
      <c r="R148" s="5">
        <v>13163.0</v>
      </c>
      <c r="S148" s="5">
        <v>4.0</v>
      </c>
      <c r="T148" s="5">
        <v>671224.9</v>
      </c>
      <c r="U148" s="5">
        <v>4.0</v>
      </c>
      <c r="V148" s="5">
        <v>50.99330699688521</v>
      </c>
      <c r="W148" s="9" t="b">
        <v>1</v>
      </c>
      <c r="X148" s="9" t="b">
        <v>1</v>
      </c>
      <c r="Y148" s="5">
        <v>16.740251845867334</v>
      </c>
      <c r="Z148" s="5">
        <v>16.988045258434333</v>
      </c>
      <c r="AA148" s="5">
        <v>13039.0</v>
      </c>
      <c r="AB148" s="5">
        <v>10240.0</v>
      </c>
      <c r="AC148" s="5">
        <v>12.0</v>
      </c>
      <c r="AD148" s="5">
        <v>12.0</v>
      </c>
      <c r="AE148" s="9" t="b">
        <v>1</v>
      </c>
      <c r="AF148" s="9" t="b">
        <v>1</v>
      </c>
      <c r="AG148" s="5">
        <v>13.215648670239883</v>
      </c>
      <c r="AH148" s="5">
        <v>16.828012012818146</v>
      </c>
      <c r="AI148" s="5">
        <v>7030.0</v>
      </c>
      <c r="AJ148" s="5">
        <v>3763.0</v>
      </c>
      <c r="AK148" s="5">
        <v>6.0</v>
      </c>
      <c r="AL148" s="5">
        <v>6.0</v>
      </c>
      <c r="AM148" s="5">
        <v>-25.322484619964282</v>
      </c>
      <c r="AN148" s="5">
        <v>56.01420328450955</v>
      </c>
    </row>
    <row r="149" ht="15.75" customHeight="1">
      <c r="A149" s="5">
        <v>7.0</v>
      </c>
      <c r="B149" s="5">
        <v>2020.0</v>
      </c>
      <c r="C149" s="5">
        <v>6482.24</v>
      </c>
      <c r="D149" s="5">
        <v>801546.0</v>
      </c>
      <c r="E149" s="5">
        <v>8645.440172709374</v>
      </c>
      <c r="F149" s="5">
        <v>8669.186304451767</v>
      </c>
      <c r="G149" s="5">
        <v>4.0</v>
      </c>
      <c r="H149" s="5">
        <v>4.0</v>
      </c>
      <c r="I149" s="5">
        <v>0.7497871560620084</v>
      </c>
      <c r="J149" s="5">
        <v>10.87235705386529</v>
      </c>
      <c r="K149" s="5">
        <v>-0.5479180201496847</v>
      </c>
      <c r="L149" s="5">
        <v>0.7477333826210731</v>
      </c>
      <c r="M149" s="5">
        <v>12.736418011326766</v>
      </c>
      <c r="N149" s="5">
        <v>-2.1923266897445393</v>
      </c>
      <c r="O149" s="5">
        <v>10.264867430202473</v>
      </c>
      <c r="P149" s="5">
        <v>11464.0</v>
      </c>
      <c r="Q149" s="5">
        <v>4.0</v>
      </c>
      <c r="R149" s="5">
        <v>11576.0</v>
      </c>
      <c r="S149" s="5">
        <v>4.0</v>
      </c>
      <c r="T149" s="5">
        <v>598411.2000000001</v>
      </c>
      <c r="U149" s="5">
        <v>4.0</v>
      </c>
      <c r="V149" s="5">
        <v>51.69412577747063</v>
      </c>
      <c r="W149" s="9" t="b">
        <v>1</v>
      </c>
      <c r="X149" s="9" t="b">
        <v>1</v>
      </c>
      <c r="Y149" s="5">
        <v>14.302360687970497</v>
      </c>
      <c r="Z149" s="5">
        <v>14.442090659799936</v>
      </c>
      <c r="AA149" s="5">
        <v>10158.0</v>
      </c>
      <c r="AB149" s="5">
        <v>9010.0</v>
      </c>
      <c r="AC149" s="5">
        <v>12.0</v>
      </c>
      <c r="AD149" s="5">
        <v>12.0</v>
      </c>
      <c r="AE149" s="9" t="b">
        <v>1</v>
      </c>
      <c r="AF149" s="9" t="b">
        <v>1</v>
      </c>
      <c r="AG149" s="5">
        <v>11.240777198064741</v>
      </c>
      <c r="AH149" s="5">
        <v>12.673009409316496</v>
      </c>
      <c r="AI149" s="5">
        <v>5047.0</v>
      </c>
      <c r="AJ149" s="5">
        <v>3428.0</v>
      </c>
      <c r="AK149" s="5">
        <v>6.0</v>
      </c>
      <c r="AL149" s="5">
        <v>6.0</v>
      </c>
      <c r="AM149" s="5">
        <v>-8.902471432367786</v>
      </c>
      <c r="AN149" s="5">
        <v>-28.2076813655761</v>
      </c>
    </row>
    <row r="150" ht="15.75" customHeight="1">
      <c r="A150" s="5">
        <v>7.0</v>
      </c>
      <c r="B150" s="5">
        <v>2021.0</v>
      </c>
      <c r="C150" s="5">
        <v>7203.41</v>
      </c>
      <c r="D150" s="5">
        <v>801242.0</v>
      </c>
      <c r="E150" s="5">
        <v>9569.5199567809</v>
      </c>
      <c r="F150" s="5">
        <v>9611.30193021869</v>
      </c>
      <c r="G150" s="5">
        <v>4.0</v>
      </c>
      <c r="H150" s="5">
        <v>4.0</v>
      </c>
      <c r="I150" s="5">
        <v>0.7527451776612588</v>
      </c>
      <c r="J150" s="5">
        <v>10.688637774494381</v>
      </c>
      <c r="K150" s="5">
        <v>0.39451484002290815</v>
      </c>
      <c r="L150" s="5">
        <v>0.7494728656220768</v>
      </c>
      <c r="M150" s="5">
        <v>10.867405459761903</v>
      </c>
      <c r="N150" s="5">
        <v>0.23263412353025092</v>
      </c>
      <c r="O150" s="5">
        <v>11.12532087673397</v>
      </c>
      <c r="P150" s="5">
        <v>15409.0</v>
      </c>
      <c r="Q150" s="5">
        <v>4.0</v>
      </c>
      <c r="R150" s="5">
        <v>15566.0</v>
      </c>
      <c r="S150" s="5">
        <v>4.0</v>
      </c>
      <c r="T150" s="5">
        <v>814785.7999999999</v>
      </c>
      <c r="U150" s="5">
        <v>4.0</v>
      </c>
      <c r="V150" s="5">
        <v>52.34394192470769</v>
      </c>
      <c r="W150" s="9" t="b">
        <v>1</v>
      </c>
      <c r="X150" s="9" t="b">
        <v>1</v>
      </c>
      <c r="Y150" s="5">
        <v>19.231393261960807</v>
      </c>
      <c r="Z150" s="5">
        <v>19.427339056115382</v>
      </c>
      <c r="AA150" s="5">
        <v>10101.0</v>
      </c>
      <c r="AB150" s="5">
        <v>10805.0</v>
      </c>
      <c r="AC150" s="5">
        <v>12.0</v>
      </c>
      <c r="AD150" s="5">
        <v>12.0</v>
      </c>
      <c r="AE150" s="9" t="b">
        <v>1</v>
      </c>
      <c r="AF150" s="9" t="b">
        <v>1</v>
      </c>
      <c r="AG150" s="5">
        <v>13.485314049937472</v>
      </c>
      <c r="AH150" s="5">
        <v>12.60667813219976</v>
      </c>
      <c r="AI150" s="5">
        <v>4117.0</v>
      </c>
      <c r="AJ150" s="5">
        <v>5323.0</v>
      </c>
      <c r="AK150" s="5">
        <v>6.0</v>
      </c>
      <c r="AL150" s="5">
        <v>6.0</v>
      </c>
      <c r="AM150" s="5">
        <v>55.28004667444575</v>
      </c>
      <c r="AN150" s="5">
        <v>-18.42678819100456</v>
      </c>
    </row>
    <row r="151" ht="15.75" customHeight="1">
      <c r="A151" s="5">
        <v>7.0</v>
      </c>
      <c r="B151" s="5">
        <v>2022.0</v>
      </c>
      <c r="C151" s="5">
        <v>8157.43</v>
      </c>
      <c r="D151" s="5">
        <v>802781.0</v>
      </c>
      <c r="E151" s="5">
        <v>11350.877168746625</v>
      </c>
      <c r="F151" s="5">
        <v>10877.700273580933</v>
      </c>
      <c r="G151" s="5">
        <v>4.0</v>
      </c>
      <c r="H151" s="5">
        <v>4.0</v>
      </c>
      <c r="I151" s="5">
        <v>0.7186607588760254</v>
      </c>
      <c r="J151" s="5">
        <v>18.614906703898626</v>
      </c>
      <c r="K151" s="5">
        <v>-4.528015561804322</v>
      </c>
      <c r="L151" s="5">
        <v>0.7499222992760931</v>
      </c>
      <c r="M151" s="5">
        <v>13.17613734909926</v>
      </c>
      <c r="N151" s="5">
        <v>0.059966634501607</v>
      </c>
      <c r="O151" s="5">
        <v>13.244005269726422</v>
      </c>
      <c r="P151" s="5">
        <v>15553.0</v>
      </c>
      <c r="Q151" s="5">
        <v>4.0</v>
      </c>
      <c r="R151" s="5">
        <v>15950.0</v>
      </c>
      <c r="S151" s="5">
        <v>4.0</v>
      </c>
      <c r="T151" s="5">
        <v>826776.8</v>
      </c>
      <c r="U151" s="5">
        <v>4.0</v>
      </c>
      <c r="V151" s="5">
        <v>51.83553605015674</v>
      </c>
      <c r="W151" s="9" t="b">
        <v>1</v>
      </c>
      <c r="X151" s="9" t="b">
        <v>1</v>
      </c>
      <c r="Y151" s="5">
        <v>19.373901474997542</v>
      </c>
      <c r="Z151" s="5">
        <v>19.86843236200159</v>
      </c>
      <c r="AA151" s="5">
        <v>10766.0</v>
      </c>
      <c r="AB151" s="5">
        <v>5326.0</v>
      </c>
      <c r="AC151" s="5">
        <v>12.0</v>
      </c>
      <c r="AD151" s="5">
        <v>12.0</v>
      </c>
      <c r="AE151" s="9" t="b">
        <v>1</v>
      </c>
      <c r="AF151" s="9" t="b">
        <v>1</v>
      </c>
      <c r="AG151" s="5">
        <v>6.634437038245798</v>
      </c>
      <c r="AH151" s="5">
        <v>13.410880426915933</v>
      </c>
      <c r="AI151" s="5">
        <v>4941.0</v>
      </c>
      <c r="AJ151" s="5">
        <v>3847.0</v>
      </c>
      <c r="AK151" s="5">
        <v>6.0</v>
      </c>
      <c r="AL151" s="5">
        <v>6.0</v>
      </c>
      <c r="AM151" s="5">
        <v>-27.728724403531846</v>
      </c>
      <c r="AN151" s="5">
        <v>20.014573718727235</v>
      </c>
    </row>
    <row r="152" ht="15.75" customHeight="1">
      <c r="A152" s="5">
        <v>7.0</v>
      </c>
      <c r="B152" s="5">
        <v>2023.0</v>
      </c>
      <c r="C152" s="5">
        <v>9223.73</v>
      </c>
      <c r="D152" s="5">
        <v>804237.0</v>
      </c>
      <c r="E152" s="5">
        <v>12193.540222542713</v>
      </c>
      <c r="F152" s="5">
        <v>11778.110927157315</v>
      </c>
      <c r="G152" s="5">
        <v>4.0</v>
      </c>
      <c r="H152" s="5">
        <v>4.0</v>
      </c>
      <c r="I152" s="5">
        <v>0.7564439721080921</v>
      </c>
      <c r="J152" s="5">
        <v>7.423770350685022</v>
      </c>
      <c r="K152" s="5">
        <v>5.25744765738414</v>
      </c>
      <c r="L152" s="5">
        <v>0.78312473511626</v>
      </c>
      <c r="M152" s="5">
        <v>8.27758286154696</v>
      </c>
      <c r="N152" s="5">
        <v>4.42745013346284</v>
      </c>
      <c r="O152" s="5">
        <v>13.071518848460851</v>
      </c>
      <c r="Q152" s="5">
        <v>3.0</v>
      </c>
      <c r="R152" s="5">
        <v>16472.0</v>
      </c>
      <c r="S152" s="5">
        <v>4.0</v>
      </c>
      <c r="T152" s="5">
        <v>855742.9</v>
      </c>
      <c r="U152" s="5">
        <v>4.0</v>
      </c>
      <c r="V152" s="5">
        <v>51.95136595434677</v>
      </c>
      <c r="W152" s="9" t="b">
        <v>0</v>
      </c>
      <c r="X152" s="9" t="b">
        <v>1</v>
      </c>
      <c r="Z152" s="5">
        <v>20.48152472467693</v>
      </c>
      <c r="AA152" s="5">
        <v>9635.0</v>
      </c>
      <c r="AB152" s="5">
        <v>5708.0</v>
      </c>
      <c r="AC152" s="5">
        <v>12.0</v>
      </c>
      <c r="AD152" s="5">
        <v>12.0</v>
      </c>
      <c r="AE152" s="9" t="b">
        <v>1</v>
      </c>
      <c r="AF152" s="9" t="b">
        <v>1</v>
      </c>
      <c r="AG152" s="5">
        <v>7.097410340484211</v>
      </c>
      <c r="AH152" s="5">
        <v>11.980299339622524</v>
      </c>
      <c r="AI152" s="5">
        <v>4262.0</v>
      </c>
      <c r="AJ152" s="5">
        <v>2444.0</v>
      </c>
      <c r="AK152" s="5">
        <v>6.0</v>
      </c>
      <c r="AL152" s="5">
        <v>6.0</v>
      </c>
      <c r="AM152" s="5">
        <v>-36.46997660514687</v>
      </c>
      <c r="AN152" s="5">
        <v>-13.742157458004456</v>
      </c>
    </row>
    <row r="153" ht="15.75" customHeight="1">
      <c r="A153" s="5">
        <v>7.0</v>
      </c>
      <c r="B153" s="5">
        <v>2024.0</v>
      </c>
      <c r="C153" s="5">
        <v>10455.44</v>
      </c>
      <c r="D153" s="5">
        <v>807644.0</v>
      </c>
      <c r="E153" s="5">
        <v>15405.061146520029</v>
      </c>
      <c r="F153" s="5">
        <v>14704.32152993983</v>
      </c>
      <c r="G153" s="5">
        <v>4.0</v>
      </c>
      <c r="H153" s="5">
        <v>4.0</v>
      </c>
      <c r="I153" s="5">
        <v>0.6787016228339907</v>
      </c>
      <c r="J153" s="5">
        <v>26.33788764677252</v>
      </c>
      <c r="K153" s="5">
        <v>-10.277344012332534</v>
      </c>
      <c r="L153" s="5">
        <v>0.7110453874877138</v>
      </c>
      <c r="M153" s="5">
        <v>24.844481605580924</v>
      </c>
      <c r="N153" s="5">
        <v>-9.204069849466002</v>
      </c>
      <c r="O153" s="5">
        <v>13.353708315399526</v>
      </c>
      <c r="P153" s="5">
        <v>14770.0</v>
      </c>
      <c r="Q153" s="5">
        <v>4.0</v>
      </c>
      <c r="R153" s="5">
        <v>15120.0</v>
      </c>
      <c r="S153" s="5">
        <v>4.0</v>
      </c>
      <c r="T153" s="5">
        <v>789750.8</v>
      </c>
      <c r="U153" s="5">
        <v>4.0</v>
      </c>
      <c r="V153" s="5">
        <v>52.23219576719577</v>
      </c>
      <c r="W153" s="9" t="b">
        <v>1</v>
      </c>
      <c r="X153" s="9" t="b">
        <v>1</v>
      </c>
      <c r="Y153" s="5">
        <v>18.28776044891066</v>
      </c>
      <c r="Z153" s="5">
        <v>18.721119701254516</v>
      </c>
      <c r="AA153" s="5">
        <v>8653.0</v>
      </c>
      <c r="AB153" s="5">
        <v>6716.0</v>
      </c>
      <c r="AC153" s="5">
        <v>12.0</v>
      </c>
      <c r="AD153" s="5">
        <v>12.0</v>
      </c>
      <c r="AE153" s="9" t="b">
        <v>1</v>
      </c>
      <c r="AF153" s="9" t="b">
        <v>1</v>
      </c>
      <c r="AG153" s="5">
        <v>8.315544967832363</v>
      </c>
      <c r="AH153" s="5">
        <v>10.713878887232493</v>
      </c>
      <c r="AI153" s="5">
        <v>3954.0</v>
      </c>
      <c r="AJ153" s="5">
        <v>3382.0</v>
      </c>
      <c r="AK153" s="5">
        <v>6.0</v>
      </c>
      <c r="AL153" s="5">
        <v>6.0</v>
      </c>
      <c r="AM153" s="5">
        <v>38.37970540098199</v>
      </c>
      <c r="AN153" s="5">
        <v>-7.226654152979817</v>
      </c>
    </row>
    <row r="154" ht="15.75" customHeight="1">
      <c r="A154" s="5">
        <v>7.0</v>
      </c>
      <c r="B154" s="5">
        <v>2025.0</v>
      </c>
      <c r="C154" s="5">
        <v>11419.23</v>
      </c>
      <c r="D154" s="5">
        <v>810590.0</v>
      </c>
      <c r="E154" s="5">
        <v>15644.821075091553</v>
      </c>
      <c r="F154" s="5">
        <v>14999.031413066234</v>
      </c>
      <c r="G154" s="5">
        <v>4.0</v>
      </c>
      <c r="H154" s="5">
        <v>4.0</v>
      </c>
      <c r="I154" s="5">
        <v>0.7299048001373947</v>
      </c>
      <c r="J154" s="5">
        <v>1.5563711580962147</v>
      </c>
      <c r="K154" s="5">
        <v>7.544283906320959</v>
      </c>
      <c r="L154" s="5">
        <v>0.761331161027656</v>
      </c>
      <c r="M154" s="5">
        <v>2.004239927196494</v>
      </c>
      <c r="N154" s="5">
        <v>7.072090533856534</v>
      </c>
      <c r="O154" s="5">
        <v>9.218072123220056</v>
      </c>
      <c r="AA154" s="5">
        <v>7946.0</v>
      </c>
      <c r="AB154" s="5">
        <v>7962.0</v>
      </c>
      <c r="AC154" s="5">
        <v>12.0</v>
      </c>
      <c r="AD154" s="5">
        <v>12.0</v>
      </c>
      <c r="AE154" s="9" t="b">
        <v>1</v>
      </c>
      <c r="AF154" s="9" t="b">
        <v>1</v>
      </c>
      <c r="AG154" s="5">
        <v>9.82247498735489</v>
      </c>
      <c r="AH154" s="5">
        <v>9.802736278513182</v>
      </c>
      <c r="AI154" s="5">
        <v>2731.0</v>
      </c>
      <c r="AJ154" s="5">
        <v>5413.0</v>
      </c>
      <c r="AK154" s="5">
        <v>6.0</v>
      </c>
      <c r="AL154" s="5">
        <v>6.0</v>
      </c>
      <c r="AM154" s="5">
        <v>60.05322294500295</v>
      </c>
      <c r="AN154" s="5">
        <v>-30.930703085483056</v>
      </c>
    </row>
    <row r="155" ht="15.75" customHeight="1">
      <c r="A155" s="5">
        <v>7.0</v>
      </c>
      <c r="B155" s="5">
        <v>2026.0</v>
      </c>
      <c r="AI155" s="5">
        <v>4501.0</v>
      </c>
      <c r="AJ155" s="5">
        <v>3573.0</v>
      </c>
      <c r="AK155" s="5">
        <v>6.0</v>
      </c>
      <c r="AL155" s="5">
        <v>6.0</v>
      </c>
      <c r="AM155" s="5">
        <v>-33.99224090153334</v>
      </c>
      <c r="AN155" s="5">
        <v>64.81142438667156</v>
      </c>
    </row>
    <row r="156" ht="15.75" customHeight="1">
      <c r="A156" s="5">
        <v>8.0</v>
      </c>
      <c r="B156" s="5">
        <v>2005.0</v>
      </c>
      <c r="C156" s="5">
        <v>2419.23</v>
      </c>
      <c r="D156" s="5">
        <v>355544.0</v>
      </c>
      <c r="AA156" s="5">
        <v>1661.0</v>
      </c>
      <c r="AB156" s="5">
        <v>1331.0</v>
      </c>
      <c r="AC156" s="5">
        <v>12.0</v>
      </c>
      <c r="AD156" s="5">
        <v>12.0</v>
      </c>
      <c r="AE156" s="9" t="b">
        <v>1</v>
      </c>
      <c r="AF156" s="9" t="b">
        <v>1</v>
      </c>
      <c r="AG156" s="5">
        <v>3.743559165672884</v>
      </c>
      <c r="AH156" s="5">
        <v>4.671714330715749</v>
      </c>
      <c r="AI156" s="5">
        <v>666.0</v>
      </c>
      <c r="AJ156" s="5">
        <v>615.0</v>
      </c>
      <c r="AK156" s="5">
        <v>6.0</v>
      </c>
      <c r="AL156" s="5">
        <v>6.0</v>
      </c>
    </row>
    <row r="157" ht="15.75" customHeight="1">
      <c r="A157" s="5">
        <v>8.0</v>
      </c>
      <c r="B157" s="5">
        <v>2006.0</v>
      </c>
      <c r="C157" s="5">
        <v>2545.84</v>
      </c>
      <c r="D157" s="5">
        <v>354272.0</v>
      </c>
      <c r="AA157" s="5">
        <v>1404.0</v>
      </c>
      <c r="AB157" s="5">
        <v>1658.0</v>
      </c>
      <c r="AC157" s="5">
        <v>12.0</v>
      </c>
      <c r="AD157" s="5">
        <v>12.0</v>
      </c>
      <c r="AE157" s="9" t="b">
        <v>1</v>
      </c>
      <c r="AF157" s="9" t="b">
        <v>1</v>
      </c>
      <c r="AG157" s="5">
        <v>4.68001987173697</v>
      </c>
      <c r="AH157" s="5">
        <v>3.963056634450366</v>
      </c>
      <c r="AI157" s="5">
        <v>402.0</v>
      </c>
      <c r="AJ157" s="5">
        <v>285.0</v>
      </c>
      <c r="AK157" s="5">
        <v>6.0</v>
      </c>
      <c r="AL157" s="5">
        <v>6.0</v>
      </c>
      <c r="AM157" s="5">
        <v>-53.65853658536586</v>
      </c>
      <c r="AN157" s="5">
        <v>-39.63963963963963</v>
      </c>
    </row>
    <row r="158" ht="15.75" customHeight="1">
      <c r="A158" s="5">
        <v>8.0</v>
      </c>
      <c r="B158" s="5">
        <v>2007.0</v>
      </c>
      <c r="C158" s="5">
        <v>2762.84</v>
      </c>
      <c r="D158" s="5">
        <v>352786.0</v>
      </c>
      <c r="E158" s="5">
        <v>3883.5</v>
      </c>
      <c r="F158" s="5">
        <v>4092.9225</v>
      </c>
      <c r="G158" s="5">
        <v>4.0</v>
      </c>
      <c r="H158" s="5">
        <v>4.0</v>
      </c>
      <c r="I158" s="5">
        <v>0.7114304107119866</v>
      </c>
      <c r="L158" s="5">
        <v>0.675028662282269</v>
      </c>
      <c r="AA158" s="5">
        <v>1379.0</v>
      </c>
      <c r="AB158" s="5">
        <v>1529.0</v>
      </c>
      <c r="AC158" s="5">
        <v>12.0</v>
      </c>
      <c r="AD158" s="5">
        <v>12.0</v>
      </c>
      <c r="AE158" s="9" t="b">
        <v>1</v>
      </c>
      <c r="AF158" s="9" t="b">
        <v>1</v>
      </c>
      <c r="AG158" s="5">
        <v>4.334072213749979</v>
      </c>
      <c r="AH158" s="5">
        <v>3.9088852732251285</v>
      </c>
      <c r="AI158" s="5">
        <v>895.0</v>
      </c>
      <c r="AJ158" s="5">
        <v>909.0</v>
      </c>
      <c r="AK158" s="5">
        <v>6.0</v>
      </c>
      <c r="AL158" s="5">
        <v>6.0</v>
      </c>
      <c r="AM158" s="5">
        <v>218.94736842105266</v>
      </c>
      <c r="AN158" s="5">
        <v>122.636815920398</v>
      </c>
    </row>
    <row r="159" ht="15.75" customHeight="1">
      <c r="A159" s="5">
        <v>8.0</v>
      </c>
      <c r="B159" s="5">
        <v>2008.0</v>
      </c>
      <c r="C159" s="5">
        <v>3076.91</v>
      </c>
      <c r="D159" s="5">
        <v>351345.0</v>
      </c>
      <c r="E159" s="5">
        <v>4920.5</v>
      </c>
      <c r="F159" s="5">
        <v>4752.37</v>
      </c>
      <c r="G159" s="5">
        <v>4.0</v>
      </c>
      <c r="H159" s="5">
        <v>4.0</v>
      </c>
      <c r="I159" s="5">
        <v>0.6253246621278326</v>
      </c>
      <c r="J159" s="5">
        <v>26.702716621604218</v>
      </c>
      <c r="K159" s="5">
        <v>-12.10318638164216</v>
      </c>
      <c r="L159" s="5">
        <v>0.6474474840974083</v>
      </c>
      <c r="M159" s="5">
        <v>16.11189803862643</v>
      </c>
      <c r="N159" s="5">
        <v>-4.085926972583486</v>
      </c>
      <c r="O159" s="5">
        <v>11.367650678287555</v>
      </c>
      <c r="AA159" s="5">
        <v>2196.0</v>
      </c>
      <c r="AB159" s="5">
        <v>1275.0</v>
      </c>
      <c r="AC159" s="5">
        <v>12.0</v>
      </c>
      <c r="AD159" s="5">
        <v>12.0</v>
      </c>
      <c r="AE159" s="9" t="b">
        <v>1</v>
      </c>
      <c r="AF159" s="9" t="b">
        <v>1</v>
      </c>
      <c r="AG159" s="5">
        <v>3.628911753404773</v>
      </c>
      <c r="AH159" s="5">
        <v>6.250266831746574</v>
      </c>
      <c r="AI159" s="5">
        <v>1110.0</v>
      </c>
      <c r="AJ159" s="5">
        <v>691.0</v>
      </c>
      <c r="AK159" s="5">
        <v>6.0</v>
      </c>
      <c r="AL159" s="5">
        <v>6.0</v>
      </c>
      <c r="AM159" s="5">
        <v>-23.982398239823986</v>
      </c>
      <c r="AN159" s="5">
        <v>24.022346368715077</v>
      </c>
    </row>
    <row r="160" ht="15.75" customHeight="1">
      <c r="A160" s="5">
        <v>8.0</v>
      </c>
      <c r="B160" s="5">
        <v>2009.0</v>
      </c>
      <c r="C160" s="5">
        <v>3178.15</v>
      </c>
      <c r="D160" s="5">
        <v>350392.0</v>
      </c>
      <c r="E160" s="5">
        <v>4676.5</v>
      </c>
      <c r="F160" s="5">
        <v>4632.4575</v>
      </c>
      <c r="G160" s="5">
        <v>4.0</v>
      </c>
      <c r="H160" s="5">
        <v>4.0</v>
      </c>
      <c r="I160" s="5">
        <v>0.6796001283010799</v>
      </c>
      <c r="J160" s="5">
        <v>-4.958845645767706</v>
      </c>
      <c r="K160" s="5">
        <v>8.679565905582653</v>
      </c>
      <c r="L160" s="5">
        <v>0.6860613400122937</v>
      </c>
      <c r="M160" s="5">
        <v>-2.523214732859591</v>
      </c>
      <c r="N160" s="5">
        <v>5.964013586170025</v>
      </c>
      <c r="O160" s="5">
        <v>3.2903139838344364</v>
      </c>
      <c r="AA160" s="5">
        <v>1250.0</v>
      </c>
      <c r="AB160" s="5">
        <v>1350.0</v>
      </c>
      <c r="AC160" s="5">
        <v>12.0</v>
      </c>
      <c r="AD160" s="5">
        <v>12.0</v>
      </c>
      <c r="AE160" s="9" t="b">
        <v>1</v>
      </c>
      <c r="AF160" s="9" t="b">
        <v>1</v>
      </c>
      <c r="AG160" s="5">
        <v>3.8528276901299114</v>
      </c>
      <c r="AH160" s="5">
        <v>3.567433046416585</v>
      </c>
      <c r="AI160" s="5">
        <v>514.0</v>
      </c>
      <c r="AJ160" s="5">
        <v>616.0</v>
      </c>
      <c r="AK160" s="5">
        <v>6.0</v>
      </c>
      <c r="AL160" s="5">
        <v>6.0</v>
      </c>
      <c r="AM160" s="5">
        <v>-10.85383502170767</v>
      </c>
      <c r="AN160" s="5">
        <v>-53.6936936936937</v>
      </c>
    </row>
    <row r="161" ht="15.75" customHeight="1">
      <c r="A161" s="5">
        <v>8.0</v>
      </c>
      <c r="B161" s="5">
        <v>2010.0</v>
      </c>
      <c r="C161" s="5">
        <v>3489.07</v>
      </c>
      <c r="D161" s="5">
        <v>349994.0</v>
      </c>
      <c r="E161" s="5">
        <v>4667.5</v>
      </c>
      <c r="F161" s="5">
        <v>4780.3325</v>
      </c>
      <c r="G161" s="5">
        <v>4.0</v>
      </c>
      <c r="H161" s="5">
        <v>4.0</v>
      </c>
      <c r="I161" s="5">
        <v>0.7475243706480986</v>
      </c>
      <c r="J161" s="5">
        <v>-0.19245161980113723</v>
      </c>
      <c r="K161" s="5">
        <v>9.994736539679794</v>
      </c>
      <c r="L161" s="5">
        <v>0.7298801913883605</v>
      </c>
      <c r="M161" s="5">
        <v>3.1921501708326527</v>
      </c>
      <c r="N161" s="5">
        <v>6.387016556753022</v>
      </c>
      <c r="O161" s="5">
        <v>9.783049887513172</v>
      </c>
      <c r="P161" s="5">
        <v>1645.0</v>
      </c>
      <c r="Q161" s="5">
        <v>4.0</v>
      </c>
      <c r="R161" s="5">
        <v>1639.0</v>
      </c>
      <c r="S161" s="5">
        <v>4.0</v>
      </c>
      <c r="T161" s="5">
        <v>89833.5</v>
      </c>
      <c r="U161" s="5">
        <v>4.0</v>
      </c>
      <c r="V161" s="5">
        <v>54.80994508846858</v>
      </c>
      <c r="W161" s="9" t="b">
        <v>1</v>
      </c>
      <c r="X161" s="9" t="b">
        <v>1</v>
      </c>
      <c r="Y161" s="5">
        <v>4.700080572809819</v>
      </c>
      <c r="Z161" s="5">
        <v>4.6829374217843736</v>
      </c>
      <c r="AA161" s="5">
        <v>1751.0</v>
      </c>
      <c r="AB161" s="5">
        <v>1951.0</v>
      </c>
      <c r="AC161" s="5">
        <v>12.0</v>
      </c>
      <c r="AD161" s="5">
        <v>12.0</v>
      </c>
      <c r="AE161" s="9" t="b">
        <v>1</v>
      </c>
      <c r="AF161" s="9" t="b">
        <v>1</v>
      </c>
      <c r="AG161" s="5">
        <v>5.574381275107574</v>
      </c>
      <c r="AH161" s="5">
        <v>5.002942907592701</v>
      </c>
      <c r="AI161" s="5">
        <v>758.0</v>
      </c>
      <c r="AJ161" s="5">
        <v>700.0</v>
      </c>
      <c r="AK161" s="5">
        <v>6.0</v>
      </c>
      <c r="AL161" s="5">
        <v>6.0</v>
      </c>
      <c r="AM161" s="5">
        <v>13.636363636363647</v>
      </c>
      <c r="AN161" s="5">
        <v>47.47081712062258</v>
      </c>
    </row>
    <row r="162" ht="15.75" customHeight="1">
      <c r="A162" s="5">
        <v>8.0</v>
      </c>
      <c r="B162" s="5">
        <v>2011.0</v>
      </c>
      <c r="C162" s="5">
        <v>3606.97</v>
      </c>
      <c r="D162" s="5">
        <v>349060.0</v>
      </c>
      <c r="E162" s="5">
        <v>4875.0</v>
      </c>
      <c r="F162" s="5">
        <v>4906.1425</v>
      </c>
      <c r="G162" s="5">
        <v>4.0</v>
      </c>
      <c r="H162" s="5">
        <v>4.0</v>
      </c>
      <c r="I162" s="5">
        <v>0.739891282051282</v>
      </c>
      <c r="J162" s="5">
        <v>4.445634708087831</v>
      </c>
      <c r="K162" s="5">
        <v>-1.0211156848570435</v>
      </c>
      <c r="L162" s="5">
        <v>0.7351947074509149</v>
      </c>
      <c r="M162" s="5">
        <v>2.6318252966712974</v>
      </c>
      <c r="N162" s="5">
        <v>0.7281354015712171</v>
      </c>
      <c r="O162" s="5">
        <v>3.37912394993507</v>
      </c>
      <c r="P162" s="5">
        <v>1352.0</v>
      </c>
      <c r="Q162" s="5">
        <v>4.0</v>
      </c>
      <c r="R162" s="5">
        <v>1332.0</v>
      </c>
      <c r="S162" s="5">
        <v>4.0</v>
      </c>
      <c r="T162" s="5">
        <v>71799.5</v>
      </c>
      <c r="U162" s="5">
        <v>4.0</v>
      </c>
      <c r="V162" s="5">
        <v>53.903528528528525</v>
      </c>
      <c r="W162" s="9" t="b">
        <v>1</v>
      </c>
      <c r="X162" s="9" t="b">
        <v>1</v>
      </c>
      <c r="Y162" s="5">
        <v>3.873259611528104</v>
      </c>
      <c r="Z162" s="5">
        <v>3.8159628717125997</v>
      </c>
      <c r="AA162" s="5">
        <v>1493.0</v>
      </c>
      <c r="AB162" s="5">
        <v>1698.0</v>
      </c>
      <c r="AC162" s="5">
        <v>12.0</v>
      </c>
      <c r="AD162" s="5">
        <v>12.0</v>
      </c>
      <c r="AE162" s="9" t="b">
        <v>1</v>
      </c>
      <c r="AF162" s="9" t="b">
        <v>1</v>
      </c>
      <c r="AG162" s="5">
        <v>4.864493210336332</v>
      </c>
      <c r="AH162" s="5">
        <v>4.277201627227411</v>
      </c>
      <c r="AI162" s="5">
        <v>816.0</v>
      </c>
      <c r="AJ162" s="5">
        <v>549.0</v>
      </c>
      <c r="AK162" s="5">
        <v>6.0</v>
      </c>
      <c r="AL162" s="5">
        <v>6.0</v>
      </c>
      <c r="AM162" s="5">
        <v>-21.571428571428577</v>
      </c>
      <c r="AN162" s="5">
        <v>7.651715039577844</v>
      </c>
    </row>
    <row r="163" ht="15.75" customHeight="1">
      <c r="A163" s="5">
        <v>8.0</v>
      </c>
      <c r="B163" s="5">
        <v>2012.0</v>
      </c>
      <c r="C163" s="5">
        <v>3710.8</v>
      </c>
      <c r="D163" s="5">
        <v>348120.0</v>
      </c>
      <c r="E163" s="5">
        <v>4851.0</v>
      </c>
      <c r="F163" s="5">
        <v>4741.0575</v>
      </c>
      <c r="G163" s="5">
        <v>4.0</v>
      </c>
      <c r="H163" s="5">
        <v>4.0</v>
      </c>
      <c r="I163" s="5">
        <v>0.7649556792413935</v>
      </c>
      <c r="J163" s="5">
        <v>-0.4923076923076919</v>
      </c>
      <c r="K163" s="5">
        <v>3.3875783913310586</v>
      </c>
      <c r="L163" s="5">
        <v>0.782694578161096</v>
      </c>
      <c r="M163" s="5">
        <v>-3.3648635358634604</v>
      </c>
      <c r="N163" s="5">
        <v>6.460855910521146</v>
      </c>
      <c r="O163" s="5">
        <v>2.878593390019879</v>
      </c>
      <c r="P163" s="5">
        <v>1771.0</v>
      </c>
      <c r="Q163" s="5">
        <v>4.0</v>
      </c>
      <c r="R163" s="5">
        <v>1766.0</v>
      </c>
      <c r="S163" s="5">
        <v>4.0</v>
      </c>
      <c r="T163" s="5">
        <v>95452.4</v>
      </c>
      <c r="U163" s="5">
        <v>4.0</v>
      </c>
      <c r="V163" s="5">
        <v>54.05005662514156</v>
      </c>
      <c r="W163" s="9" t="b">
        <v>1</v>
      </c>
      <c r="X163" s="9" t="b">
        <v>1</v>
      </c>
      <c r="Y163" s="5">
        <v>5.087326209353097</v>
      </c>
      <c r="Z163" s="5">
        <v>5.072963345972653</v>
      </c>
      <c r="AA163" s="5">
        <v>2194.0</v>
      </c>
      <c r="AB163" s="5">
        <v>1479.0</v>
      </c>
      <c r="AC163" s="5">
        <v>12.0</v>
      </c>
      <c r="AD163" s="5">
        <v>12.0</v>
      </c>
      <c r="AE163" s="9" t="b">
        <v>1</v>
      </c>
      <c r="AF163" s="9" t="b">
        <v>1</v>
      </c>
      <c r="AG163" s="5">
        <v>4.248534987935194</v>
      </c>
      <c r="AH163" s="5">
        <v>6.302424451338618</v>
      </c>
      <c r="AI163" s="5">
        <v>1061.0</v>
      </c>
      <c r="AJ163" s="5">
        <v>692.0</v>
      </c>
      <c r="AK163" s="5">
        <v>6.0</v>
      </c>
      <c r="AL163" s="5">
        <v>6.0</v>
      </c>
      <c r="AM163" s="5">
        <v>26.047358834244072</v>
      </c>
      <c r="AN163" s="5">
        <v>30.024509803921575</v>
      </c>
    </row>
    <row r="164" ht="15.75" customHeight="1">
      <c r="A164" s="5">
        <v>8.0</v>
      </c>
      <c r="B164" s="5">
        <v>2013.0</v>
      </c>
      <c r="C164" s="5">
        <v>3820.91</v>
      </c>
      <c r="D164" s="5">
        <v>346987.0</v>
      </c>
      <c r="E164" s="5">
        <v>4797.0</v>
      </c>
      <c r="F164" s="5">
        <v>4522.305</v>
      </c>
      <c r="G164" s="5">
        <v>4.0</v>
      </c>
      <c r="H164" s="5">
        <v>4.0</v>
      </c>
      <c r="I164" s="5">
        <v>0.7965207421304982</v>
      </c>
      <c r="J164" s="5">
        <v>-1.1131725417439675</v>
      </c>
      <c r="K164" s="5">
        <v>4.126391076723257</v>
      </c>
      <c r="L164" s="5">
        <v>0.8449032075457095</v>
      </c>
      <c r="M164" s="5">
        <v>-4.614002255825833</v>
      </c>
      <c r="N164" s="5">
        <v>7.948008216789959</v>
      </c>
      <c r="O164" s="5">
        <v>2.9672846825482324</v>
      </c>
      <c r="P164" s="5">
        <v>1828.0</v>
      </c>
      <c r="Q164" s="5">
        <v>4.0</v>
      </c>
      <c r="R164" s="5">
        <v>1828.0</v>
      </c>
      <c r="S164" s="5">
        <v>4.0</v>
      </c>
      <c r="T164" s="5">
        <v>97560.5</v>
      </c>
      <c r="U164" s="5">
        <v>4.0</v>
      </c>
      <c r="V164" s="5">
        <v>53.370076586433264</v>
      </c>
      <c r="W164" s="9" t="b">
        <v>1</v>
      </c>
      <c r="X164" s="9" t="b">
        <v>1</v>
      </c>
      <c r="Y164" s="5">
        <v>5.268208895434123</v>
      </c>
      <c r="Z164" s="5">
        <v>5.268208895434123</v>
      </c>
      <c r="AA164" s="5">
        <v>2407.0</v>
      </c>
      <c r="AB164" s="5">
        <v>1389.0</v>
      </c>
      <c r="AC164" s="5">
        <v>12.0</v>
      </c>
      <c r="AD164" s="5">
        <v>12.0</v>
      </c>
      <c r="AE164" s="9" t="b">
        <v>1</v>
      </c>
      <c r="AF164" s="9" t="b">
        <v>1</v>
      </c>
      <c r="AG164" s="5">
        <v>4.003031813871989</v>
      </c>
      <c r="AH164" s="5">
        <v>6.936859305968235</v>
      </c>
      <c r="AI164" s="5">
        <v>825.0</v>
      </c>
      <c r="AJ164" s="5">
        <v>571.0</v>
      </c>
      <c r="AK164" s="5">
        <v>6.0</v>
      </c>
      <c r="AL164" s="5">
        <v>6.0</v>
      </c>
      <c r="AM164" s="5">
        <v>-17.485549132947973</v>
      </c>
      <c r="AN164" s="5">
        <v>-22.24316682375118</v>
      </c>
    </row>
    <row r="165" ht="15.75" customHeight="1">
      <c r="A165" s="5">
        <v>8.0</v>
      </c>
      <c r="B165" s="5">
        <v>2014.0</v>
      </c>
      <c r="C165" s="5">
        <v>3955.65</v>
      </c>
      <c r="D165" s="5">
        <v>343144.0</v>
      </c>
      <c r="E165" s="5">
        <v>4842.5</v>
      </c>
      <c r="F165" s="5">
        <v>4523.845</v>
      </c>
      <c r="G165" s="5">
        <v>4.0</v>
      </c>
      <c r="H165" s="5">
        <v>4.0</v>
      </c>
      <c r="I165" s="5">
        <v>0.8168611254517295</v>
      </c>
      <c r="J165" s="5">
        <v>0.9485094850948617</v>
      </c>
      <c r="K165" s="5">
        <v>2.553653940866085</v>
      </c>
      <c r="L165" s="5">
        <v>0.8743999849685389</v>
      </c>
      <c r="M165" s="5">
        <v>0.03405343071729572</v>
      </c>
      <c r="N165" s="5">
        <v>3.491142791197599</v>
      </c>
      <c r="O165" s="5">
        <v>3.5263850758065596</v>
      </c>
      <c r="P165" s="5">
        <v>1332.0</v>
      </c>
      <c r="Q165" s="5">
        <v>4.0</v>
      </c>
      <c r="R165" s="5">
        <v>1331.0</v>
      </c>
      <c r="S165" s="5">
        <v>4.0</v>
      </c>
      <c r="T165" s="5">
        <v>73205.7</v>
      </c>
      <c r="U165" s="5">
        <v>4.0</v>
      </c>
      <c r="V165" s="5">
        <v>55.00052592036063</v>
      </c>
      <c r="W165" s="9" t="b">
        <v>1</v>
      </c>
      <c r="X165" s="9" t="b">
        <v>1</v>
      </c>
      <c r="Y165" s="5">
        <v>3.8817522672697176</v>
      </c>
      <c r="Z165" s="5">
        <v>3.8788380388408368</v>
      </c>
      <c r="AA165" s="5">
        <v>1336.0</v>
      </c>
      <c r="AB165" s="5">
        <v>1940.0</v>
      </c>
      <c r="AC165" s="5">
        <v>12.0</v>
      </c>
      <c r="AD165" s="5">
        <v>12.0</v>
      </c>
      <c r="AE165" s="9" t="b">
        <v>1</v>
      </c>
      <c r="AF165" s="9" t="b">
        <v>1</v>
      </c>
      <c r="AG165" s="5">
        <v>5.653603152029469</v>
      </c>
      <c r="AH165" s="5">
        <v>3.8934091809852425</v>
      </c>
      <c r="AI165" s="5">
        <v>342.0</v>
      </c>
      <c r="AJ165" s="5">
        <v>1159.0</v>
      </c>
      <c r="AK165" s="5">
        <v>6.0</v>
      </c>
      <c r="AL165" s="5">
        <v>6.0</v>
      </c>
      <c r="AM165" s="5">
        <v>102.97723292469354</v>
      </c>
      <c r="AN165" s="5">
        <v>-58.54545454545455</v>
      </c>
    </row>
    <row r="166" ht="15.75" customHeight="1">
      <c r="A166" s="5">
        <v>8.0</v>
      </c>
      <c r="B166" s="5">
        <v>2015.0</v>
      </c>
      <c r="C166" s="5">
        <v>4060.17</v>
      </c>
      <c r="D166" s="5">
        <v>341368.0</v>
      </c>
      <c r="E166" s="5">
        <v>4957.5</v>
      </c>
      <c r="F166" s="5">
        <v>4599.615</v>
      </c>
      <c r="G166" s="5">
        <v>4.0</v>
      </c>
      <c r="H166" s="5">
        <v>4.0</v>
      </c>
      <c r="I166" s="5">
        <v>0.8189954614220878</v>
      </c>
      <c r="J166" s="5">
        <v>2.374806401652041</v>
      </c>
      <c r="K166" s="5">
        <v>0.2612850463630467</v>
      </c>
      <c r="L166" s="5">
        <v>0.8827195319608272</v>
      </c>
      <c r="M166" s="5">
        <v>1.6749026547107526</v>
      </c>
      <c r="N166" s="5">
        <v>0.9514578151082365</v>
      </c>
      <c r="O166" s="5">
        <v>2.642296462022675</v>
      </c>
      <c r="P166" s="5">
        <v>2466.0</v>
      </c>
      <c r="Q166" s="5">
        <v>4.0</v>
      </c>
      <c r="R166" s="5">
        <v>2466.0</v>
      </c>
      <c r="S166" s="5">
        <v>4.0</v>
      </c>
      <c r="T166" s="5">
        <v>132896.3</v>
      </c>
      <c r="U166" s="5">
        <v>4.0</v>
      </c>
      <c r="V166" s="5">
        <v>53.89144363341443</v>
      </c>
      <c r="W166" s="9" t="b">
        <v>1</v>
      </c>
      <c r="X166" s="9" t="b">
        <v>1</v>
      </c>
      <c r="Y166" s="5">
        <v>7.223875700124206</v>
      </c>
      <c r="Z166" s="5">
        <v>7.223875700124206</v>
      </c>
      <c r="AA166" s="5">
        <v>1836.0</v>
      </c>
      <c r="AB166" s="5">
        <v>3339.0</v>
      </c>
      <c r="AC166" s="5">
        <v>12.0</v>
      </c>
      <c r="AD166" s="5">
        <v>12.0</v>
      </c>
      <c r="AE166" s="9" t="b">
        <v>1</v>
      </c>
      <c r="AF166" s="9" t="b">
        <v>1</v>
      </c>
      <c r="AG166" s="5">
        <v>9.781233156007593</v>
      </c>
      <c r="AH166" s="5">
        <v>5.378360010311453</v>
      </c>
      <c r="AI166" s="5">
        <v>595.0</v>
      </c>
      <c r="AJ166" s="5">
        <v>1051.0</v>
      </c>
      <c r="AK166" s="5">
        <v>6.0</v>
      </c>
      <c r="AL166" s="5">
        <v>6.0</v>
      </c>
      <c r="AM166" s="5">
        <v>-9.318377911993093</v>
      </c>
      <c r="AN166" s="5">
        <v>73.9766081871345</v>
      </c>
    </row>
    <row r="167" ht="15.75" customHeight="1">
      <c r="A167" s="5">
        <v>8.0</v>
      </c>
      <c r="B167" s="5">
        <v>2016.0</v>
      </c>
      <c r="C167" s="5">
        <v>4169.46</v>
      </c>
      <c r="D167" s="5">
        <v>340745.0</v>
      </c>
      <c r="E167" s="5">
        <v>5054.5</v>
      </c>
      <c r="F167" s="5">
        <v>4631.225</v>
      </c>
      <c r="G167" s="5">
        <v>4.0</v>
      </c>
      <c r="H167" s="5">
        <v>4.0</v>
      </c>
      <c r="I167" s="5">
        <v>0.8249005836383421</v>
      </c>
      <c r="J167" s="5">
        <v>1.956631366616235</v>
      </c>
      <c r="K167" s="5">
        <v>0.7210201392326088</v>
      </c>
      <c r="L167" s="5">
        <v>0.9002931189911956</v>
      </c>
      <c r="M167" s="5">
        <v>0.6872314313263406</v>
      </c>
      <c r="N167" s="5">
        <v>1.9908460608468959</v>
      </c>
      <c r="O167" s="5">
        <v>2.691759212052691</v>
      </c>
      <c r="P167" s="5">
        <v>2947.0</v>
      </c>
      <c r="Q167" s="5">
        <v>4.0</v>
      </c>
      <c r="R167" s="5">
        <v>2987.0</v>
      </c>
      <c r="S167" s="5">
        <v>4.0</v>
      </c>
      <c r="T167" s="5">
        <v>159613.5</v>
      </c>
      <c r="U167" s="5">
        <v>4.0</v>
      </c>
      <c r="V167" s="5">
        <v>53.436056243722796</v>
      </c>
      <c r="W167" s="9" t="b">
        <v>1</v>
      </c>
      <c r="X167" s="9" t="b">
        <v>1</v>
      </c>
      <c r="Y167" s="5">
        <v>8.648696239123097</v>
      </c>
      <c r="Z167" s="5">
        <v>8.766086076097963</v>
      </c>
      <c r="AA167" s="5">
        <v>2298.0</v>
      </c>
      <c r="AB167" s="5">
        <v>2267.0</v>
      </c>
      <c r="AC167" s="5">
        <v>12.0</v>
      </c>
      <c r="AD167" s="5">
        <v>12.0</v>
      </c>
      <c r="AE167" s="9" t="b">
        <v>1</v>
      </c>
      <c r="AF167" s="9" t="b">
        <v>1</v>
      </c>
      <c r="AG167" s="5">
        <v>6.6530690105504116</v>
      </c>
      <c r="AH167" s="5">
        <v>6.744046134205931</v>
      </c>
      <c r="AI167" s="5">
        <v>856.0</v>
      </c>
      <c r="AJ167" s="5">
        <v>1193.0</v>
      </c>
      <c r="AK167" s="5">
        <v>6.0</v>
      </c>
      <c r="AL167" s="5">
        <v>6.0</v>
      </c>
      <c r="AM167" s="5">
        <v>13.510941960038059</v>
      </c>
      <c r="AN167" s="5">
        <v>43.865546218487395</v>
      </c>
    </row>
    <row r="168" ht="15.75" customHeight="1">
      <c r="A168" s="5">
        <v>8.0</v>
      </c>
      <c r="B168" s="5">
        <v>2017.0</v>
      </c>
      <c r="C168" s="5">
        <v>4431.61</v>
      </c>
      <c r="D168" s="5">
        <v>340230.0</v>
      </c>
      <c r="E168" s="5">
        <v>5096.0</v>
      </c>
      <c r="F168" s="5">
        <v>4797.855</v>
      </c>
      <c r="G168" s="5">
        <v>4.0</v>
      </c>
      <c r="H168" s="5">
        <v>4.0</v>
      </c>
      <c r="I168" s="5">
        <v>0.869625196232339</v>
      </c>
      <c r="J168" s="5">
        <v>0.8210505490157338</v>
      </c>
      <c r="K168" s="5">
        <v>5.421818517418497</v>
      </c>
      <c r="L168" s="5">
        <v>0.9236648460614171</v>
      </c>
      <c r="M168" s="5">
        <v>3.5979681401788755</v>
      </c>
      <c r="N168" s="5">
        <v>2.596013073654291</v>
      </c>
      <c r="O168" s="5">
        <v>6.287384937138141</v>
      </c>
      <c r="P168" s="5">
        <v>3402.0</v>
      </c>
      <c r="Q168" s="5">
        <v>4.0</v>
      </c>
      <c r="R168" s="5">
        <v>3487.0</v>
      </c>
      <c r="S168" s="5">
        <v>4.0</v>
      </c>
      <c r="T168" s="5">
        <v>181555.5</v>
      </c>
      <c r="U168" s="5">
        <v>4.0</v>
      </c>
      <c r="V168" s="5">
        <v>52.06638944651563</v>
      </c>
      <c r="W168" s="9" t="b">
        <v>1</v>
      </c>
      <c r="X168" s="9" t="b">
        <v>1</v>
      </c>
      <c r="Y168" s="5">
        <v>9.999118243541135</v>
      </c>
      <c r="Z168" s="5">
        <v>10.24894924021985</v>
      </c>
      <c r="AA168" s="5">
        <v>2716.0</v>
      </c>
      <c r="AB168" s="5">
        <v>2329.0</v>
      </c>
      <c r="AC168" s="5">
        <v>12.0</v>
      </c>
      <c r="AD168" s="5">
        <v>12.0</v>
      </c>
      <c r="AE168" s="9" t="b">
        <v>1</v>
      </c>
      <c r="AF168" s="9" t="b">
        <v>1</v>
      </c>
      <c r="AG168" s="5">
        <v>6.8453693089968555</v>
      </c>
      <c r="AH168" s="5">
        <v>7.982835140934074</v>
      </c>
      <c r="AI168" s="5">
        <v>1022.0</v>
      </c>
      <c r="AJ168" s="5">
        <v>1179.0</v>
      </c>
      <c r="AK168" s="5">
        <v>6.0</v>
      </c>
      <c r="AL168" s="5">
        <v>6.0</v>
      </c>
      <c r="AM168" s="5">
        <v>-1.1735121542330251</v>
      </c>
      <c r="AN168" s="5">
        <v>19.39252336448598</v>
      </c>
    </row>
    <row r="169" ht="15.75" customHeight="1">
      <c r="A169" s="5">
        <v>8.0</v>
      </c>
      <c r="B169" s="5">
        <v>2018.0</v>
      </c>
      <c r="C169" s="5">
        <v>4708.4</v>
      </c>
      <c r="D169" s="5">
        <v>339811.0</v>
      </c>
      <c r="E169" s="5">
        <v>5570.5</v>
      </c>
      <c r="F169" s="5">
        <v>5041.4425</v>
      </c>
      <c r="G169" s="5">
        <v>4.0</v>
      </c>
      <c r="H169" s="5">
        <v>4.0</v>
      </c>
      <c r="I169" s="5">
        <v>0.8452383089489274</v>
      </c>
      <c r="J169" s="5">
        <v>9.311224489795912</v>
      </c>
      <c r="K169" s="5">
        <v>-2.8042986092247646</v>
      </c>
      <c r="L169" s="5">
        <v>0.9339390462154432</v>
      </c>
      <c r="M169" s="5">
        <v>5.077008371449332</v>
      </c>
      <c r="N169" s="5">
        <v>1.1123298886859478</v>
      </c>
      <c r="O169" s="5">
        <v>6.24581134170199</v>
      </c>
      <c r="P169" s="5">
        <v>4591.0</v>
      </c>
      <c r="Q169" s="5">
        <v>4.0</v>
      </c>
      <c r="R169" s="5">
        <v>4630.0</v>
      </c>
      <c r="S169" s="5">
        <v>4.0</v>
      </c>
      <c r="T169" s="5">
        <v>248160.7</v>
      </c>
      <c r="U169" s="5">
        <v>4.0</v>
      </c>
      <c r="V169" s="5">
        <v>53.59842332613391</v>
      </c>
      <c r="W169" s="9" t="b">
        <v>1</v>
      </c>
      <c r="X169" s="9" t="b">
        <v>1</v>
      </c>
      <c r="Y169" s="5">
        <v>13.510451397982997</v>
      </c>
      <c r="Z169" s="5">
        <v>13.625221078776143</v>
      </c>
      <c r="AA169" s="5">
        <v>2889.0</v>
      </c>
      <c r="AB169" s="5">
        <v>2837.0</v>
      </c>
      <c r="AC169" s="5">
        <v>12.0</v>
      </c>
      <c r="AD169" s="5">
        <v>12.0</v>
      </c>
      <c r="AE169" s="9" t="b">
        <v>1</v>
      </c>
      <c r="AF169" s="9" t="b">
        <v>1</v>
      </c>
      <c r="AG169" s="5">
        <v>8.34875857461942</v>
      </c>
      <c r="AH169" s="5">
        <v>8.501784815676949</v>
      </c>
      <c r="AI169" s="5">
        <v>1651.0</v>
      </c>
      <c r="AJ169" s="5">
        <v>1486.0</v>
      </c>
      <c r="AK169" s="5">
        <v>6.0</v>
      </c>
      <c r="AL169" s="5">
        <v>6.0</v>
      </c>
      <c r="AM169" s="5">
        <v>26.039016115352</v>
      </c>
      <c r="AN169" s="5">
        <v>61.54598825831703</v>
      </c>
    </row>
    <row r="170" ht="15.75" customHeight="1">
      <c r="A170" s="5">
        <v>8.0</v>
      </c>
      <c r="B170" s="5">
        <v>2019.0</v>
      </c>
      <c r="C170" s="5">
        <v>5054.93</v>
      </c>
      <c r="D170" s="5">
        <v>339770.0</v>
      </c>
      <c r="E170" s="5">
        <v>5965.3616999999995</v>
      </c>
      <c r="F170" s="5">
        <v>5598.0275</v>
      </c>
      <c r="G170" s="5">
        <v>4.0</v>
      </c>
      <c r="H170" s="5">
        <v>4.0</v>
      </c>
      <c r="I170" s="5">
        <v>0.8473803021868734</v>
      </c>
      <c r="J170" s="5">
        <v>7.08844268916613</v>
      </c>
      <c r="K170" s="5">
        <v>0.2534188542175464</v>
      </c>
      <c r="L170" s="5">
        <v>0.9029841314641631</v>
      </c>
      <c r="M170" s="5">
        <v>11.040193357357552</v>
      </c>
      <c r="N170" s="5">
        <v>-3.3144470055853414</v>
      </c>
      <c r="O170" s="5">
        <v>7.359824993628417</v>
      </c>
      <c r="P170" s="5">
        <v>4294.0</v>
      </c>
      <c r="Q170" s="5">
        <v>4.0</v>
      </c>
      <c r="R170" s="5">
        <v>4343.0</v>
      </c>
      <c r="S170" s="5">
        <v>4.0</v>
      </c>
      <c r="T170" s="5">
        <v>231786.30000000002</v>
      </c>
      <c r="U170" s="5">
        <v>4.0</v>
      </c>
      <c r="V170" s="5">
        <v>53.37008979967764</v>
      </c>
      <c r="W170" s="9" t="b">
        <v>1</v>
      </c>
      <c r="X170" s="9" t="b">
        <v>1</v>
      </c>
      <c r="Y170" s="5">
        <v>12.637960973599787</v>
      </c>
      <c r="Z170" s="5">
        <v>12.782176178002766</v>
      </c>
      <c r="AA170" s="5">
        <v>2328.0</v>
      </c>
      <c r="AB170" s="5">
        <v>2750.0</v>
      </c>
      <c r="AC170" s="5">
        <v>12.0</v>
      </c>
      <c r="AD170" s="5">
        <v>12.0</v>
      </c>
      <c r="AE170" s="9" t="b">
        <v>1</v>
      </c>
      <c r="AF170" s="9" t="b">
        <v>1</v>
      </c>
      <c r="AG170" s="5">
        <v>8.093710451187569</v>
      </c>
      <c r="AH170" s="5">
        <v>6.851693792859876</v>
      </c>
      <c r="AI170" s="5">
        <v>1370.0</v>
      </c>
      <c r="AJ170" s="5">
        <v>1173.0</v>
      </c>
      <c r="AK170" s="5">
        <v>6.0</v>
      </c>
      <c r="AL170" s="5">
        <v>6.0</v>
      </c>
      <c r="AM170" s="5">
        <v>-21.06325706594886</v>
      </c>
      <c r="AN170" s="5">
        <v>-17.019987886129616</v>
      </c>
    </row>
    <row r="171" ht="15.75" customHeight="1">
      <c r="A171" s="5">
        <v>8.0</v>
      </c>
      <c r="B171" s="5">
        <v>2020.0</v>
      </c>
      <c r="C171" s="5">
        <v>5412.39</v>
      </c>
      <c r="D171" s="5">
        <v>336075.0</v>
      </c>
      <c r="E171" s="5">
        <v>6285.53</v>
      </c>
      <c r="F171" s="5">
        <v>6375.59</v>
      </c>
      <c r="G171" s="5">
        <v>4.0</v>
      </c>
      <c r="H171" s="5">
        <v>4.0</v>
      </c>
      <c r="I171" s="5">
        <v>0.8610872909683035</v>
      </c>
      <c r="J171" s="5">
        <v>5.367123002784568</v>
      </c>
      <c r="K171" s="5">
        <v>1.6175722690338512</v>
      </c>
      <c r="L171" s="5">
        <v>0.8489237858770718</v>
      </c>
      <c r="M171" s="5">
        <v>13.8899371251749</v>
      </c>
      <c r="N171" s="5">
        <v>-5.986854442218603</v>
      </c>
      <c r="O171" s="5">
        <v>7.071512365156396</v>
      </c>
      <c r="P171" s="5">
        <v>4485.0</v>
      </c>
      <c r="Q171" s="5">
        <v>4.0</v>
      </c>
      <c r="R171" s="5">
        <v>4680.0</v>
      </c>
      <c r="S171" s="5">
        <v>4.0</v>
      </c>
      <c r="T171" s="5">
        <v>240624.1</v>
      </c>
      <c r="U171" s="5">
        <v>4.0</v>
      </c>
      <c r="V171" s="5">
        <v>51.41540598290599</v>
      </c>
      <c r="W171" s="9" t="b">
        <v>1</v>
      </c>
      <c r="X171" s="9" t="b">
        <v>1</v>
      </c>
      <c r="Y171" s="5">
        <v>13.345235438518188</v>
      </c>
      <c r="Z171" s="5">
        <v>13.925463066279848</v>
      </c>
      <c r="AA171" s="5">
        <v>2912.0</v>
      </c>
      <c r="AB171" s="5">
        <v>3462.0</v>
      </c>
      <c r="AC171" s="5">
        <v>12.0</v>
      </c>
      <c r="AD171" s="5">
        <v>12.0</v>
      </c>
      <c r="AE171" s="9" t="b">
        <v>1</v>
      </c>
      <c r="AF171" s="9" t="b">
        <v>1</v>
      </c>
      <c r="AG171" s="5">
        <v>10.301272037491632</v>
      </c>
      <c r="AH171" s="5">
        <v>8.664732574574128</v>
      </c>
      <c r="AI171" s="5">
        <v>1213.0</v>
      </c>
      <c r="AJ171" s="5">
        <v>1375.0</v>
      </c>
      <c r="AK171" s="5">
        <v>6.0</v>
      </c>
      <c r="AL171" s="5">
        <v>6.0</v>
      </c>
      <c r="AM171" s="5">
        <v>17.220801364023863</v>
      </c>
      <c r="AN171" s="5">
        <v>-11.459854014598536</v>
      </c>
    </row>
    <row r="172" ht="15.75" customHeight="1">
      <c r="A172" s="5">
        <v>8.0</v>
      </c>
      <c r="B172" s="5">
        <v>2021.0</v>
      </c>
      <c r="C172" s="5">
        <v>5833.53</v>
      </c>
      <c r="D172" s="5">
        <v>334301.0</v>
      </c>
      <c r="E172" s="5">
        <v>7353.43</v>
      </c>
      <c r="F172" s="5">
        <v>7041.0375</v>
      </c>
      <c r="G172" s="5">
        <v>4.0</v>
      </c>
      <c r="H172" s="5">
        <v>4.0</v>
      </c>
      <c r="I172" s="5">
        <v>0.7933073409279751</v>
      </c>
      <c r="J172" s="5">
        <v>16.98981629234131</v>
      </c>
      <c r="K172" s="5">
        <v>-7.871437745191779</v>
      </c>
      <c r="L172" s="5">
        <v>0.8285043219837984</v>
      </c>
      <c r="M172" s="5">
        <v>10.437426183302257</v>
      </c>
      <c r="N172" s="5">
        <v>-2.4053353472923256</v>
      </c>
      <c r="O172" s="5">
        <v>7.781035734675434</v>
      </c>
      <c r="P172" s="5">
        <v>5098.0</v>
      </c>
      <c r="Q172" s="5">
        <v>4.0</v>
      </c>
      <c r="R172" s="5">
        <v>5206.0</v>
      </c>
      <c r="S172" s="5">
        <v>4.0</v>
      </c>
      <c r="T172" s="5">
        <v>270073.0</v>
      </c>
      <c r="U172" s="5">
        <v>4.0</v>
      </c>
      <c r="V172" s="5">
        <v>51.87725701114099</v>
      </c>
      <c r="W172" s="9" t="b">
        <v>1</v>
      </c>
      <c r="X172" s="9" t="b">
        <v>1</v>
      </c>
      <c r="Y172" s="5">
        <v>15.249730033712133</v>
      </c>
      <c r="Z172" s="5">
        <v>15.57279218428901</v>
      </c>
      <c r="AA172" s="5">
        <v>2960.0</v>
      </c>
      <c r="AB172" s="5">
        <v>5053.0</v>
      </c>
      <c r="AC172" s="5">
        <v>12.0</v>
      </c>
      <c r="AD172" s="5">
        <v>12.0</v>
      </c>
      <c r="AE172" s="9" t="b">
        <v>1</v>
      </c>
      <c r="AF172" s="9" t="b">
        <v>1</v>
      </c>
      <c r="AG172" s="5">
        <v>15.115120804305104</v>
      </c>
      <c r="AH172" s="5">
        <v>8.854295978773619</v>
      </c>
      <c r="AI172" s="5">
        <v>1542.0</v>
      </c>
      <c r="AJ172" s="5">
        <v>3150.0</v>
      </c>
      <c r="AK172" s="5">
        <v>6.0</v>
      </c>
      <c r="AL172" s="5">
        <v>6.0</v>
      </c>
      <c r="AM172" s="5">
        <v>129.0909090909091</v>
      </c>
      <c r="AN172" s="5">
        <v>27.12283594394065</v>
      </c>
    </row>
    <row r="173" ht="15.75" customHeight="1">
      <c r="A173" s="5">
        <v>8.0</v>
      </c>
      <c r="B173" s="5">
        <v>2022.0</v>
      </c>
      <c r="C173" s="5">
        <v>6402.56</v>
      </c>
      <c r="D173" s="5">
        <v>331991.0</v>
      </c>
      <c r="E173" s="5">
        <v>8787.7725</v>
      </c>
      <c r="F173" s="5">
        <v>7819.385</v>
      </c>
      <c r="G173" s="5">
        <v>4.0</v>
      </c>
      <c r="H173" s="5">
        <v>4.0</v>
      </c>
      <c r="I173" s="5">
        <v>0.7285759844147082</v>
      </c>
      <c r="J173" s="5">
        <v>19.505761256991615</v>
      </c>
      <c r="K173" s="5">
        <v>-8.159682026583425</v>
      </c>
      <c r="L173" s="5">
        <v>0.8188060825755479</v>
      </c>
      <c r="M173" s="5">
        <v>11.054443326001318</v>
      </c>
      <c r="N173" s="5">
        <v>-1.1705719754157462</v>
      </c>
      <c r="O173" s="5">
        <v>9.754471134973187</v>
      </c>
      <c r="P173" s="5">
        <v>3749.0</v>
      </c>
      <c r="Q173" s="5">
        <v>4.0</v>
      </c>
      <c r="R173" s="5">
        <v>3835.0</v>
      </c>
      <c r="S173" s="5">
        <v>4.0</v>
      </c>
      <c r="T173" s="5">
        <v>200960.2</v>
      </c>
      <c r="U173" s="5">
        <v>4.0</v>
      </c>
      <c r="V173" s="5">
        <v>52.40161668839635</v>
      </c>
      <c r="W173" s="9" t="b">
        <v>1</v>
      </c>
      <c r="X173" s="9" t="b">
        <v>1</v>
      </c>
      <c r="Y173" s="5">
        <v>11.292474796003507</v>
      </c>
      <c r="Z173" s="5">
        <v>11.551517962836343</v>
      </c>
      <c r="AA173" s="5">
        <v>3048.0</v>
      </c>
      <c r="AB173" s="5">
        <v>2530.0</v>
      </c>
      <c r="AC173" s="5">
        <v>12.0</v>
      </c>
      <c r="AD173" s="5">
        <v>12.0</v>
      </c>
      <c r="AE173" s="9" t="b">
        <v>1</v>
      </c>
      <c r="AF173" s="9" t="b">
        <v>1</v>
      </c>
      <c r="AG173" s="5">
        <v>7.6206885126404025</v>
      </c>
      <c r="AH173" s="5">
        <v>9.180971773331205</v>
      </c>
      <c r="AI173" s="5">
        <v>1117.0</v>
      </c>
      <c r="AJ173" s="5">
        <v>2015.0</v>
      </c>
      <c r="AK173" s="5">
        <v>6.0</v>
      </c>
      <c r="AL173" s="5">
        <v>6.0</v>
      </c>
      <c r="AM173" s="5">
        <v>-36.03174603174604</v>
      </c>
      <c r="AN173" s="5">
        <v>-27.561608300907913</v>
      </c>
    </row>
    <row r="174" ht="15.75" customHeight="1">
      <c r="A174" s="5">
        <v>8.0</v>
      </c>
      <c r="B174" s="5">
        <v>2023.0</v>
      </c>
      <c r="C174" s="5">
        <v>7443.57</v>
      </c>
      <c r="D174" s="5">
        <v>330447.0</v>
      </c>
      <c r="E174" s="5">
        <v>9365.1975</v>
      </c>
      <c r="F174" s="5">
        <v>8152.2525000000005</v>
      </c>
      <c r="G174" s="5">
        <v>4.0</v>
      </c>
      <c r="H174" s="5">
        <v>4.0</v>
      </c>
      <c r="I174" s="5">
        <v>0.7948118552758764</v>
      </c>
      <c r="J174" s="5">
        <v>6.57077774828605</v>
      </c>
      <c r="K174" s="5">
        <v>9.091141113356628</v>
      </c>
      <c r="L174" s="5">
        <v>0.9130691180137023</v>
      </c>
      <c r="M174" s="5">
        <v>4.256952432959893</v>
      </c>
      <c r="N174" s="5">
        <v>11.512253932170458</v>
      </c>
      <c r="O174" s="5">
        <v>16.259277538984396</v>
      </c>
      <c r="Q174" s="5">
        <v>2.0</v>
      </c>
      <c r="R174" s="5">
        <v>5564.0</v>
      </c>
      <c r="S174" s="5">
        <v>4.0</v>
      </c>
      <c r="T174" s="5">
        <v>283111.0</v>
      </c>
      <c r="U174" s="5">
        <v>4.0</v>
      </c>
      <c r="V174" s="5">
        <v>50.88263838964774</v>
      </c>
      <c r="W174" s="9" t="b">
        <v>0</v>
      </c>
      <c r="X174" s="9" t="b">
        <v>1</v>
      </c>
      <c r="Z174" s="5">
        <v>16.837798497187144</v>
      </c>
      <c r="AA174" s="5">
        <v>3376.0</v>
      </c>
      <c r="AB174" s="5">
        <v>3573.0</v>
      </c>
      <c r="AC174" s="5">
        <v>12.0</v>
      </c>
      <c r="AD174" s="5">
        <v>12.0</v>
      </c>
      <c r="AE174" s="9" t="b">
        <v>1</v>
      </c>
      <c r="AF174" s="9" t="b">
        <v>1</v>
      </c>
      <c r="AG174" s="5">
        <v>10.812626533150551</v>
      </c>
      <c r="AH174" s="5">
        <v>10.21646436493598</v>
      </c>
      <c r="AI174" s="5">
        <v>2047.0</v>
      </c>
      <c r="AJ174" s="5">
        <v>1604.0</v>
      </c>
      <c r="AK174" s="5">
        <v>6.0</v>
      </c>
      <c r="AL174" s="5">
        <v>6.0</v>
      </c>
      <c r="AM174" s="5">
        <v>-20.397022332506197</v>
      </c>
      <c r="AN174" s="5">
        <v>83.25872873769025</v>
      </c>
    </row>
    <row r="175" ht="15.75" customHeight="1">
      <c r="A175" s="5">
        <v>8.0</v>
      </c>
      <c r="B175" s="5">
        <v>2024.0</v>
      </c>
      <c r="C175" s="5">
        <v>8507.48</v>
      </c>
      <c r="D175" s="5">
        <v>328868.0</v>
      </c>
      <c r="E175" s="5">
        <v>10625.98</v>
      </c>
      <c r="F175" s="5">
        <v>9555.0775</v>
      </c>
      <c r="G175" s="5">
        <v>4.0</v>
      </c>
      <c r="H175" s="5">
        <v>4.0</v>
      </c>
      <c r="I175" s="5">
        <v>0.8006301536422994</v>
      </c>
      <c r="J175" s="5">
        <v>13.462422976130494</v>
      </c>
      <c r="K175" s="5">
        <v>0.73203467308669</v>
      </c>
      <c r="L175" s="5">
        <v>0.8903622184121479</v>
      </c>
      <c r="M175" s="5">
        <v>17.207820783274297</v>
      </c>
      <c r="N175" s="5">
        <v>-2.48687631128639</v>
      </c>
      <c r="O175" s="5">
        <v>14.293007253240052</v>
      </c>
      <c r="Q175" s="5">
        <v>2.0</v>
      </c>
      <c r="R175" s="5">
        <v>5644.0</v>
      </c>
      <c r="S175" s="5">
        <v>4.0</v>
      </c>
      <c r="T175" s="5">
        <v>287833.0</v>
      </c>
      <c r="U175" s="5">
        <v>4.0</v>
      </c>
      <c r="V175" s="5">
        <v>50.998051027639974</v>
      </c>
      <c r="W175" s="9" t="b">
        <v>0</v>
      </c>
      <c r="X175" s="9" t="b">
        <v>1</v>
      </c>
      <c r="Z175" s="5">
        <v>17.161900823430678</v>
      </c>
      <c r="AA175" s="5">
        <v>3720.0</v>
      </c>
      <c r="AB175" s="5">
        <v>4339.0</v>
      </c>
      <c r="AC175" s="5">
        <v>12.0</v>
      </c>
      <c r="AD175" s="5">
        <v>12.0</v>
      </c>
      <c r="AE175" s="9" t="b">
        <v>1</v>
      </c>
      <c r="AF175" s="9" t="b">
        <v>1</v>
      </c>
      <c r="AG175" s="5">
        <v>13.193743386404272</v>
      </c>
      <c r="AH175" s="5">
        <v>11.311529245776422</v>
      </c>
      <c r="AI175" s="5">
        <v>2170.0</v>
      </c>
      <c r="AJ175" s="5">
        <v>1923.0</v>
      </c>
      <c r="AK175" s="5">
        <v>6.0</v>
      </c>
      <c r="AL175" s="5">
        <v>6.0</v>
      </c>
      <c r="AM175" s="5">
        <v>19.88778054862843</v>
      </c>
      <c r="AN175" s="5">
        <v>6.008793356130915</v>
      </c>
    </row>
    <row r="176" ht="15.75" customHeight="1">
      <c r="A176" s="5">
        <v>8.0</v>
      </c>
      <c r="B176" s="5">
        <v>2025.0</v>
      </c>
      <c r="C176" s="5">
        <v>9288.09</v>
      </c>
      <c r="D176" s="5">
        <v>327384.0</v>
      </c>
      <c r="E176" s="5">
        <v>11002.3125</v>
      </c>
      <c r="F176" s="5">
        <v>10021.665</v>
      </c>
      <c r="G176" s="5">
        <v>4.0</v>
      </c>
      <c r="H176" s="5">
        <v>4.0</v>
      </c>
      <c r="I176" s="5">
        <v>0.8441943455069105</v>
      </c>
      <c r="J176" s="5">
        <v>3.541626278235044</v>
      </c>
      <c r="K176" s="5">
        <v>5.441237963174994</v>
      </c>
      <c r="L176" s="5">
        <v>0.926801085448376</v>
      </c>
      <c r="M176" s="5">
        <v>4.883136740649152</v>
      </c>
      <c r="N176" s="5">
        <v>4.092589092696719</v>
      </c>
      <c r="O176" s="5">
        <v>9.175572554975165</v>
      </c>
      <c r="AA176" s="5">
        <v>2907.0</v>
      </c>
      <c r="AB176" s="5">
        <v>2155.0</v>
      </c>
      <c r="AC176" s="5">
        <v>12.0</v>
      </c>
      <c r="AD176" s="5">
        <v>12.0</v>
      </c>
      <c r="AE176" s="9" t="b">
        <v>1</v>
      </c>
      <c r="AF176" s="9" t="b">
        <v>1</v>
      </c>
      <c r="AG176" s="5">
        <v>6.582484177601837</v>
      </c>
      <c r="AH176" s="5">
        <v>8.879480976468</v>
      </c>
      <c r="AI176" s="5">
        <v>934.0</v>
      </c>
      <c r="AJ176" s="5">
        <v>1291.0</v>
      </c>
      <c r="AK176" s="5">
        <v>6.0</v>
      </c>
      <c r="AL176" s="5">
        <v>6.0</v>
      </c>
      <c r="AM176" s="5">
        <v>-32.865314612584505</v>
      </c>
      <c r="AN176" s="5">
        <v>-56.958525345622114</v>
      </c>
    </row>
    <row r="177" ht="15.75" customHeight="1">
      <c r="A177" s="5">
        <v>8.0</v>
      </c>
      <c r="B177" s="5">
        <v>2026.0</v>
      </c>
      <c r="AI177" s="5">
        <v>1433.0</v>
      </c>
      <c r="AJ177" s="5">
        <v>1433.0</v>
      </c>
      <c r="AK177" s="5">
        <v>6.0</v>
      </c>
      <c r="AL177" s="5">
        <v>6.0</v>
      </c>
      <c r="AM177" s="5">
        <v>10.999225406661495</v>
      </c>
      <c r="AN177" s="5">
        <v>53.426124197002146</v>
      </c>
    </row>
    <row r="178" ht="15.75" customHeight="1">
      <c r="A178" s="5">
        <v>9.0</v>
      </c>
      <c r="B178" s="5">
        <v>2005.0</v>
      </c>
      <c r="C178" s="5">
        <v>2562.95</v>
      </c>
      <c r="D178" s="5">
        <v>173847.0</v>
      </c>
      <c r="AA178" s="5">
        <v>1119.0</v>
      </c>
      <c r="AB178" s="5">
        <v>891.0</v>
      </c>
      <c r="AC178" s="5">
        <v>12.0</v>
      </c>
      <c r="AD178" s="5">
        <v>12.0</v>
      </c>
      <c r="AE178" s="9" t="b">
        <v>1</v>
      </c>
      <c r="AF178" s="9" t="b">
        <v>1</v>
      </c>
      <c r="AG178" s="5">
        <v>5.125196293292378</v>
      </c>
      <c r="AH178" s="5">
        <v>6.436694334673592</v>
      </c>
      <c r="AI178" s="5">
        <v>493.0</v>
      </c>
      <c r="AJ178" s="5">
        <v>318.0</v>
      </c>
      <c r="AK178" s="5">
        <v>6.0</v>
      </c>
      <c r="AL178" s="5">
        <v>6.0</v>
      </c>
    </row>
    <row r="179" ht="15.75" customHeight="1">
      <c r="A179" s="5">
        <v>9.0</v>
      </c>
      <c r="B179" s="5">
        <v>2006.0</v>
      </c>
      <c r="C179" s="5">
        <v>2741.54</v>
      </c>
      <c r="D179" s="5">
        <v>174693.0</v>
      </c>
      <c r="AA179" s="5">
        <v>1299.0</v>
      </c>
      <c r="AB179" s="5">
        <v>1650.0</v>
      </c>
      <c r="AC179" s="5">
        <v>12.0</v>
      </c>
      <c r="AD179" s="5">
        <v>12.0</v>
      </c>
      <c r="AE179" s="9" t="b">
        <v>1</v>
      </c>
      <c r="AF179" s="9" t="b">
        <v>1</v>
      </c>
      <c r="AG179" s="5">
        <v>9.445140904329309</v>
      </c>
      <c r="AH179" s="5">
        <v>7.435901839226529</v>
      </c>
      <c r="AI179" s="5">
        <v>464.0</v>
      </c>
      <c r="AJ179" s="5">
        <v>853.0</v>
      </c>
      <c r="AK179" s="5">
        <v>6.0</v>
      </c>
      <c r="AL179" s="5">
        <v>6.0</v>
      </c>
      <c r="AM179" s="5">
        <v>168.23899371069183</v>
      </c>
      <c r="AN179" s="5">
        <v>-5.882352941176472</v>
      </c>
    </row>
    <row r="180" ht="15.75" customHeight="1">
      <c r="A180" s="5">
        <v>9.0</v>
      </c>
      <c r="B180" s="5">
        <v>2007.0</v>
      </c>
      <c r="C180" s="5">
        <v>2931.15</v>
      </c>
      <c r="D180" s="5">
        <v>175098.0</v>
      </c>
      <c r="E180" s="5">
        <v>3418.0</v>
      </c>
      <c r="F180" s="5">
        <v>4693.5075</v>
      </c>
      <c r="G180" s="5">
        <v>4.0</v>
      </c>
      <c r="H180" s="5">
        <v>4.0</v>
      </c>
      <c r="I180" s="5">
        <v>0.8575629022820364</v>
      </c>
      <c r="L180" s="5">
        <v>0.6245116259002463</v>
      </c>
      <c r="AA180" s="5">
        <v>1653.0</v>
      </c>
      <c r="AB180" s="5">
        <v>1477.0</v>
      </c>
      <c r="AC180" s="5">
        <v>12.0</v>
      </c>
      <c r="AD180" s="5">
        <v>12.0</v>
      </c>
      <c r="AE180" s="9" t="b">
        <v>1</v>
      </c>
      <c r="AF180" s="9" t="b">
        <v>1</v>
      </c>
      <c r="AG180" s="5">
        <v>8.435276245302632</v>
      </c>
      <c r="AH180" s="5">
        <v>9.440427646232395</v>
      </c>
      <c r="AI180" s="5">
        <v>717.0</v>
      </c>
      <c r="AJ180" s="5">
        <v>1139.0</v>
      </c>
      <c r="AK180" s="5">
        <v>6.0</v>
      </c>
      <c r="AL180" s="5">
        <v>6.0</v>
      </c>
      <c r="AM180" s="5">
        <v>33.528722157092616</v>
      </c>
      <c r="AN180" s="5">
        <v>54.52586206896552</v>
      </c>
    </row>
    <row r="181" ht="15.75" customHeight="1">
      <c r="A181" s="5">
        <v>9.0</v>
      </c>
      <c r="B181" s="5">
        <v>2008.0</v>
      </c>
      <c r="C181" s="5">
        <v>3132.8</v>
      </c>
      <c r="D181" s="5">
        <v>175843.0</v>
      </c>
      <c r="E181" s="5">
        <v>4397.5</v>
      </c>
      <c r="F181" s="5">
        <v>4713.935</v>
      </c>
      <c r="G181" s="5">
        <v>4.0</v>
      </c>
      <c r="H181" s="5">
        <v>4.0</v>
      </c>
      <c r="I181" s="5">
        <v>0.7124047754405913</v>
      </c>
      <c r="J181" s="5">
        <v>28.657109420713866</v>
      </c>
      <c r="K181" s="5">
        <v>-16.92681976507715</v>
      </c>
      <c r="L181" s="5">
        <v>0.6645827742639642</v>
      </c>
      <c r="M181" s="5">
        <v>0.43522887733749016</v>
      </c>
      <c r="N181" s="5">
        <v>6.416397501960747</v>
      </c>
      <c r="O181" s="5">
        <v>6.879552394111532</v>
      </c>
      <c r="AA181" s="5">
        <v>1573.0</v>
      </c>
      <c r="AB181" s="5">
        <v>1070.0</v>
      </c>
      <c r="AC181" s="5">
        <v>12.0</v>
      </c>
      <c r="AD181" s="5">
        <v>12.0</v>
      </c>
      <c r="AE181" s="9" t="b">
        <v>1</v>
      </c>
      <c r="AF181" s="9" t="b">
        <v>1</v>
      </c>
      <c r="AG181" s="5">
        <v>6.08497352752171</v>
      </c>
      <c r="AH181" s="5">
        <v>8.945479774571636</v>
      </c>
      <c r="AI181" s="5">
        <v>484.0</v>
      </c>
      <c r="AJ181" s="5">
        <v>1013.0</v>
      </c>
      <c r="AK181" s="5">
        <v>6.0</v>
      </c>
      <c r="AL181" s="5">
        <v>6.0</v>
      </c>
      <c r="AM181" s="5">
        <v>-11.062335381913957</v>
      </c>
      <c r="AN181" s="5">
        <v>-32.49651324965133</v>
      </c>
    </row>
    <row r="182" ht="15.75" customHeight="1">
      <c r="A182" s="5">
        <v>9.0</v>
      </c>
      <c r="B182" s="5">
        <v>2009.0</v>
      </c>
      <c r="C182" s="5">
        <v>3322.72</v>
      </c>
      <c r="D182" s="5">
        <v>176387.0</v>
      </c>
      <c r="E182" s="5">
        <v>4423.75</v>
      </c>
      <c r="F182" s="5">
        <v>4447.745</v>
      </c>
      <c r="G182" s="5">
        <v>4.0</v>
      </c>
      <c r="H182" s="5">
        <v>4.0</v>
      </c>
      <c r="I182" s="5">
        <v>0.7511093529245549</v>
      </c>
      <c r="J182" s="5">
        <v>0.5969300739056216</v>
      </c>
      <c r="K182" s="5">
        <v>5.432947506566976</v>
      </c>
      <c r="L182" s="5">
        <v>0.7470572166344968</v>
      </c>
      <c r="M182" s="5">
        <v>-5.646874638704191</v>
      </c>
      <c r="N182" s="5">
        <v>12.40995788099899</v>
      </c>
      <c r="O182" s="5">
        <v>6.0623084780387915</v>
      </c>
      <c r="AA182" s="5">
        <v>676.0</v>
      </c>
      <c r="AB182" s="5">
        <v>665.0</v>
      </c>
      <c r="AC182" s="5">
        <v>12.0</v>
      </c>
      <c r="AD182" s="5">
        <v>12.0</v>
      </c>
      <c r="AE182" s="9" t="b">
        <v>1</v>
      </c>
      <c r="AF182" s="9" t="b">
        <v>1</v>
      </c>
      <c r="AG182" s="5">
        <v>3.7701191130865657</v>
      </c>
      <c r="AH182" s="5">
        <v>3.8324819856338617</v>
      </c>
      <c r="AI182" s="5">
        <v>313.0</v>
      </c>
      <c r="AJ182" s="5">
        <v>205.0</v>
      </c>
      <c r="AK182" s="5">
        <v>6.0</v>
      </c>
      <c r="AL182" s="5">
        <v>6.0</v>
      </c>
      <c r="AM182" s="5">
        <v>-79.76307996051332</v>
      </c>
      <c r="AN182" s="5">
        <v>-35.33057851239669</v>
      </c>
    </row>
    <row r="183" ht="15.75" customHeight="1">
      <c r="A183" s="5">
        <v>9.0</v>
      </c>
      <c r="B183" s="5">
        <v>2010.0</v>
      </c>
      <c r="C183" s="5">
        <v>3443.21</v>
      </c>
      <c r="D183" s="5">
        <v>175447.0</v>
      </c>
      <c r="E183" s="5">
        <v>4878.5765</v>
      </c>
      <c r="F183" s="5">
        <v>4425.8375</v>
      </c>
      <c r="G183" s="5">
        <v>4.0</v>
      </c>
      <c r="H183" s="5">
        <v>4.0</v>
      </c>
      <c r="I183" s="5">
        <v>0.705781696771589</v>
      </c>
      <c r="J183" s="5">
        <v>10.281469341621928</v>
      </c>
      <c r="K183" s="5">
        <v>-6.034761247010978</v>
      </c>
      <c r="L183" s="5">
        <v>0.7779793090008389</v>
      </c>
      <c r="M183" s="5">
        <v>-0.49255296785225555</v>
      </c>
      <c r="N183" s="5">
        <v>4.139186621561142</v>
      </c>
      <c r="O183" s="5">
        <v>3.626245967159436</v>
      </c>
      <c r="P183" s="5">
        <v>1884.0</v>
      </c>
      <c r="Q183" s="5">
        <v>4.0</v>
      </c>
      <c r="R183" s="5">
        <v>1638.0</v>
      </c>
      <c r="S183" s="5">
        <v>4.0</v>
      </c>
      <c r="T183" s="5">
        <v>79874.8</v>
      </c>
      <c r="U183" s="5">
        <v>4.0</v>
      </c>
      <c r="V183" s="5">
        <v>48.763614163614164</v>
      </c>
      <c r="W183" s="9" t="b">
        <v>1</v>
      </c>
      <c r="X183" s="9" t="b">
        <v>1</v>
      </c>
      <c r="Y183" s="5">
        <v>10.73828563611803</v>
      </c>
      <c r="Z183" s="5">
        <v>9.336152798280963</v>
      </c>
      <c r="AA183" s="5">
        <v>994.0</v>
      </c>
      <c r="AB183" s="5">
        <v>662.0</v>
      </c>
      <c r="AC183" s="5">
        <v>12.0</v>
      </c>
      <c r="AD183" s="5">
        <v>12.0</v>
      </c>
      <c r="AE183" s="9" t="b">
        <v>1</v>
      </c>
      <c r="AF183" s="9" t="b">
        <v>1</v>
      </c>
      <c r="AG183" s="5">
        <v>3.773219262797312</v>
      </c>
      <c r="AH183" s="5">
        <v>5.665528621179045</v>
      </c>
      <c r="AI183" s="5">
        <v>354.0</v>
      </c>
      <c r="AJ183" s="5">
        <v>375.0</v>
      </c>
      <c r="AK183" s="5">
        <v>6.0</v>
      </c>
      <c r="AL183" s="5">
        <v>6.0</v>
      </c>
      <c r="AM183" s="5">
        <v>82.92682926829269</v>
      </c>
      <c r="AN183" s="5">
        <v>13.09904153354633</v>
      </c>
    </row>
    <row r="184" ht="15.75" customHeight="1">
      <c r="A184" s="5">
        <v>9.0</v>
      </c>
      <c r="B184" s="5">
        <v>2011.0</v>
      </c>
      <c r="C184" s="5">
        <v>3546.91</v>
      </c>
      <c r="D184" s="5">
        <v>175317.0</v>
      </c>
      <c r="E184" s="5">
        <v>4879.33575</v>
      </c>
      <c r="F184" s="5">
        <v>4439.8775000000005</v>
      </c>
      <c r="G184" s="5">
        <v>4.0</v>
      </c>
      <c r="H184" s="5">
        <v>4.0</v>
      </c>
      <c r="I184" s="5">
        <v>0.7269247663475504</v>
      </c>
      <c r="J184" s="5">
        <v>0.015562941362090577</v>
      </c>
      <c r="K184" s="5">
        <v>2.995695364823825</v>
      </c>
      <c r="L184" s="5">
        <v>0.7988756446546103</v>
      </c>
      <c r="M184" s="5">
        <v>0.3172280952475237</v>
      </c>
      <c r="N184" s="5">
        <v>2.685975759510706</v>
      </c>
      <c r="O184" s="5">
        <v>3.0117245244989377</v>
      </c>
      <c r="P184" s="5">
        <v>1816.0</v>
      </c>
      <c r="Q184" s="5">
        <v>4.0</v>
      </c>
      <c r="R184" s="5">
        <v>1638.0</v>
      </c>
      <c r="S184" s="5">
        <v>4.0</v>
      </c>
      <c r="T184" s="5">
        <v>83371.3</v>
      </c>
      <c r="U184" s="5">
        <v>4.0</v>
      </c>
      <c r="V184" s="5">
        <v>50.89822954822955</v>
      </c>
      <c r="W184" s="9" t="b">
        <v>1</v>
      </c>
      <c r="X184" s="9" t="b">
        <v>1</v>
      </c>
      <c r="Y184" s="5">
        <v>10.358379392757119</v>
      </c>
      <c r="Z184" s="5">
        <v>9.3430756857578</v>
      </c>
      <c r="AA184" s="5">
        <v>957.0</v>
      </c>
      <c r="AB184" s="5">
        <v>1165.0</v>
      </c>
      <c r="AC184" s="5">
        <v>12.0</v>
      </c>
      <c r="AD184" s="5">
        <v>12.0</v>
      </c>
      <c r="AE184" s="9" t="b">
        <v>1</v>
      </c>
      <c r="AF184" s="9" t="b">
        <v>1</v>
      </c>
      <c r="AG184" s="5">
        <v>6.645105722776456</v>
      </c>
      <c r="AH184" s="5">
        <v>5.458683413473879</v>
      </c>
      <c r="AI184" s="5">
        <v>210.0</v>
      </c>
      <c r="AJ184" s="5">
        <v>471.0</v>
      </c>
      <c r="AK184" s="5">
        <v>6.0</v>
      </c>
      <c r="AL184" s="5">
        <v>6.0</v>
      </c>
      <c r="AM184" s="5">
        <v>25.6</v>
      </c>
      <c r="AN184" s="5">
        <v>-40.67796610169492</v>
      </c>
    </row>
    <row r="185" ht="15.75" customHeight="1">
      <c r="A185" s="5">
        <v>9.0</v>
      </c>
      <c r="B185" s="5">
        <v>2012.0</v>
      </c>
      <c r="C185" s="5">
        <v>3649.18</v>
      </c>
      <c r="D185" s="5">
        <v>175482.0</v>
      </c>
      <c r="E185" s="5">
        <v>4537.7375</v>
      </c>
      <c r="F185" s="5">
        <v>4163.04</v>
      </c>
      <c r="G185" s="5">
        <v>4.0</v>
      </c>
      <c r="H185" s="5">
        <v>4.0</v>
      </c>
      <c r="I185" s="5">
        <v>0.8041849049223319</v>
      </c>
      <c r="J185" s="5">
        <v>-7.0009170817974535</v>
      </c>
      <c r="K185" s="5">
        <v>10.628354150454488</v>
      </c>
      <c r="L185" s="5">
        <v>0.8765661631884392</v>
      </c>
      <c r="M185" s="5">
        <v>-6.2352508599618055</v>
      </c>
      <c r="N185" s="5">
        <v>9.724982737134003</v>
      </c>
      <c r="O185" s="5">
        <v>2.8833548074239213</v>
      </c>
      <c r="P185" s="5">
        <v>2035.0</v>
      </c>
      <c r="Q185" s="5">
        <v>4.0</v>
      </c>
      <c r="R185" s="5">
        <v>1727.0</v>
      </c>
      <c r="S185" s="5">
        <v>4.0</v>
      </c>
      <c r="T185" s="5">
        <v>86095.5</v>
      </c>
      <c r="U185" s="5">
        <v>4.0</v>
      </c>
      <c r="V185" s="5">
        <v>49.85263462651998</v>
      </c>
      <c r="W185" s="9" t="b">
        <v>1</v>
      </c>
      <c r="X185" s="9" t="b">
        <v>1</v>
      </c>
      <c r="Y185" s="5">
        <v>11.59663099349221</v>
      </c>
      <c r="Z185" s="5">
        <v>9.8414652215042</v>
      </c>
      <c r="AA185" s="5">
        <v>1224.0</v>
      </c>
      <c r="AB185" s="5">
        <v>347.0</v>
      </c>
      <c r="AC185" s="5">
        <v>12.0</v>
      </c>
      <c r="AD185" s="5">
        <v>12.0</v>
      </c>
      <c r="AE185" s="9" t="b">
        <v>1</v>
      </c>
      <c r="AF185" s="9" t="b">
        <v>1</v>
      </c>
      <c r="AG185" s="5">
        <v>1.9774107885709076</v>
      </c>
      <c r="AH185" s="5">
        <v>6.975074366601702</v>
      </c>
      <c r="AI185" s="5">
        <v>282.0</v>
      </c>
      <c r="AJ185" s="5">
        <v>29.0</v>
      </c>
      <c r="AK185" s="5">
        <v>6.0</v>
      </c>
      <c r="AL185" s="5">
        <v>6.0</v>
      </c>
      <c r="AM185" s="5">
        <v>-93.84288747346072</v>
      </c>
      <c r="AN185" s="5">
        <v>34.28571428571428</v>
      </c>
    </row>
    <row r="186" ht="15.75" customHeight="1">
      <c r="A186" s="5">
        <v>9.0</v>
      </c>
      <c r="B186" s="5">
        <v>2013.0</v>
      </c>
      <c r="C186" s="5">
        <v>3795.3</v>
      </c>
      <c r="D186" s="5">
        <v>174642.0</v>
      </c>
      <c r="E186" s="5">
        <v>4485.7775</v>
      </c>
      <c r="F186" s="5">
        <v>4026.5699999999997</v>
      </c>
      <c r="G186" s="5">
        <v>4.0</v>
      </c>
      <c r="H186" s="5">
        <v>4.0</v>
      </c>
      <c r="I186" s="5">
        <v>0.846074064083651</v>
      </c>
      <c r="J186" s="5">
        <v>-1.1450640324611072</v>
      </c>
      <c r="K186" s="5">
        <v>5.208896474544611</v>
      </c>
      <c r="L186" s="5">
        <v>0.942564018507067</v>
      </c>
      <c r="M186" s="5">
        <v>-3.278133287213192</v>
      </c>
      <c r="N186" s="5">
        <v>7.529135630625516</v>
      </c>
      <c r="O186" s="5">
        <v>4.004187242065349</v>
      </c>
      <c r="P186" s="5">
        <v>2312.0</v>
      </c>
      <c r="Q186" s="5">
        <v>4.0</v>
      </c>
      <c r="R186" s="5">
        <v>1844.0</v>
      </c>
      <c r="S186" s="5">
        <v>4.0</v>
      </c>
      <c r="T186" s="5">
        <v>93173.6</v>
      </c>
      <c r="U186" s="5">
        <v>4.0</v>
      </c>
      <c r="V186" s="5">
        <v>50.527982646420824</v>
      </c>
      <c r="W186" s="9" t="b">
        <v>1</v>
      </c>
      <c r="X186" s="9" t="b">
        <v>1</v>
      </c>
      <c r="Y186" s="5">
        <v>13.238510782057007</v>
      </c>
      <c r="Z186" s="5">
        <v>10.558743028595643</v>
      </c>
      <c r="AA186" s="5">
        <v>1187.0</v>
      </c>
      <c r="AB186" s="5">
        <v>315.0</v>
      </c>
      <c r="AC186" s="5">
        <v>12.0</v>
      </c>
      <c r="AD186" s="5">
        <v>12.0</v>
      </c>
      <c r="AE186" s="9" t="b">
        <v>1</v>
      </c>
      <c r="AF186" s="9" t="b">
        <v>1</v>
      </c>
      <c r="AG186" s="5">
        <v>1.8036898340605354</v>
      </c>
      <c r="AH186" s="5">
        <v>6.796761374697954</v>
      </c>
      <c r="AI186" s="5">
        <v>674.0</v>
      </c>
      <c r="AJ186" s="5">
        <v>143.0</v>
      </c>
      <c r="AK186" s="5">
        <v>6.0</v>
      </c>
      <c r="AL186" s="5">
        <v>6.0</v>
      </c>
      <c r="AM186" s="5">
        <v>393.1034482758621</v>
      </c>
      <c r="AN186" s="5">
        <v>139.00709219858155</v>
      </c>
    </row>
    <row r="187" ht="15.75" customHeight="1">
      <c r="A187" s="5">
        <v>9.0</v>
      </c>
      <c r="B187" s="5">
        <v>2014.0</v>
      </c>
      <c r="C187" s="5">
        <v>3954.4</v>
      </c>
      <c r="D187" s="5">
        <v>174775.0</v>
      </c>
      <c r="E187" s="5">
        <v>4594.9039999999995</v>
      </c>
      <c r="F187" s="5">
        <v>4060.85</v>
      </c>
      <c r="G187" s="5">
        <v>4.0</v>
      </c>
      <c r="H187" s="5">
        <v>4.0</v>
      </c>
      <c r="I187" s="5">
        <v>0.8606055752198524</v>
      </c>
      <c r="J187" s="5">
        <v>2.4327220866393606</v>
      </c>
      <c r="K187" s="5">
        <v>1.7175223485830227</v>
      </c>
      <c r="L187" s="5">
        <v>0.973786276272209</v>
      </c>
      <c r="M187" s="5">
        <v>0.851344941227894</v>
      </c>
      <c r="N187" s="5">
        <v>3.3124813967114086</v>
      </c>
      <c r="O187" s="5">
        <v>4.192026980739327</v>
      </c>
      <c r="P187" s="5">
        <v>2013.0</v>
      </c>
      <c r="Q187" s="5">
        <v>4.0</v>
      </c>
      <c r="R187" s="5">
        <v>1864.0</v>
      </c>
      <c r="S187" s="5">
        <v>4.0</v>
      </c>
      <c r="T187" s="5">
        <v>93996.4</v>
      </c>
      <c r="U187" s="5">
        <v>4.0</v>
      </c>
      <c r="V187" s="5">
        <v>50.42725321888412</v>
      </c>
      <c r="W187" s="9" t="b">
        <v>1</v>
      </c>
      <c r="X187" s="9" t="b">
        <v>1</v>
      </c>
      <c r="Y187" s="5">
        <v>11.517665570018595</v>
      </c>
      <c r="Z187" s="5">
        <v>10.66514089543699</v>
      </c>
      <c r="AA187" s="5">
        <v>873.0</v>
      </c>
      <c r="AB187" s="5">
        <v>655.0</v>
      </c>
      <c r="AC187" s="5">
        <v>12.0</v>
      </c>
      <c r="AD187" s="5">
        <v>12.0</v>
      </c>
      <c r="AE187" s="9" t="b">
        <v>1</v>
      </c>
      <c r="AF187" s="9" t="b">
        <v>1</v>
      </c>
      <c r="AG187" s="5">
        <v>3.74767558289229</v>
      </c>
      <c r="AH187" s="5">
        <v>4.994993563152625</v>
      </c>
      <c r="AI187" s="5">
        <v>417.0</v>
      </c>
      <c r="AJ187" s="5">
        <v>331.0</v>
      </c>
      <c r="AK187" s="5">
        <v>6.0</v>
      </c>
      <c r="AL187" s="5">
        <v>6.0</v>
      </c>
      <c r="AM187" s="5">
        <v>131.46853146853147</v>
      </c>
      <c r="AN187" s="5">
        <v>-38.13056379821958</v>
      </c>
    </row>
    <row r="188" ht="15.75" customHeight="1">
      <c r="A188" s="5">
        <v>9.0</v>
      </c>
      <c r="B188" s="5">
        <v>2015.0</v>
      </c>
      <c r="C188" s="5">
        <v>4104.05</v>
      </c>
      <c r="D188" s="5">
        <v>174083.0</v>
      </c>
      <c r="E188" s="5">
        <v>4727.77325</v>
      </c>
      <c r="F188" s="5">
        <v>4042.36</v>
      </c>
      <c r="G188" s="5">
        <v>4.0</v>
      </c>
      <c r="H188" s="5">
        <v>4.0</v>
      </c>
      <c r="I188" s="5">
        <v>0.8680725117263185</v>
      </c>
      <c r="J188" s="5">
        <v>2.891665418907574</v>
      </c>
      <c r="K188" s="5">
        <v>0.8676374777793594</v>
      </c>
      <c r="L188" s="5">
        <v>1.0152608872045044</v>
      </c>
      <c r="M188" s="5">
        <v>-0.4553233928857203</v>
      </c>
      <c r="N188" s="5">
        <v>4.259108178343407</v>
      </c>
      <c r="O188" s="5">
        <v>3.7843920695933564</v>
      </c>
      <c r="P188" s="5">
        <v>1911.0</v>
      </c>
      <c r="Q188" s="5">
        <v>4.0</v>
      </c>
      <c r="R188" s="5">
        <v>1804.0</v>
      </c>
      <c r="S188" s="5">
        <v>4.0</v>
      </c>
      <c r="T188" s="5">
        <v>92963.4</v>
      </c>
      <c r="U188" s="5">
        <v>4.0</v>
      </c>
      <c r="V188" s="5">
        <v>51.53181818181818</v>
      </c>
      <c r="W188" s="9" t="b">
        <v>1</v>
      </c>
      <c r="X188" s="9" t="b">
        <v>1</v>
      </c>
      <c r="Y188" s="5">
        <v>10.97752221641401</v>
      </c>
      <c r="Z188" s="5">
        <v>10.3628728824756</v>
      </c>
      <c r="AA188" s="5">
        <v>700.0</v>
      </c>
      <c r="AB188" s="5">
        <v>564.0</v>
      </c>
      <c r="AC188" s="5">
        <v>12.0</v>
      </c>
      <c r="AD188" s="5">
        <v>12.0</v>
      </c>
      <c r="AE188" s="9" t="b">
        <v>1</v>
      </c>
      <c r="AF188" s="9" t="b">
        <v>1</v>
      </c>
      <c r="AG188" s="5">
        <v>3.2398338723482474</v>
      </c>
      <c r="AH188" s="5">
        <v>4.02107040894286</v>
      </c>
      <c r="AI188" s="5">
        <v>228.0</v>
      </c>
      <c r="AJ188" s="5">
        <v>112.0</v>
      </c>
      <c r="AK188" s="5">
        <v>6.0</v>
      </c>
      <c r="AL188" s="5">
        <v>6.0</v>
      </c>
      <c r="AM188" s="5">
        <v>-66.1631419939577</v>
      </c>
      <c r="AN188" s="5">
        <v>-45.32374100719424</v>
      </c>
    </row>
    <row r="189" ht="15.75" customHeight="1">
      <c r="A189" s="5">
        <v>9.0</v>
      </c>
      <c r="B189" s="5">
        <v>2016.0</v>
      </c>
      <c r="C189" s="5">
        <v>4254.72</v>
      </c>
      <c r="D189" s="5">
        <v>173599.0</v>
      </c>
      <c r="E189" s="5">
        <v>4847.9115</v>
      </c>
      <c r="F189" s="5">
        <v>4150.87</v>
      </c>
      <c r="G189" s="5">
        <v>4.0</v>
      </c>
      <c r="H189" s="5">
        <v>4.0</v>
      </c>
      <c r="I189" s="5">
        <v>0.8776397836470406</v>
      </c>
      <c r="J189" s="5">
        <v>2.541117004712534</v>
      </c>
      <c r="K189" s="5">
        <v>1.1021281968364605</v>
      </c>
      <c r="L189" s="5">
        <v>1.025018851469692</v>
      </c>
      <c r="M189" s="5">
        <v>2.6843230192263867</v>
      </c>
      <c r="N189" s="5">
        <v>0.9611287490899123</v>
      </c>
      <c r="O189" s="5">
        <v>3.671251568572509</v>
      </c>
      <c r="P189" s="5">
        <v>1547.0</v>
      </c>
      <c r="Q189" s="5">
        <v>4.0</v>
      </c>
      <c r="R189" s="5">
        <v>1450.0</v>
      </c>
      <c r="S189" s="5">
        <v>4.0</v>
      </c>
      <c r="T189" s="5">
        <v>75272.6</v>
      </c>
      <c r="U189" s="5">
        <v>4.0</v>
      </c>
      <c r="V189" s="5">
        <v>51.912137931034486</v>
      </c>
      <c r="W189" s="9" t="b">
        <v>1</v>
      </c>
      <c r="X189" s="9" t="b">
        <v>1</v>
      </c>
      <c r="Y189" s="5">
        <v>8.911341655193866</v>
      </c>
      <c r="Z189" s="5">
        <v>8.35258267616749</v>
      </c>
      <c r="AA189" s="5">
        <v>548.0</v>
      </c>
      <c r="AB189" s="5">
        <v>357.0</v>
      </c>
      <c r="AC189" s="5">
        <v>12.0</v>
      </c>
      <c r="AD189" s="5">
        <v>12.0</v>
      </c>
      <c r="AE189" s="9" t="b">
        <v>1</v>
      </c>
      <c r="AF189" s="9" t="b">
        <v>1</v>
      </c>
      <c r="AG189" s="5">
        <v>2.0564634588908923</v>
      </c>
      <c r="AH189" s="5">
        <v>3.1567002114067475</v>
      </c>
      <c r="AI189" s="5">
        <v>174.0</v>
      </c>
      <c r="AJ189" s="5">
        <v>196.0</v>
      </c>
      <c r="AK189" s="5">
        <v>6.0</v>
      </c>
      <c r="AL189" s="5">
        <v>6.0</v>
      </c>
      <c r="AM189" s="5">
        <v>75.0</v>
      </c>
      <c r="AN189" s="5">
        <v>-23.684210526315784</v>
      </c>
    </row>
    <row r="190" ht="15.75" customHeight="1">
      <c r="A190" s="5">
        <v>9.0</v>
      </c>
      <c r="B190" s="5">
        <v>2017.0</v>
      </c>
      <c r="C190" s="5">
        <v>4427.76</v>
      </c>
      <c r="D190" s="5">
        <v>172970.0</v>
      </c>
      <c r="E190" s="5">
        <v>5104.6875</v>
      </c>
      <c r="F190" s="5">
        <v>4233.995</v>
      </c>
      <c r="G190" s="5">
        <v>4.0</v>
      </c>
      <c r="H190" s="5">
        <v>4.0</v>
      </c>
      <c r="I190" s="5">
        <v>0.8673910009182737</v>
      </c>
      <c r="J190" s="5">
        <v>5.296631343208302</v>
      </c>
      <c r="K190" s="5">
        <v>-1.1677664253297637</v>
      </c>
      <c r="L190" s="5">
        <v>1.0457641069486385</v>
      </c>
      <c r="M190" s="5">
        <v>2.002592227653488</v>
      </c>
      <c r="N190" s="5">
        <v>2.0238901410643884</v>
      </c>
      <c r="O190" s="5">
        <v>4.0670126353790526</v>
      </c>
      <c r="P190" s="5">
        <v>2149.0</v>
      </c>
      <c r="Q190" s="5">
        <v>4.0</v>
      </c>
      <c r="R190" s="5">
        <v>2042.0</v>
      </c>
      <c r="S190" s="5">
        <v>4.0</v>
      </c>
      <c r="T190" s="5">
        <v>107381.59999999999</v>
      </c>
      <c r="U190" s="5">
        <v>4.0</v>
      </c>
      <c r="V190" s="5">
        <v>52.58648383937316</v>
      </c>
      <c r="W190" s="9" t="b">
        <v>1</v>
      </c>
      <c r="X190" s="9" t="b">
        <v>1</v>
      </c>
      <c r="Y190" s="5">
        <v>12.424119789558883</v>
      </c>
      <c r="Z190" s="5">
        <v>11.805515407296062</v>
      </c>
      <c r="AA190" s="5">
        <v>847.0</v>
      </c>
      <c r="AB190" s="5">
        <v>794.0</v>
      </c>
      <c r="AC190" s="5">
        <v>12.0</v>
      </c>
      <c r="AD190" s="5">
        <v>12.0</v>
      </c>
      <c r="AE190" s="9" t="b">
        <v>1</v>
      </c>
      <c r="AF190" s="9" t="b">
        <v>1</v>
      </c>
      <c r="AG190" s="5">
        <v>4.590391397352142</v>
      </c>
      <c r="AH190" s="5">
        <v>4.896802913800081</v>
      </c>
      <c r="AI190" s="5">
        <v>466.0</v>
      </c>
      <c r="AJ190" s="5">
        <v>429.0</v>
      </c>
      <c r="AK190" s="5">
        <v>6.0</v>
      </c>
      <c r="AL190" s="5">
        <v>6.0</v>
      </c>
      <c r="AM190" s="5">
        <v>118.87755102040818</v>
      </c>
      <c r="AN190" s="5">
        <v>167.816091954023</v>
      </c>
    </row>
    <row r="191" ht="15.75" customHeight="1">
      <c r="A191" s="5">
        <v>9.0</v>
      </c>
      <c r="B191" s="5">
        <v>2018.0</v>
      </c>
      <c r="C191" s="5">
        <v>4648.58</v>
      </c>
      <c r="D191" s="5">
        <v>173125.0</v>
      </c>
      <c r="E191" s="5">
        <v>5381.62575</v>
      </c>
      <c r="F191" s="5">
        <v>4526.21</v>
      </c>
      <c r="G191" s="5">
        <v>4.0</v>
      </c>
      <c r="H191" s="5">
        <v>4.0</v>
      </c>
      <c r="I191" s="5">
        <v>0.8637873044219025</v>
      </c>
      <c r="J191" s="5">
        <v>5.425175390266301</v>
      </c>
      <c r="K191" s="5">
        <v>-0.4154639018108419</v>
      </c>
      <c r="L191" s="5">
        <v>1.0270358644428783</v>
      </c>
      <c r="M191" s="5">
        <v>6.90163781487696</v>
      </c>
      <c r="N191" s="5">
        <v>-1.790866829461768</v>
      </c>
      <c r="O191" s="5">
        <v>4.987171843098981</v>
      </c>
      <c r="P191" s="5">
        <v>2123.0</v>
      </c>
      <c r="Q191" s="5">
        <v>4.0</v>
      </c>
      <c r="R191" s="5">
        <v>1984.0</v>
      </c>
      <c r="S191" s="5">
        <v>4.0</v>
      </c>
      <c r="T191" s="5">
        <v>104307.20000000001</v>
      </c>
      <c r="U191" s="5">
        <v>4.0</v>
      </c>
      <c r="V191" s="5">
        <v>52.5741935483871</v>
      </c>
      <c r="W191" s="9" t="b">
        <v>1</v>
      </c>
      <c r="X191" s="9" t="b">
        <v>1</v>
      </c>
      <c r="Y191" s="5">
        <v>12.262815884476533</v>
      </c>
      <c r="Z191" s="5">
        <v>11.459927797833934</v>
      </c>
      <c r="AA191" s="5">
        <v>663.0</v>
      </c>
      <c r="AB191" s="5">
        <v>1297.0</v>
      </c>
      <c r="AC191" s="5">
        <v>12.0</v>
      </c>
      <c r="AD191" s="5">
        <v>12.0</v>
      </c>
      <c r="AE191" s="9" t="b">
        <v>1</v>
      </c>
      <c r="AF191" s="9" t="b">
        <v>1</v>
      </c>
      <c r="AG191" s="5">
        <v>7.491696750902527</v>
      </c>
      <c r="AH191" s="5">
        <v>3.8296028880866424</v>
      </c>
      <c r="AI191" s="5">
        <v>316.0</v>
      </c>
      <c r="AJ191" s="5">
        <v>965.0</v>
      </c>
      <c r="AK191" s="5">
        <v>6.0</v>
      </c>
      <c r="AL191" s="5">
        <v>6.0</v>
      </c>
      <c r="AM191" s="5">
        <v>124.94172494172493</v>
      </c>
      <c r="AN191" s="5">
        <v>-32.188841201716734</v>
      </c>
    </row>
    <row r="192" ht="15.75" customHeight="1">
      <c r="A192" s="5">
        <v>9.0</v>
      </c>
      <c r="B192" s="5">
        <v>2019.0</v>
      </c>
      <c r="C192" s="5">
        <v>5018.92</v>
      </c>
      <c r="D192" s="5">
        <v>172194.0</v>
      </c>
      <c r="E192" s="5">
        <v>5808.28625</v>
      </c>
      <c r="F192" s="5">
        <v>5113.6525</v>
      </c>
      <c r="G192" s="5">
        <v>4.0</v>
      </c>
      <c r="H192" s="5">
        <v>4.0</v>
      </c>
      <c r="I192" s="5">
        <v>0.8640965310550939</v>
      </c>
      <c r="J192" s="5">
        <v>7.928096820928143</v>
      </c>
      <c r="K192" s="5">
        <v>0.035798932400177286</v>
      </c>
      <c r="L192" s="5">
        <v>0.9814745917912882</v>
      </c>
      <c r="M192" s="5">
        <v>12.978684152966835</v>
      </c>
      <c r="N192" s="5">
        <v>-4.436191006465496</v>
      </c>
      <c r="O192" s="5">
        <v>7.966733927349856</v>
      </c>
      <c r="P192" s="5">
        <v>2153.0</v>
      </c>
      <c r="Q192" s="5">
        <v>4.0</v>
      </c>
      <c r="R192" s="5">
        <v>2132.0</v>
      </c>
      <c r="S192" s="5">
        <v>4.0</v>
      </c>
      <c r="T192" s="5">
        <v>109043.3</v>
      </c>
      <c r="U192" s="5">
        <v>4.0</v>
      </c>
      <c r="V192" s="5">
        <v>51.14601313320826</v>
      </c>
      <c r="W192" s="9" t="b">
        <v>1</v>
      </c>
      <c r="X192" s="9" t="b">
        <v>1</v>
      </c>
      <c r="Y192" s="5">
        <v>12.503339256884678</v>
      </c>
      <c r="Z192" s="5">
        <v>12.381383788053009</v>
      </c>
      <c r="AA192" s="5">
        <v>1279.0</v>
      </c>
      <c r="AB192" s="5">
        <v>837.0</v>
      </c>
      <c r="AC192" s="5">
        <v>12.0</v>
      </c>
      <c r="AD192" s="5">
        <v>12.0</v>
      </c>
      <c r="AE192" s="9" t="b">
        <v>1</v>
      </c>
      <c r="AF192" s="9" t="b">
        <v>1</v>
      </c>
      <c r="AG192" s="5">
        <v>4.86079654343357</v>
      </c>
      <c r="AH192" s="5">
        <v>7.4276687921762665</v>
      </c>
      <c r="AI192" s="5">
        <v>456.0</v>
      </c>
      <c r="AJ192" s="5">
        <v>675.0</v>
      </c>
      <c r="AK192" s="5">
        <v>6.0</v>
      </c>
      <c r="AL192" s="5">
        <v>6.0</v>
      </c>
      <c r="AM192" s="5">
        <v>-30.051813471502587</v>
      </c>
      <c r="AN192" s="5">
        <v>44.303797468354425</v>
      </c>
    </row>
    <row r="193" ht="15.75" customHeight="1">
      <c r="A193" s="5">
        <v>9.0</v>
      </c>
      <c r="B193" s="5">
        <v>2020.0</v>
      </c>
      <c r="C193" s="5">
        <v>5438.71</v>
      </c>
      <c r="D193" s="5">
        <v>171310.0</v>
      </c>
      <c r="E193" s="5">
        <v>6330.45825</v>
      </c>
      <c r="F193" s="5">
        <v>5629.8375</v>
      </c>
      <c r="G193" s="5">
        <v>4.0</v>
      </c>
      <c r="H193" s="5">
        <v>4.0</v>
      </c>
      <c r="I193" s="5">
        <v>0.8591336969957902</v>
      </c>
      <c r="J193" s="5">
        <v>8.990121655935933</v>
      </c>
      <c r="K193" s="5">
        <v>-0.574337921857393</v>
      </c>
      <c r="L193" s="5">
        <v>0.9660509739401892</v>
      </c>
      <c r="M193" s="5">
        <v>10.094252591469587</v>
      </c>
      <c r="N193" s="5">
        <v>-1.571473982117999</v>
      </c>
      <c r="O193" s="5">
        <v>8.36415005618738</v>
      </c>
      <c r="P193" s="5">
        <v>2163.0</v>
      </c>
      <c r="Q193" s="5">
        <v>4.0</v>
      </c>
      <c r="R193" s="5">
        <v>2121.0</v>
      </c>
      <c r="S193" s="5">
        <v>4.0</v>
      </c>
      <c r="T193" s="5">
        <v>110280.59999999999</v>
      </c>
      <c r="U193" s="5">
        <v>4.0</v>
      </c>
      <c r="V193" s="5">
        <v>51.99462517680339</v>
      </c>
      <c r="W193" s="9" t="b">
        <v>1</v>
      </c>
      <c r="X193" s="9" t="b">
        <v>1</v>
      </c>
      <c r="Y193" s="5">
        <v>12.626233144591676</v>
      </c>
      <c r="Z193" s="5">
        <v>12.381063568968537</v>
      </c>
      <c r="AA193" s="5">
        <v>1509.0</v>
      </c>
      <c r="AB193" s="5">
        <v>666.0</v>
      </c>
      <c r="AC193" s="5">
        <v>12.0</v>
      </c>
      <c r="AD193" s="5">
        <v>12.0</v>
      </c>
      <c r="AE193" s="9" t="b">
        <v>1</v>
      </c>
      <c r="AF193" s="9" t="b">
        <v>1</v>
      </c>
      <c r="AG193" s="5">
        <v>3.8876889848812093</v>
      </c>
      <c r="AH193" s="5">
        <v>8.808592609888507</v>
      </c>
      <c r="AI193" s="5">
        <v>843.0</v>
      </c>
      <c r="AJ193" s="5">
        <v>29.0</v>
      </c>
      <c r="AK193" s="5">
        <v>6.0</v>
      </c>
      <c r="AL193" s="5">
        <v>6.0</v>
      </c>
      <c r="AM193" s="5">
        <v>-95.7037037037037</v>
      </c>
      <c r="AN193" s="5">
        <v>84.86842105263158</v>
      </c>
    </row>
    <row r="194" ht="15.75" customHeight="1">
      <c r="A194" s="5">
        <v>9.0</v>
      </c>
      <c r="B194" s="5">
        <v>2021.0</v>
      </c>
      <c r="C194" s="5">
        <v>5902.66</v>
      </c>
      <c r="D194" s="5">
        <v>170080.0</v>
      </c>
      <c r="E194" s="5">
        <v>6774.206</v>
      </c>
      <c r="F194" s="5">
        <v>6095.73264403125</v>
      </c>
      <c r="G194" s="5">
        <v>4.0</v>
      </c>
      <c r="H194" s="5">
        <v>4.0</v>
      </c>
      <c r="I194" s="5">
        <v>0.8713434460068087</v>
      </c>
      <c r="J194" s="5">
        <v>7.009725559757074</v>
      </c>
      <c r="K194" s="5">
        <v>1.4211698427978536</v>
      </c>
      <c r="L194" s="5">
        <v>0.9683265892213464</v>
      </c>
      <c r="M194" s="5">
        <v>8.275463439775145</v>
      </c>
      <c r="N194" s="5">
        <v>0.2355585101141866</v>
      </c>
      <c r="O194" s="5">
        <v>8.530515508273107</v>
      </c>
      <c r="P194" s="5">
        <v>2584.0</v>
      </c>
      <c r="Q194" s="5">
        <v>4.0</v>
      </c>
      <c r="R194" s="5">
        <v>2519.0</v>
      </c>
      <c r="S194" s="5">
        <v>4.0</v>
      </c>
      <c r="T194" s="5">
        <v>135160.0</v>
      </c>
      <c r="U194" s="5">
        <v>4.0</v>
      </c>
      <c r="V194" s="5">
        <v>53.65621278285034</v>
      </c>
      <c r="W194" s="9" t="b">
        <v>1</v>
      </c>
      <c r="X194" s="9" t="b">
        <v>1</v>
      </c>
      <c r="Y194" s="5">
        <v>15.192850423330198</v>
      </c>
      <c r="Z194" s="5">
        <v>14.810677328316087</v>
      </c>
      <c r="AA194" s="5">
        <v>802.0</v>
      </c>
      <c r="AB194" s="5">
        <v>530.0</v>
      </c>
      <c r="AC194" s="5">
        <v>12.0</v>
      </c>
      <c r="AD194" s="5">
        <v>12.0</v>
      </c>
      <c r="AE194" s="9" t="b">
        <v>1</v>
      </c>
      <c r="AF194" s="9" t="b">
        <v>1</v>
      </c>
      <c r="AG194" s="5">
        <v>3.1161806208842897</v>
      </c>
      <c r="AH194" s="5">
        <v>4.715428033866416</v>
      </c>
      <c r="AI194" s="5">
        <v>447.0</v>
      </c>
      <c r="AJ194" s="5">
        <v>292.0</v>
      </c>
      <c r="AK194" s="5">
        <v>6.0</v>
      </c>
      <c r="AL194" s="5">
        <v>6.0</v>
      </c>
      <c r="AM194" s="5">
        <v>906.8965517241379</v>
      </c>
      <c r="AN194" s="5">
        <v>-46.97508896797154</v>
      </c>
    </row>
    <row r="195" ht="15.75" customHeight="1">
      <c r="A195" s="5">
        <v>9.0</v>
      </c>
      <c r="B195" s="5">
        <v>2022.0</v>
      </c>
      <c r="C195" s="5">
        <v>6506.02</v>
      </c>
      <c r="D195" s="5">
        <v>168803.0</v>
      </c>
      <c r="E195" s="5">
        <v>7521.017</v>
      </c>
      <c r="F195" s="5">
        <v>7031.57475</v>
      </c>
      <c r="G195" s="5">
        <v>4.0</v>
      </c>
      <c r="H195" s="5">
        <v>4.0</v>
      </c>
      <c r="I195" s="5">
        <v>0.8650452458756576</v>
      </c>
      <c r="J195" s="5">
        <v>11.024332593369612</v>
      </c>
      <c r="K195" s="5">
        <v>-0.7228148854524052</v>
      </c>
      <c r="L195" s="5">
        <v>0.9252578876445849</v>
      </c>
      <c r="M195" s="5">
        <v>15.352413903603491</v>
      </c>
      <c r="N195" s="5">
        <v>-4.447745425579397</v>
      </c>
      <c r="O195" s="5">
        <v>10.22183219091055</v>
      </c>
      <c r="P195" s="5">
        <v>2310.0</v>
      </c>
      <c r="Q195" s="5">
        <v>4.0</v>
      </c>
      <c r="R195" s="5">
        <v>2273.0</v>
      </c>
      <c r="S195" s="5">
        <v>4.0</v>
      </c>
      <c r="T195" s="5">
        <v>117847.59999999999</v>
      </c>
      <c r="U195" s="5">
        <v>4.0</v>
      </c>
      <c r="V195" s="5">
        <v>51.846722393312795</v>
      </c>
      <c r="W195" s="9" t="b">
        <v>1</v>
      </c>
      <c r="X195" s="9" t="b">
        <v>1</v>
      </c>
      <c r="Y195" s="5">
        <v>13.684590913668595</v>
      </c>
      <c r="Z195" s="5">
        <v>13.465400496436676</v>
      </c>
      <c r="AA195" s="5">
        <v>1391.0</v>
      </c>
      <c r="AB195" s="5">
        <v>584.0</v>
      </c>
      <c r="AC195" s="5">
        <v>12.0</v>
      </c>
      <c r="AD195" s="5">
        <v>12.0</v>
      </c>
      <c r="AE195" s="9" t="b">
        <v>1</v>
      </c>
      <c r="AF195" s="9" t="b">
        <v>1</v>
      </c>
      <c r="AG195" s="5">
        <v>3.459654153066</v>
      </c>
      <c r="AH195" s="5">
        <v>8.240374874854119</v>
      </c>
      <c r="AI195" s="5">
        <v>737.0</v>
      </c>
      <c r="AJ195" s="5">
        <v>472.0</v>
      </c>
      <c r="AK195" s="5">
        <v>6.0</v>
      </c>
      <c r="AL195" s="5">
        <v>6.0</v>
      </c>
      <c r="AM195" s="5">
        <v>61.64383561643836</v>
      </c>
      <c r="AN195" s="5">
        <v>64.87695749440716</v>
      </c>
    </row>
    <row r="196" ht="15.75" customHeight="1">
      <c r="A196" s="5">
        <v>9.0</v>
      </c>
      <c r="B196" s="5">
        <v>2023.0</v>
      </c>
      <c r="C196" s="5">
        <v>7386.7</v>
      </c>
      <c r="D196" s="5">
        <v>167844.0</v>
      </c>
      <c r="E196" s="5">
        <v>8368.476999999999</v>
      </c>
      <c r="F196" s="5">
        <v>7210.68125</v>
      </c>
      <c r="G196" s="5">
        <v>4.0</v>
      </c>
      <c r="H196" s="5">
        <v>4.0</v>
      </c>
      <c r="I196" s="5">
        <v>0.8826815201858117</v>
      </c>
      <c r="J196" s="5">
        <v>11.267891031226206</v>
      </c>
      <c r="K196" s="5">
        <v>2.038769000146523</v>
      </c>
      <c r="L196" s="5">
        <v>1.0244108349679166</v>
      </c>
      <c r="M196" s="5">
        <v>2.5471747989310733</v>
      </c>
      <c r="N196" s="5">
        <v>10.716249885288075</v>
      </c>
      <c r="O196" s="5">
        <v>13.536386300687653</v>
      </c>
      <c r="P196" s="5">
        <v>2386.0</v>
      </c>
      <c r="Q196" s="5">
        <v>4.0</v>
      </c>
      <c r="R196" s="5">
        <v>2372.0</v>
      </c>
      <c r="S196" s="5">
        <v>4.0</v>
      </c>
      <c r="T196" s="5">
        <v>122163.0</v>
      </c>
      <c r="U196" s="5">
        <v>4.0</v>
      </c>
      <c r="V196" s="5">
        <v>51.50210792580101</v>
      </c>
      <c r="W196" s="9" t="b">
        <v>1</v>
      </c>
      <c r="X196" s="9" t="b">
        <v>1</v>
      </c>
      <c r="Y196" s="5">
        <v>14.215581134863324</v>
      </c>
      <c r="Z196" s="5">
        <v>14.132170348657088</v>
      </c>
      <c r="AA196" s="5">
        <v>962.0</v>
      </c>
      <c r="AB196" s="5">
        <v>1165.0</v>
      </c>
      <c r="AC196" s="5">
        <v>12.0</v>
      </c>
      <c r="AD196" s="5">
        <v>12.0</v>
      </c>
      <c r="AE196" s="9" t="b">
        <v>1</v>
      </c>
      <c r="AF196" s="9" t="b">
        <v>1</v>
      </c>
      <c r="AG196" s="5">
        <v>6.940968995019185</v>
      </c>
      <c r="AH196" s="5">
        <v>5.731512595028717</v>
      </c>
      <c r="AI196" s="5">
        <v>370.0</v>
      </c>
      <c r="AJ196" s="5">
        <v>197.0</v>
      </c>
      <c r="AK196" s="5">
        <v>6.0</v>
      </c>
      <c r="AL196" s="5">
        <v>6.0</v>
      </c>
      <c r="AM196" s="5">
        <v>-58.26271186440678</v>
      </c>
      <c r="AN196" s="5">
        <v>-49.79647218453188</v>
      </c>
    </row>
    <row r="197" ht="15.75" customHeight="1">
      <c r="A197" s="5">
        <v>9.0</v>
      </c>
      <c r="B197" s="5">
        <v>2024.0</v>
      </c>
      <c r="C197" s="5">
        <v>8613.33</v>
      </c>
      <c r="D197" s="5">
        <v>166697.0</v>
      </c>
      <c r="E197" s="5">
        <v>9171.48925</v>
      </c>
      <c r="F197" s="5">
        <v>8208.3735</v>
      </c>
      <c r="G197" s="5">
        <v>4.0</v>
      </c>
      <c r="H197" s="5">
        <v>4.0</v>
      </c>
      <c r="I197" s="5">
        <v>0.9391419174372362</v>
      </c>
      <c r="J197" s="5">
        <v>9.595679715675875</v>
      </c>
      <c r="K197" s="5">
        <v>6.396463045871759</v>
      </c>
      <c r="L197" s="5">
        <v>1.049334560616668</v>
      </c>
      <c r="M197" s="5">
        <v>13.83631054277985</v>
      </c>
      <c r="N197" s="5">
        <v>2.4329814560709817</v>
      </c>
      <c r="O197" s="5">
        <v>16.60592686856106</v>
      </c>
      <c r="P197" s="5">
        <v>2696.0</v>
      </c>
      <c r="Q197" s="5">
        <v>4.0</v>
      </c>
      <c r="R197" s="5">
        <v>2646.0</v>
      </c>
      <c r="S197" s="5">
        <v>4.0</v>
      </c>
      <c r="T197" s="5">
        <v>136500.0</v>
      </c>
      <c r="U197" s="5">
        <v>4.0</v>
      </c>
      <c r="V197" s="5">
        <v>51.58730158730159</v>
      </c>
      <c r="W197" s="9" t="b">
        <v>1</v>
      </c>
      <c r="X197" s="9" t="b">
        <v>1</v>
      </c>
      <c r="Y197" s="5">
        <v>16.173056503716325</v>
      </c>
      <c r="Z197" s="5">
        <v>15.873111093780933</v>
      </c>
      <c r="AA197" s="5">
        <v>918.0</v>
      </c>
      <c r="AB197" s="5">
        <v>740.0</v>
      </c>
      <c r="AC197" s="5">
        <v>12.0</v>
      </c>
      <c r="AD197" s="5">
        <v>12.0</v>
      </c>
      <c r="AE197" s="9" t="b">
        <v>1</v>
      </c>
      <c r="AF197" s="9" t="b">
        <v>1</v>
      </c>
      <c r="AG197" s="5">
        <v>4.439192067043798</v>
      </c>
      <c r="AH197" s="5">
        <v>5.506997726413792</v>
      </c>
      <c r="AI197" s="5">
        <v>426.0</v>
      </c>
      <c r="AJ197" s="5">
        <v>281.0</v>
      </c>
      <c r="AK197" s="5">
        <v>6.0</v>
      </c>
      <c r="AL197" s="5">
        <v>6.0</v>
      </c>
      <c r="AM197" s="5">
        <v>42.639593908629436</v>
      </c>
      <c r="AN197" s="5">
        <v>15.135135135135137</v>
      </c>
    </row>
    <row r="198" ht="15.75" customHeight="1">
      <c r="A198" s="5">
        <v>9.0</v>
      </c>
      <c r="B198" s="5">
        <v>2025.0</v>
      </c>
      <c r="C198" s="5">
        <v>9304.52</v>
      </c>
      <c r="D198" s="5">
        <v>165855.0</v>
      </c>
      <c r="E198" s="5">
        <v>10043.432499999999</v>
      </c>
      <c r="F198" s="5">
        <v>8614.25375</v>
      </c>
      <c r="G198" s="5">
        <v>4.0</v>
      </c>
      <c r="H198" s="5">
        <v>4.0</v>
      </c>
      <c r="I198" s="5">
        <v>0.9264282903280329</v>
      </c>
      <c r="J198" s="5">
        <v>9.507106493092143</v>
      </c>
      <c r="K198" s="5">
        <v>-1.3537492974327825</v>
      </c>
      <c r="L198" s="5">
        <v>1.0801307077818552</v>
      </c>
      <c r="M198" s="5">
        <v>4.944709813704273</v>
      </c>
      <c r="N198" s="5">
        <v>2.9348263481466796</v>
      </c>
      <c r="O198" s="5">
        <v>8.024654808302945</v>
      </c>
      <c r="AA198" s="5">
        <v>600.0</v>
      </c>
      <c r="AB198" s="5">
        <v>1092.0</v>
      </c>
      <c r="AC198" s="5">
        <v>12.0</v>
      </c>
      <c r="AD198" s="5">
        <v>12.0</v>
      </c>
      <c r="AE198" s="9" t="b">
        <v>1</v>
      </c>
      <c r="AF198" s="9" t="b">
        <v>1</v>
      </c>
      <c r="AG198" s="5">
        <v>6.584064393596816</v>
      </c>
      <c r="AH198" s="5">
        <v>3.6176177986795697</v>
      </c>
      <c r="AI198" s="5">
        <v>195.0</v>
      </c>
      <c r="AJ198" s="5">
        <v>674.0</v>
      </c>
      <c r="AK198" s="5">
        <v>6.0</v>
      </c>
      <c r="AL198" s="5">
        <v>6.0</v>
      </c>
      <c r="AM198" s="5">
        <v>139.8576512455516</v>
      </c>
      <c r="AN198" s="5">
        <v>-54.22535211267605</v>
      </c>
    </row>
    <row r="199" ht="15.75" customHeight="1">
      <c r="A199" s="5">
        <v>9.0</v>
      </c>
      <c r="B199" s="5">
        <v>2026.0</v>
      </c>
      <c r="AI199" s="5">
        <v>778.0</v>
      </c>
      <c r="AJ199" s="5">
        <v>336.0</v>
      </c>
      <c r="AK199" s="5">
        <v>6.0</v>
      </c>
      <c r="AL199" s="5">
        <v>6.0</v>
      </c>
      <c r="AM199" s="5">
        <v>-50.14836795252226</v>
      </c>
      <c r="AN199" s="5">
        <v>298.974358974359</v>
      </c>
    </row>
    <row r="200" ht="15.75" customHeight="1">
      <c r="A200" s="5">
        <v>10.0</v>
      </c>
      <c r="B200" s="5">
        <v>2005.0</v>
      </c>
      <c r="C200" s="5">
        <v>2471.69</v>
      </c>
      <c r="D200" s="5">
        <v>128641.0</v>
      </c>
      <c r="AA200" s="5">
        <v>114.0</v>
      </c>
      <c r="AB200" s="5">
        <v>111.0</v>
      </c>
      <c r="AC200" s="5">
        <v>12.0</v>
      </c>
      <c r="AD200" s="5">
        <v>12.0</v>
      </c>
      <c r="AE200" s="9" t="b">
        <v>1</v>
      </c>
      <c r="AF200" s="9" t="b">
        <v>1</v>
      </c>
      <c r="AG200" s="5">
        <v>0.8628664267224291</v>
      </c>
      <c r="AH200" s="5">
        <v>0.8861871409581704</v>
      </c>
      <c r="AI200" s="5">
        <v>69.0</v>
      </c>
      <c r="AJ200" s="5">
        <v>61.0</v>
      </c>
      <c r="AK200" s="5">
        <v>6.0</v>
      </c>
      <c r="AL200" s="5">
        <v>6.0</v>
      </c>
    </row>
    <row r="201" ht="15.75" customHeight="1">
      <c r="A201" s="5">
        <v>10.0</v>
      </c>
      <c r="B201" s="5">
        <v>2006.0</v>
      </c>
      <c r="C201" s="5">
        <v>2595.37</v>
      </c>
      <c r="D201" s="5">
        <v>128034.0</v>
      </c>
      <c r="AA201" s="5">
        <v>391.0</v>
      </c>
      <c r="AB201" s="5">
        <v>143.0</v>
      </c>
      <c r="AC201" s="5">
        <v>12.0</v>
      </c>
      <c r="AD201" s="5">
        <v>12.0</v>
      </c>
      <c r="AE201" s="9" t="b">
        <v>1</v>
      </c>
      <c r="AF201" s="9" t="b">
        <v>1</v>
      </c>
      <c r="AG201" s="5">
        <v>1.116890825874377</v>
      </c>
      <c r="AH201" s="5">
        <v>3.053876314104066</v>
      </c>
      <c r="AI201" s="5">
        <v>165.0</v>
      </c>
      <c r="AJ201" s="5">
        <v>52.0</v>
      </c>
      <c r="AK201" s="5">
        <v>6.0</v>
      </c>
      <c r="AL201" s="5">
        <v>6.0</v>
      </c>
      <c r="AM201" s="5">
        <v>-14.754098360655743</v>
      </c>
      <c r="AN201" s="5">
        <v>139.1304347826087</v>
      </c>
    </row>
    <row r="202" ht="15.75" customHeight="1">
      <c r="A202" s="5">
        <v>10.0</v>
      </c>
      <c r="B202" s="5">
        <v>2007.0</v>
      </c>
      <c r="C202" s="5">
        <v>2876.99</v>
      </c>
      <c r="D202" s="5">
        <v>127246.0</v>
      </c>
      <c r="F202" s="5">
        <v>3784.571050184482</v>
      </c>
      <c r="G202" s="5">
        <v>3.0</v>
      </c>
      <c r="H202" s="5">
        <v>4.0</v>
      </c>
      <c r="L202" s="5">
        <v>0.7601891896995192</v>
      </c>
      <c r="AA202" s="5">
        <v>186.0</v>
      </c>
      <c r="AB202" s="5">
        <v>1103.0</v>
      </c>
      <c r="AC202" s="5">
        <v>12.0</v>
      </c>
      <c r="AD202" s="5">
        <v>12.0</v>
      </c>
      <c r="AE202" s="9" t="b">
        <v>1</v>
      </c>
      <c r="AF202" s="9" t="b">
        <v>1</v>
      </c>
      <c r="AG202" s="5">
        <v>8.668248903698348</v>
      </c>
      <c r="AH202" s="5">
        <v>1.4617355358911086</v>
      </c>
      <c r="AI202" s="5">
        <v>55.0</v>
      </c>
      <c r="AJ202" s="5">
        <v>89.0</v>
      </c>
      <c r="AK202" s="5">
        <v>6.0</v>
      </c>
      <c r="AL202" s="5">
        <v>6.0</v>
      </c>
      <c r="AM202" s="5">
        <v>71.15384615384615</v>
      </c>
      <c r="AN202" s="5">
        <v>-66.66666666666667</v>
      </c>
    </row>
    <row r="203" ht="15.75" customHeight="1">
      <c r="A203" s="5">
        <v>10.0</v>
      </c>
      <c r="B203" s="5">
        <v>2008.0</v>
      </c>
      <c r="C203" s="5">
        <v>3193.94</v>
      </c>
      <c r="D203" s="5">
        <v>126382.0</v>
      </c>
      <c r="E203" s="5">
        <v>3962.7225599049657</v>
      </c>
      <c r="F203" s="5">
        <v>3754.4074190741962</v>
      </c>
      <c r="G203" s="5">
        <v>4.0</v>
      </c>
      <c r="H203" s="5">
        <v>4.0</v>
      </c>
      <c r="I203" s="5">
        <v>0.8059963703531638</v>
      </c>
      <c r="L203" s="5">
        <v>0.8507174750862807</v>
      </c>
      <c r="M203" s="5">
        <v>-0.7970158496248936</v>
      </c>
      <c r="N203" s="5">
        <v>11.908652032074363</v>
      </c>
      <c r="O203" s="5">
        <v>11.016722338277173</v>
      </c>
      <c r="AA203" s="5">
        <v>247.0</v>
      </c>
      <c r="AB203" s="5">
        <v>627.0</v>
      </c>
      <c r="AC203" s="5">
        <v>12.0</v>
      </c>
      <c r="AD203" s="5">
        <v>12.0</v>
      </c>
      <c r="AE203" s="9" t="b">
        <v>1</v>
      </c>
      <c r="AF203" s="9" t="b">
        <v>1</v>
      </c>
      <c r="AG203" s="5">
        <v>4.961149530787613</v>
      </c>
      <c r="AH203" s="5">
        <v>1.9543922394011803</v>
      </c>
      <c r="AI203" s="5">
        <v>43.0</v>
      </c>
      <c r="AJ203" s="5">
        <v>362.0</v>
      </c>
      <c r="AK203" s="5">
        <v>6.0</v>
      </c>
      <c r="AL203" s="5">
        <v>6.0</v>
      </c>
      <c r="AM203" s="5">
        <v>306.7415730337078</v>
      </c>
      <c r="AN203" s="5">
        <v>-21.818181818181813</v>
      </c>
    </row>
    <row r="204" ht="15.75" customHeight="1">
      <c r="A204" s="5">
        <v>10.0</v>
      </c>
      <c r="B204" s="5">
        <v>2009.0</v>
      </c>
      <c r="C204" s="5">
        <v>3352.46</v>
      </c>
      <c r="D204" s="5">
        <v>125992.0</v>
      </c>
      <c r="E204" s="5">
        <v>3602.3215574785627</v>
      </c>
      <c r="F204" s="5">
        <v>3727.4696875553527</v>
      </c>
      <c r="G204" s="5">
        <v>4.0</v>
      </c>
      <c r="H204" s="5">
        <v>4.0</v>
      </c>
      <c r="I204" s="5">
        <v>0.9306387412973058</v>
      </c>
      <c r="J204" s="5">
        <v>-9.094782614179431</v>
      </c>
      <c r="K204" s="5">
        <v>15.464383653431014</v>
      </c>
      <c r="L204" s="5">
        <v>0.8993929611802419</v>
      </c>
      <c r="M204" s="5">
        <v>-0.717496225422598</v>
      </c>
      <c r="N204" s="5">
        <v>5.721698157079058</v>
      </c>
      <c r="O204" s="5">
        <v>4.963148963349351</v>
      </c>
      <c r="AA204" s="5">
        <v>541.0</v>
      </c>
      <c r="AB204" s="5">
        <v>188.0</v>
      </c>
      <c r="AC204" s="5">
        <v>12.0</v>
      </c>
      <c r="AD204" s="5">
        <v>12.0</v>
      </c>
      <c r="AE204" s="9" t="b">
        <v>1</v>
      </c>
      <c r="AF204" s="9" t="b">
        <v>1</v>
      </c>
      <c r="AG204" s="5">
        <v>1.4921582322687155</v>
      </c>
      <c r="AH204" s="5">
        <v>4.293923423709441</v>
      </c>
      <c r="AI204" s="5">
        <v>158.0</v>
      </c>
      <c r="AJ204" s="5">
        <v>146.0</v>
      </c>
      <c r="AK204" s="5">
        <v>6.0</v>
      </c>
      <c r="AL204" s="5">
        <v>6.0</v>
      </c>
      <c r="AM204" s="5">
        <v>-59.66850828729282</v>
      </c>
      <c r="AN204" s="5">
        <v>267.4418604651163</v>
      </c>
    </row>
    <row r="205" ht="15.75" customHeight="1">
      <c r="A205" s="5">
        <v>10.0</v>
      </c>
      <c r="B205" s="5">
        <v>2010.0</v>
      </c>
      <c r="C205" s="5">
        <v>3541.8</v>
      </c>
      <c r="D205" s="5">
        <v>122668.0</v>
      </c>
      <c r="E205" s="5">
        <v>3905.7132384727965</v>
      </c>
      <c r="F205" s="5">
        <v>3798.8007792275503</v>
      </c>
      <c r="G205" s="5">
        <v>4.0</v>
      </c>
      <c r="H205" s="5">
        <v>4.0</v>
      </c>
      <c r="I205" s="5">
        <v>0.9068254077416362</v>
      </c>
      <c r="J205" s="5">
        <v>8.422115465077805</v>
      </c>
      <c r="K205" s="5">
        <v>-2.5588160581488273</v>
      </c>
      <c r="L205" s="5">
        <v>0.9323468657180257</v>
      </c>
      <c r="M205" s="5">
        <v>1.9136598725496112</v>
      </c>
      <c r="N205" s="5">
        <v>3.6640162821087063</v>
      </c>
      <c r="O205" s="5">
        <v>5.647792963972731</v>
      </c>
      <c r="P205" s="5">
        <v>1059.0</v>
      </c>
      <c r="Q205" s="5">
        <v>4.0</v>
      </c>
      <c r="R205" s="5">
        <v>938.0</v>
      </c>
      <c r="S205" s="5">
        <v>4.0</v>
      </c>
      <c r="T205" s="5">
        <v>49415.899999999994</v>
      </c>
      <c r="U205" s="5">
        <v>4.0</v>
      </c>
      <c r="V205" s="5">
        <v>52.6821961620469</v>
      </c>
      <c r="W205" s="9" t="b">
        <v>1</v>
      </c>
      <c r="X205" s="9" t="b">
        <v>1</v>
      </c>
      <c r="Y205" s="5">
        <v>8.633058336322431</v>
      </c>
      <c r="Z205" s="5">
        <v>7.646656014608537</v>
      </c>
      <c r="AA205" s="5">
        <v>727.0</v>
      </c>
      <c r="AB205" s="5">
        <v>484.0</v>
      </c>
      <c r="AC205" s="5">
        <v>12.0</v>
      </c>
      <c r="AD205" s="5">
        <v>12.0</v>
      </c>
      <c r="AE205" s="9" t="b">
        <v>1</v>
      </c>
      <c r="AF205" s="9" t="b">
        <v>1</v>
      </c>
      <c r="AG205" s="5">
        <v>3.9456092868555777</v>
      </c>
      <c r="AH205" s="5">
        <v>5.926566015586787</v>
      </c>
      <c r="AI205" s="5">
        <v>633.0</v>
      </c>
      <c r="AJ205" s="5">
        <v>377.0</v>
      </c>
      <c r="AK205" s="5">
        <v>6.0</v>
      </c>
      <c r="AL205" s="5">
        <v>6.0</v>
      </c>
      <c r="AM205" s="5">
        <v>158.21917808219177</v>
      </c>
      <c r="AN205" s="5">
        <v>300.63291139240505</v>
      </c>
    </row>
    <row r="206" ht="15.75" customHeight="1">
      <c r="A206" s="5">
        <v>10.0</v>
      </c>
      <c r="B206" s="5">
        <v>2011.0</v>
      </c>
      <c r="C206" s="5">
        <v>3714.16</v>
      </c>
      <c r="D206" s="5">
        <v>122563.0</v>
      </c>
      <c r="E206" s="5">
        <v>4734.317880682858</v>
      </c>
      <c r="F206" s="5">
        <v>3957.3699704665423</v>
      </c>
      <c r="G206" s="5">
        <v>4.0</v>
      </c>
      <c r="H206" s="5">
        <v>4.0</v>
      </c>
      <c r="I206" s="5">
        <v>0.7845185079680972</v>
      </c>
      <c r="J206" s="5">
        <v>21.215194040565578</v>
      </c>
      <c r="K206" s="5">
        <v>-13.4873701960042</v>
      </c>
      <c r="L206" s="5">
        <v>0.9385425238778294</v>
      </c>
      <c r="M206" s="5">
        <v>4.174190763202801</v>
      </c>
      <c r="N206" s="5">
        <v>0.6645228710059792</v>
      </c>
      <c r="O206" s="5">
        <v>4.866452086509665</v>
      </c>
      <c r="P206" s="5">
        <v>848.0</v>
      </c>
      <c r="Q206" s="5">
        <v>4.0</v>
      </c>
      <c r="R206" s="5">
        <v>747.0</v>
      </c>
      <c r="S206" s="5">
        <v>4.0</v>
      </c>
      <c r="T206" s="5">
        <v>38702.9</v>
      </c>
      <c r="U206" s="5">
        <v>4.0</v>
      </c>
      <c r="V206" s="5">
        <v>51.81111111111111</v>
      </c>
      <c r="W206" s="9" t="b">
        <v>1</v>
      </c>
      <c r="X206" s="9" t="b">
        <v>1</v>
      </c>
      <c r="Y206" s="5">
        <v>6.9188906929497485</v>
      </c>
      <c r="Z206" s="5">
        <v>6.0948247023979505</v>
      </c>
      <c r="AA206" s="5">
        <v>410.0</v>
      </c>
      <c r="AB206" s="5">
        <v>260.0</v>
      </c>
      <c r="AC206" s="5">
        <v>12.0</v>
      </c>
      <c r="AD206" s="5">
        <v>12.0</v>
      </c>
      <c r="AE206" s="9" t="b">
        <v>1</v>
      </c>
      <c r="AF206" s="9" t="b">
        <v>1</v>
      </c>
      <c r="AG206" s="5">
        <v>2.1213579954798756</v>
      </c>
      <c r="AH206" s="5">
        <v>3.3452183774874964</v>
      </c>
      <c r="AI206" s="5">
        <v>128.0</v>
      </c>
      <c r="AJ206" s="5">
        <v>68.0</v>
      </c>
      <c r="AK206" s="5">
        <v>6.0</v>
      </c>
      <c r="AL206" s="5">
        <v>6.0</v>
      </c>
      <c r="AM206" s="5">
        <v>-81.96286472148542</v>
      </c>
      <c r="AN206" s="5">
        <v>-79.77883096366509</v>
      </c>
    </row>
    <row r="207" ht="15.75" customHeight="1">
      <c r="A207" s="5">
        <v>10.0</v>
      </c>
      <c r="B207" s="5">
        <v>2012.0</v>
      </c>
      <c r="C207" s="5">
        <v>3771.22</v>
      </c>
      <c r="D207" s="5">
        <v>122120.0</v>
      </c>
      <c r="E207" s="5">
        <v>4458.371581783804</v>
      </c>
      <c r="F207" s="5">
        <v>3823.3741131755464</v>
      </c>
      <c r="G207" s="5">
        <v>4.0</v>
      </c>
      <c r="H207" s="5">
        <v>4.0</v>
      </c>
      <c r="I207" s="5">
        <v>0.8458738646658803</v>
      </c>
      <c r="J207" s="5">
        <v>-5.828639011017422</v>
      </c>
      <c r="K207" s="5">
        <v>7.820765995271861</v>
      </c>
      <c r="L207" s="5">
        <v>0.9863591394324137</v>
      </c>
      <c r="M207" s="5">
        <v>-3.385982566477075</v>
      </c>
      <c r="N207" s="5">
        <v>5.094773474622927</v>
      </c>
      <c r="O207" s="5">
        <v>1.536282766493624</v>
      </c>
      <c r="P207" s="5">
        <v>959.0</v>
      </c>
      <c r="Q207" s="5">
        <v>4.0</v>
      </c>
      <c r="R207" s="5">
        <v>752.0</v>
      </c>
      <c r="S207" s="5">
        <v>4.0</v>
      </c>
      <c r="T207" s="5">
        <v>40388.5</v>
      </c>
      <c r="U207" s="5">
        <v>4.0</v>
      </c>
      <c r="V207" s="5">
        <v>53.70811170212766</v>
      </c>
      <c r="W207" s="9" t="b">
        <v>1</v>
      </c>
      <c r="X207" s="9" t="b">
        <v>1</v>
      </c>
      <c r="Y207" s="5">
        <v>7.852931542744841</v>
      </c>
      <c r="Z207" s="5">
        <v>6.157877497543399</v>
      </c>
      <c r="AA207" s="5">
        <v>352.0</v>
      </c>
      <c r="AB207" s="5">
        <v>349.0</v>
      </c>
      <c r="AC207" s="5">
        <v>12.0</v>
      </c>
      <c r="AD207" s="5">
        <v>12.0</v>
      </c>
      <c r="AE207" s="9" t="b">
        <v>1</v>
      </c>
      <c r="AF207" s="9" t="b">
        <v>1</v>
      </c>
      <c r="AG207" s="5">
        <v>2.85784474287586</v>
      </c>
      <c r="AH207" s="5">
        <v>2.882410743530953</v>
      </c>
      <c r="AI207" s="5">
        <v>61.0</v>
      </c>
      <c r="AJ207" s="5">
        <v>90.0</v>
      </c>
      <c r="AK207" s="5">
        <v>6.0</v>
      </c>
      <c r="AL207" s="5">
        <v>6.0</v>
      </c>
      <c r="AM207" s="5">
        <v>32.35294117647059</v>
      </c>
      <c r="AN207" s="5">
        <v>-52.34375</v>
      </c>
    </row>
    <row r="208" ht="15.75" customHeight="1">
      <c r="A208" s="5">
        <v>10.0</v>
      </c>
      <c r="B208" s="5">
        <v>2013.0</v>
      </c>
      <c r="C208" s="5">
        <v>3872.66</v>
      </c>
      <c r="D208" s="5">
        <v>121272.0</v>
      </c>
      <c r="E208" s="5">
        <v>4552.29262897608</v>
      </c>
      <c r="F208" s="5">
        <v>3743.382286425513</v>
      </c>
      <c r="G208" s="5">
        <v>4.0</v>
      </c>
      <c r="H208" s="5">
        <v>4.0</v>
      </c>
      <c r="I208" s="5">
        <v>0.8507054171671417</v>
      </c>
      <c r="J208" s="5">
        <v>2.1066222379494404</v>
      </c>
      <c r="K208" s="5">
        <v>0.5711906589252358</v>
      </c>
      <c r="L208" s="5">
        <v>1.0345350016863846</v>
      </c>
      <c r="M208" s="5">
        <v>-2.092178907483244</v>
      </c>
      <c r="N208" s="5">
        <v>4.884211067552235</v>
      </c>
      <c r="O208" s="5">
        <v>2.6898457263166753</v>
      </c>
      <c r="P208" s="5">
        <v>1025.0</v>
      </c>
      <c r="Q208" s="5">
        <v>4.0</v>
      </c>
      <c r="R208" s="5">
        <v>793.0</v>
      </c>
      <c r="S208" s="5">
        <v>4.0</v>
      </c>
      <c r="T208" s="5">
        <v>42847.700000000004</v>
      </c>
      <c r="U208" s="5">
        <v>4.0</v>
      </c>
      <c r="V208" s="5">
        <v>54.03240857503153</v>
      </c>
      <c r="W208" s="9" t="b">
        <v>1</v>
      </c>
      <c r="X208" s="9" t="b">
        <v>1</v>
      </c>
      <c r="Y208" s="5">
        <v>8.452074675110495</v>
      </c>
      <c r="Z208" s="5">
        <v>6.539019724256217</v>
      </c>
      <c r="AA208" s="5">
        <v>308.0</v>
      </c>
      <c r="AB208" s="5">
        <v>557.0</v>
      </c>
      <c r="AC208" s="5">
        <v>12.0</v>
      </c>
      <c r="AD208" s="5">
        <v>12.0</v>
      </c>
      <c r="AE208" s="9" t="b">
        <v>1</v>
      </c>
      <c r="AF208" s="9" t="b">
        <v>1</v>
      </c>
      <c r="AG208" s="5">
        <v>4.592981067352728</v>
      </c>
      <c r="AH208" s="5">
        <v>2.5397453657893</v>
      </c>
      <c r="AI208" s="5">
        <v>62.0</v>
      </c>
      <c r="AJ208" s="5">
        <v>73.0</v>
      </c>
      <c r="AK208" s="5">
        <v>6.0</v>
      </c>
      <c r="AL208" s="5">
        <v>6.0</v>
      </c>
      <c r="AM208" s="5">
        <v>-18.88888888888889</v>
      </c>
      <c r="AN208" s="5">
        <v>1.6393442622950838</v>
      </c>
    </row>
    <row r="209" ht="15.75" customHeight="1">
      <c r="A209" s="5">
        <v>10.0</v>
      </c>
      <c r="B209" s="5">
        <v>2014.0</v>
      </c>
      <c r="C209" s="5">
        <v>4009.85</v>
      </c>
      <c r="D209" s="5">
        <v>120031.0</v>
      </c>
      <c r="E209" s="5">
        <v>4505.028849917404</v>
      </c>
      <c r="F209" s="5">
        <v>3805.085598378928</v>
      </c>
      <c r="G209" s="5">
        <v>4.0</v>
      </c>
      <c r="H209" s="5">
        <v>4.0</v>
      </c>
      <c r="I209" s="5">
        <v>0.8900830901612355</v>
      </c>
      <c r="J209" s="5">
        <v>-1.0382412316342404</v>
      </c>
      <c r="K209" s="5">
        <v>4.628825936623504</v>
      </c>
      <c r="L209" s="5">
        <v>1.0538133496151327</v>
      </c>
      <c r="M209" s="5">
        <v>1.6483304998575088</v>
      </c>
      <c r="N209" s="5">
        <v>1.8634795243585467</v>
      </c>
      <c r="O209" s="5">
        <v>3.5425263255746797</v>
      </c>
      <c r="P209" s="5">
        <v>1071.0</v>
      </c>
      <c r="Q209" s="5">
        <v>4.0</v>
      </c>
      <c r="R209" s="5">
        <v>883.0</v>
      </c>
      <c r="S209" s="5">
        <v>4.0</v>
      </c>
      <c r="T209" s="5">
        <v>47944.5</v>
      </c>
      <c r="U209" s="5">
        <v>4.0</v>
      </c>
      <c r="V209" s="5">
        <v>54.29728199320498</v>
      </c>
      <c r="W209" s="9" t="b">
        <v>1</v>
      </c>
      <c r="X209" s="9" t="b">
        <v>1</v>
      </c>
      <c r="Y209" s="5">
        <v>8.922694970465963</v>
      </c>
      <c r="Z209" s="5">
        <v>7.356432921495281</v>
      </c>
      <c r="AA209" s="5">
        <v>449.0</v>
      </c>
      <c r="AB209" s="5">
        <v>405.0</v>
      </c>
      <c r="AC209" s="5">
        <v>12.0</v>
      </c>
      <c r="AD209" s="5">
        <v>12.0</v>
      </c>
      <c r="AE209" s="9" t="b">
        <v>1</v>
      </c>
      <c r="AF209" s="9" t="b">
        <v>1</v>
      </c>
      <c r="AG209" s="5">
        <v>3.3741283501762047</v>
      </c>
      <c r="AH209" s="5">
        <v>3.7407003190842363</v>
      </c>
      <c r="AI209" s="5">
        <v>135.0</v>
      </c>
      <c r="AJ209" s="5">
        <v>108.0</v>
      </c>
      <c r="AK209" s="5">
        <v>6.0</v>
      </c>
      <c r="AL209" s="5">
        <v>6.0</v>
      </c>
      <c r="AM209" s="5">
        <v>47.94520547945205</v>
      </c>
      <c r="AN209" s="5">
        <v>117.74193548387095</v>
      </c>
    </row>
    <row r="210" ht="15.75" customHeight="1">
      <c r="A210" s="5">
        <v>10.0</v>
      </c>
      <c r="B210" s="5">
        <v>2015.0</v>
      </c>
      <c r="C210" s="5">
        <v>4225.15</v>
      </c>
      <c r="D210" s="5">
        <v>119465.0</v>
      </c>
      <c r="E210" s="5">
        <v>4487.177711</v>
      </c>
      <c r="F210" s="5">
        <v>3828.753885473677</v>
      </c>
      <c r="G210" s="5">
        <v>4.0</v>
      </c>
      <c r="H210" s="5">
        <v>4.0</v>
      </c>
      <c r="I210" s="5">
        <v>0.9416052298624906</v>
      </c>
      <c r="J210" s="5">
        <v>-0.3962491587091832</v>
      </c>
      <c r="K210" s="5">
        <v>5.788464051364239</v>
      </c>
      <c r="L210" s="5">
        <v>1.103531364611931</v>
      </c>
      <c r="M210" s="5">
        <v>0.6220172052064488</v>
      </c>
      <c r="N210" s="5">
        <v>4.717914706143733</v>
      </c>
      <c r="O210" s="5">
        <v>5.3692781525493505</v>
      </c>
      <c r="P210" s="5">
        <v>1046.0</v>
      </c>
      <c r="Q210" s="5">
        <v>4.0</v>
      </c>
      <c r="R210" s="5">
        <v>841.0</v>
      </c>
      <c r="S210" s="5">
        <v>4.0</v>
      </c>
      <c r="T210" s="5">
        <v>45727.3</v>
      </c>
      <c r="U210" s="5">
        <v>4.0</v>
      </c>
      <c r="V210" s="5">
        <v>54.372532699167664</v>
      </c>
      <c r="W210" s="9" t="b">
        <v>1</v>
      </c>
      <c r="X210" s="9" t="b">
        <v>1</v>
      </c>
      <c r="Y210" s="5">
        <v>8.755702507010422</v>
      </c>
      <c r="Z210" s="5">
        <v>7.0397187460762565</v>
      </c>
      <c r="AA210" s="5">
        <v>328.0</v>
      </c>
      <c r="AB210" s="5">
        <v>414.0</v>
      </c>
      <c r="AC210" s="5">
        <v>12.0</v>
      </c>
      <c r="AD210" s="5">
        <v>12.0</v>
      </c>
      <c r="AE210" s="9" t="b">
        <v>1</v>
      </c>
      <c r="AF210" s="9" t="b">
        <v>1</v>
      </c>
      <c r="AG210" s="5">
        <v>3.465450131837777</v>
      </c>
      <c r="AH210" s="5">
        <v>2.745574017494664</v>
      </c>
      <c r="AI210" s="5">
        <v>58.0</v>
      </c>
      <c r="AJ210" s="5">
        <v>260.0</v>
      </c>
      <c r="AK210" s="5">
        <v>6.0</v>
      </c>
      <c r="AL210" s="5">
        <v>6.0</v>
      </c>
      <c r="AM210" s="5">
        <v>140.74074074074073</v>
      </c>
      <c r="AN210" s="5">
        <v>-57.03703703703704</v>
      </c>
    </row>
    <row r="211" ht="15.75" customHeight="1">
      <c r="A211" s="5">
        <v>10.0</v>
      </c>
      <c r="B211" s="5">
        <v>2016.0</v>
      </c>
      <c r="C211" s="5">
        <v>4378.37</v>
      </c>
      <c r="D211" s="5">
        <v>118938.0</v>
      </c>
      <c r="E211" s="5">
        <v>4459.27970175</v>
      </c>
      <c r="F211" s="5">
        <v>3840.0725491649346</v>
      </c>
      <c r="G211" s="5">
        <v>4.0</v>
      </c>
      <c r="H211" s="5">
        <v>4.0</v>
      </c>
      <c r="I211" s="5">
        <v>0.9818558809580283</v>
      </c>
      <c r="J211" s="5">
        <v>-0.6217273093867104</v>
      </c>
      <c r="K211" s="5">
        <v>4.2746843176960425</v>
      </c>
      <c r="L211" s="5">
        <v>1.140178979418533</v>
      </c>
      <c r="M211" s="5">
        <v>0.29562264981828346</v>
      </c>
      <c r="N211" s="5">
        <v>3.3209400277888435</v>
      </c>
      <c r="O211" s="5">
        <v>3.626380128516149</v>
      </c>
      <c r="P211" s="5">
        <v>1047.0</v>
      </c>
      <c r="Q211" s="5">
        <v>4.0</v>
      </c>
      <c r="R211" s="5">
        <v>915.0</v>
      </c>
      <c r="S211" s="5">
        <v>4.0</v>
      </c>
      <c r="T211" s="5">
        <v>48880.1</v>
      </c>
      <c r="U211" s="5">
        <v>4.0</v>
      </c>
      <c r="V211" s="5">
        <v>53.42087431693989</v>
      </c>
      <c r="W211" s="9" t="b">
        <v>1</v>
      </c>
      <c r="X211" s="9" t="b">
        <v>1</v>
      </c>
      <c r="Y211" s="5">
        <v>8.80290571558291</v>
      </c>
      <c r="Z211" s="5">
        <v>7.693083791555264</v>
      </c>
      <c r="AA211" s="5">
        <v>453.0</v>
      </c>
      <c r="AB211" s="5">
        <v>600.0</v>
      </c>
      <c r="AC211" s="5">
        <v>12.0</v>
      </c>
      <c r="AD211" s="5">
        <v>12.0</v>
      </c>
      <c r="AE211" s="9" t="b">
        <v>1</v>
      </c>
      <c r="AF211" s="9" t="b">
        <v>1</v>
      </c>
      <c r="AG211" s="5">
        <v>5.0446451092165665</v>
      </c>
      <c r="AH211" s="5">
        <v>3.808707057458508</v>
      </c>
      <c r="AI211" s="5">
        <v>212.0</v>
      </c>
      <c r="AJ211" s="5">
        <v>386.0</v>
      </c>
      <c r="AK211" s="5">
        <v>6.0</v>
      </c>
      <c r="AL211" s="5">
        <v>6.0</v>
      </c>
      <c r="AM211" s="5">
        <v>48.46153846153847</v>
      </c>
      <c r="AN211" s="5">
        <v>265.51724137931035</v>
      </c>
    </row>
    <row r="212" ht="15.75" customHeight="1">
      <c r="A212" s="5">
        <v>10.0</v>
      </c>
      <c r="B212" s="5">
        <v>2017.0</v>
      </c>
      <c r="C212" s="5">
        <v>4615.56</v>
      </c>
      <c r="D212" s="5">
        <v>128142.0</v>
      </c>
      <c r="E212" s="5">
        <v>4684.690618074161</v>
      </c>
      <c r="F212" s="5">
        <v>4098.972362817739</v>
      </c>
      <c r="G212" s="5">
        <v>4.0</v>
      </c>
      <c r="H212" s="5">
        <v>4.0</v>
      </c>
      <c r="I212" s="5">
        <v>0.9852432906012095</v>
      </c>
      <c r="J212" s="5">
        <v>5.054872791130394</v>
      </c>
      <c r="K212" s="5">
        <v>0.34500069805316613</v>
      </c>
      <c r="L212" s="5">
        <v>1.1260285728853137</v>
      </c>
      <c r="M212" s="5">
        <v>6.742055269479352</v>
      </c>
      <c r="N212" s="5">
        <v>-1.2410688838024209</v>
      </c>
      <c r="O212" s="5">
        <v>5.417312835598653</v>
      </c>
      <c r="P212" s="5">
        <v>1038.0</v>
      </c>
      <c r="Q212" s="5">
        <v>4.0</v>
      </c>
      <c r="R212" s="5">
        <v>1025.0</v>
      </c>
      <c r="S212" s="5">
        <v>4.0</v>
      </c>
      <c r="T212" s="5">
        <v>56938.5</v>
      </c>
      <c r="U212" s="5">
        <v>4.0</v>
      </c>
      <c r="V212" s="5">
        <v>55.54975609756097</v>
      </c>
      <c r="W212" s="9" t="b">
        <v>1</v>
      </c>
      <c r="X212" s="9" t="b">
        <v>1</v>
      </c>
      <c r="Y212" s="5">
        <v>8.100388631362083</v>
      </c>
      <c r="Z212" s="5">
        <v>7.998938677404754</v>
      </c>
      <c r="AA212" s="5">
        <v>616.0</v>
      </c>
      <c r="AB212" s="5">
        <v>1025.0</v>
      </c>
      <c r="AC212" s="5">
        <v>12.0</v>
      </c>
      <c r="AD212" s="5">
        <v>12.0</v>
      </c>
      <c r="AE212" s="9" t="b">
        <v>1</v>
      </c>
      <c r="AF212" s="9" t="b">
        <v>1</v>
      </c>
      <c r="AG212" s="5">
        <v>7.998938677404754</v>
      </c>
      <c r="AH212" s="5">
        <v>4.8071670490549545</v>
      </c>
      <c r="AI212" s="5">
        <v>217.0</v>
      </c>
      <c r="AJ212" s="5">
        <v>550.0</v>
      </c>
      <c r="AK212" s="5">
        <v>6.0</v>
      </c>
      <c r="AL212" s="5">
        <v>6.0</v>
      </c>
      <c r="AM212" s="5">
        <v>42.48704663212435</v>
      </c>
      <c r="AN212" s="5">
        <v>2.358490566037741</v>
      </c>
    </row>
    <row r="213" ht="15.75" customHeight="1">
      <c r="A213" s="5">
        <v>10.0</v>
      </c>
      <c r="B213" s="5">
        <v>2018.0</v>
      </c>
      <c r="C213" s="5">
        <v>4797.19</v>
      </c>
      <c r="D213" s="5">
        <v>128224.0</v>
      </c>
      <c r="E213" s="5">
        <v>5005.71641483549</v>
      </c>
      <c r="F213" s="5">
        <v>4534.8882000412095</v>
      </c>
      <c r="G213" s="5">
        <v>4.0</v>
      </c>
      <c r="H213" s="5">
        <v>4.0</v>
      </c>
      <c r="I213" s="5">
        <v>0.9583423435220025</v>
      </c>
      <c r="J213" s="5">
        <v>6.852657367015191</v>
      </c>
      <c r="K213" s="5">
        <v>-2.730386223974346</v>
      </c>
      <c r="L213" s="5">
        <v>1.0578408526050116</v>
      </c>
      <c r="M213" s="5">
        <v>10.634759121035176</v>
      </c>
      <c r="N213" s="5">
        <v>-6.055594140526932</v>
      </c>
      <c r="O213" s="5">
        <v>3.9351671303156976</v>
      </c>
      <c r="P213" s="5">
        <v>1331.0</v>
      </c>
      <c r="Q213" s="5">
        <v>4.0</v>
      </c>
      <c r="R213" s="5">
        <v>1331.0</v>
      </c>
      <c r="S213" s="5">
        <v>4.0</v>
      </c>
      <c r="T213" s="5">
        <v>72577.9</v>
      </c>
      <c r="U213" s="5">
        <v>4.0</v>
      </c>
      <c r="V213" s="5">
        <v>54.528850488354614</v>
      </c>
      <c r="W213" s="9" t="b">
        <v>1</v>
      </c>
      <c r="X213" s="9" t="b">
        <v>1</v>
      </c>
      <c r="Y213" s="5">
        <v>10.380272023958073</v>
      </c>
      <c r="Z213" s="5">
        <v>10.380272023958073</v>
      </c>
      <c r="AA213" s="5">
        <v>795.0</v>
      </c>
      <c r="AB213" s="5">
        <v>939.0</v>
      </c>
      <c r="AC213" s="5">
        <v>12.0</v>
      </c>
      <c r="AD213" s="5">
        <v>12.0</v>
      </c>
      <c r="AE213" s="9" t="b">
        <v>1</v>
      </c>
      <c r="AF213" s="9" t="b">
        <v>1</v>
      </c>
      <c r="AG213" s="5">
        <v>7.323122036436237</v>
      </c>
      <c r="AH213" s="5">
        <v>6.2000873471425</v>
      </c>
      <c r="AI213" s="5">
        <v>366.0</v>
      </c>
      <c r="AJ213" s="5">
        <v>550.0</v>
      </c>
      <c r="AK213" s="5">
        <v>6.0</v>
      </c>
      <c r="AL213" s="5">
        <v>6.0</v>
      </c>
      <c r="AM213" s="5">
        <v>0.0</v>
      </c>
      <c r="AN213" s="5">
        <v>68.66359447004609</v>
      </c>
    </row>
    <row r="214" ht="15.75" customHeight="1">
      <c r="A214" s="5">
        <v>10.0</v>
      </c>
      <c r="B214" s="5">
        <v>2019.0</v>
      </c>
      <c r="C214" s="5">
        <v>5147.55</v>
      </c>
      <c r="D214" s="5">
        <v>128208.0</v>
      </c>
      <c r="E214" s="5">
        <v>5435.259585681086</v>
      </c>
      <c r="F214" s="5">
        <v>4913.4555046009145</v>
      </c>
      <c r="G214" s="5">
        <v>4.0</v>
      </c>
      <c r="H214" s="5">
        <v>4.0</v>
      </c>
      <c r="I214" s="5">
        <v>0.9470660819146446</v>
      </c>
      <c r="J214" s="5">
        <v>8.581052845354066</v>
      </c>
      <c r="K214" s="5">
        <v>-1.1766423223998013</v>
      </c>
      <c r="L214" s="5">
        <v>1.0476435565926834</v>
      </c>
      <c r="M214" s="5">
        <v>8.347886163020846</v>
      </c>
      <c r="N214" s="5">
        <v>-0.9639726039334384</v>
      </c>
      <c r="O214" s="5">
        <v>7.303442223468326</v>
      </c>
      <c r="P214" s="5">
        <v>1368.0</v>
      </c>
      <c r="Q214" s="5">
        <v>4.0</v>
      </c>
      <c r="R214" s="5">
        <v>1360.0</v>
      </c>
      <c r="S214" s="5">
        <v>4.0</v>
      </c>
      <c r="T214" s="5">
        <v>75851.6</v>
      </c>
      <c r="U214" s="5">
        <v>4.0</v>
      </c>
      <c r="V214" s="5">
        <v>55.773235294117654</v>
      </c>
      <c r="W214" s="9" t="b">
        <v>1</v>
      </c>
      <c r="X214" s="9" t="b">
        <v>1</v>
      </c>
      <c r="Y214" s="5">
        <v>10.67016098839386</v>
      </c>
      <c r="Z214" s="5">
        <v>10.60776238612255</v>
      </c>
      <c r="AA214" s="5">
        <v>1179.0</v>
      </c>
      <c r="AB214" s="5">
        <v>1105.0</v>
      </c>
      <c r="AC214" s="5">
        <v>12.0</v>
      </c>
      <c r="AD214" s="5">
        <v>12.0</v>
      </c>
      <c r="AE214" s="9" t="b">
        <v>1</v>
      </c>
      <c r="AF214" s="9" t="b">
        <v>1</v>
      </c>
      <c r="AG214" s="5">
        <v>8.618806938724571</v>
      </c>
      <c r="AH214" s="5">
        <v>9.19599400973418</v>
      </c>
      <c r="AI214" s="5">
        <v>476.0</v>
      </c>
      <c r="AJ214" s="5">
        <v>728.0</v>
      </c>
      <c r="AK214" s="5">
        <v>6.0</v>
      </c>
      <c r="AL214" s="5">
        <v>6.0</v>
      </c>
      <c r="AM214" s="5">
        <v>32.363636363636374</v>
      </c>
      <c r="AN214" s="5">
        <v>30.05464480874316</v>
      </c>
    </row>
    <row r="215" ht="15.75" customHeight="1">
      <c r="A215" s="5">
        <v>10.0</v>
      </c>
      <c r="B215" s="5">
        <v>2020.0</v>
      </c>
      <c r="C215" s="5">
        <v>5523.14</v>
      </c>
      <c r="D215" s="5">
        <v>127713.0</v>
      </c>
      <c r="E215" s="5">
        <v>6067.496742798495</v>
      </c>
      <c r="F215" s="5">
        <v>5375.472737334845</v>
      </c>
      <c r="G215" s="5">
        <v>4.0</v>
      </c>
      <c r="H215" s="5">
        <v>4.0</v>
      </c>
      <c r="I215" s="5">
        <v>0.9102831421467855</v>
      </c>
      <c r="J215" s="5">
        <v>11.632142810308554</v>
      </c>
      <c r="K215" s="5">
        <v>-3.8838831281441832</v>
      </c>
      <c r="L215" s="5">
        <v>1.0274705630333767</v>
      </c>
      <c r="M215" s="5">
        <v>9.403101998202734</v>
      </c>
      <c r="N215" s="5">
        <v>-1.9255588823470227</v>
      </c>
      <c r="O215" s="5">
        <v>7.296480850113163</v>
      </c>
      <c r="P215" s="5">
        <v>1712.0</v>
      </c>
      <c r="Q215" s="5">
        <v>4.0</v>
      </c>
      <c r="R215" s="5">
        <v>1707.0</v>
      </c>
      <c r="S215" s="5">
        <v>4.0</v>
      </c>
      <c r="T215" s="5">
        <v>95257.4</v>
      </c>
      <c r="U215" s="5">
        <v>4.0</v>
      </c>
      <c r="V215" s="5">
        <v>55.803983596953714</v>
      </c>
      <c r="W215" s="9" t="b">
        <v>1</v>
      </c>
      <c r="X215" s="9" t="b">
        <v>1</v>
      </c>
      <c r="Y215" s="5">
        <v>13.40505665045845</v>
      </c>
      <c r="Z215" s="5">
        <v>13.365906368184914</v>
      </c>
      <c r="AA215" s="5">
        <v>929.0</v>
      </c>
      <c r="AB215" s="5">
        <v>939.0</v>
      </c>
      <c r="AC215" s="5">
        <v>12.0</v>
      </c>
      <c r="AD215" s="5">
        <v>12.0</v>
      </c>
      <c r="AE215" s="9" t="b">
        <v>1</v>
      </c>
      <c r="AF215" s="9" t="b">
        <v>1</v>
      </c>
      <c r="AG215" s="5">
        <v>7.352423010969909</v>
      </c>
      <c r="AH215" s="5">
        <v>7.2741224464228385</v>
      </c>
      <c r="AI215" s="5">
        <v>318.0</v>
      </c>
      <c r="AJ215" s="5">
        <v>581.0</v>
      </c>
      <c r="AK215" s="5">
        <v>6.0</v>
      </c>
      <c r="AL215" s="5">
        <v>6.0</v>
      </c>
      <c r="AM215" s="5">
        <v>-20.192307692307686</v>
      </c>
      <c r="AN215" s="5">
        <v>-33.19327731092437</v>
      </c>
    </row>
    <row r="216" ht="15.75" customHeight="1">
      <c r="A216" s="5">
        <v>10.0</v>
      </c>
      <c r="B216" s="5">
        <v>2021.0</v>
      </c>
      <c r="C216" s="5">
        <v>6011.09</v>
      </c>
      <c r="D216" s="5">
        <v>127259.0</v>
      </c>
      <c r="E216" s="5">
        <v>6336.704700417255</v>
      </c>
      <c r="F216" s="5">
        <v>5641.494580434789</v>
      </c>
      <c r="G216" s="5">
        <v>4.0</v>
      </c>
      <c r="H216" s="5">
        <v>4.0</v>
      </c>
      <c r="I216" s="5">
        <v>0.9486145061492587</v>
      </c>
      <c r="J216" s="5">
        <v>4.436886726610645</v>
      </c>
      <c r="K216" s="5">
        <v>4.210927592493219</v>
      </c>
      <c r="L216" s="5">
        <v>1.0655137418454679</v>
      </c>
      <c r="M216" s="5">
        <v>4.948808339261279</v>
      </c>
      <c r="N216" s="5">
        <v>3.702605230827949</v>
      </c>
      <c r="O216" s="5">
        <v>8.834648406522373</v>
      </c>
      <c r="P216" s="5">
        <v>1511.0</v>
      </c>
      <c r="Q216" s="5">
        <v>4.0</v>
      </c>
      <c r="R216" s="5">
        <v>1510.0</v>
      </c>
      <c r="S216" s="5">
        <v>4.0</v>
      </c>
      <c r="T216" s="5">
        <v>86278.6</v>
      </c>
      <c r="U216" s="5">
        <v>4.0</v>
      </c>
      <c r="V216" s="5">
        <v>57.138145695364244</v>
      </c>
      <c r="W216" s="9" t="b">
        <v>1</v>
      </c>
      <c r="X216" s="9" t="b">
        <v>1</v>
      </c>
      <c r="Y216" s="5">
        <v>11.873423490676496</v>
      </c>
      <c r="Z216" s="5">
        <v>11.865565500278958</v>
      </c>
      <c r="AA216" s="5">
        <v>1105.0</v>
      </c>
      <c r="AB216" s="5">
        <v>1091.0</v>
      </c>
      <c r="AC216" s="5">
        <v>12.0</v>
      </c>
      <c r="AD216" s="5">
        <v>12.0</v>
      </c>
      <c r="AE216" s="9" t="b">
        <v>1</v>
      </c>
      <c r="AF216" s="9" t="b">
        <v>1</v>
      </c>
      <c r="AG216" s="5">
        <v>8.573067523711487</v>
      </c>
      <c r="AH216" s="5">
        <v>8.683079389276985</v>
      </c>
      <c r="AI216" s="5">
        <v>426.0</v>
      </c>
      <c r="AJ216" s="5">
        <v>762.0</v>
      </c>
      <c r="AK216" s="5">
        <v>6.0</v>
      </c>
      <c r="AL216" s="5">
        <v>6.0</v>
      </c>
      <c r="AM216" s="5">
        <v>31.15318416523236</v>
      </c>
      <c r="AN216" s="5">
        <v>33.96226415094339</v>
      </c>
    </row>
    <row r="217" ht="15.75" customHeight="1">
      <c r="A217" s="5">
        <v>10.0</v>
      </c>
      <c r="B217" s="5">
        <v>2022.0</v>
      </c>
      <c r="C217" s="5">
        <v>6560.39</v>
      </c>
      <c r="D217" s="5">
        <v>126623.0</v>
      </c>
      <c r="E217" s="5">
        <v>7670.820671960831</v>
      </c>
      <c r="F217" s="5">
        <v>6346.727170814775</v>
      </c>
      <c r="G217" s="5">
        <v>4.0</v>
      </c>
      <c r="H217" s="5">
        <v>4.0</v>
      </c>
      <c r="I217" s="5">
        <v>0.855239651733772</v>
      </c>
      <c r="J217" s="5">
        <v>21.05378165177443</v>
      </c>
      <c r="K217" s="5">
        <v>-9.843287637939058</v>
      </c>
      <c r="L217" s="5">
        <v>1.0336650408052432</v>
      </c>
      <c r="M217" s="5">
        <v>12.500811271286082</v>
      </c>
      <c r="N217" s="5">
        <v>-2.9890464842867948</v>
      </c>
      <c r="O217" s="5">
        <v>9.138109727187583</v>
      </c>
      <c r="P217" s="5">
        <v>1687.0</v>
      </c>
      <c r="Q217" s="5">
        <v>4.0</v>
      </c>
      <c r="R217" s="5">
        <v>1682.0</v>
      </c>
      <c r="S217" s="5">
        <v>4.0</v>
      </c>
      <c r="T217" s="5">
        <v>94903.79999999999</v>
      </c>
      <c r="U217" s="5">
        <v>4.0</v>
      </c>
      <c r="V217" s="5">
        <v>56.4231866825208</v>
      </c>
      <c r="W217" s="9" t="b">
        <v>1</v>
      </c>
      <c r="X217" s="9" t="b">
        <v>1</v>
      </c>
      <c r="Y217" s="5">
        <v>13.323013986400575</v>
      </c>
      <c r="Z217" s="5">
        <v>13.283526689464</v>
      </c>
      <c r="AA217" s="5">
        <v>874.0</v>
      </c>
      <c r="AB217" s="5">
        <v>880.0</v>
      </c>
      <c r="AC217" s="5">
        <v>12.0</v>
      </c>
      <c r="AD217" s="5">
        <v>12.0</v>
      </c>
      <c r="AE217" s="9" t="b">
        <v>1</v>
      </c>
      <c r="AF217" s="9" t="b">
        <v>1</v>
      </c>
      <c r="AG217" s="5">
        <v>6.949764260837289</v>
      </c>
      <c r="AH217" s="5">
        <v>6.902379504513398</v>
      </c>
      <c r="AI217" s="5">
        <v>450.0</v>
      </c>
      <c r="AJ217" s="5">
        <v>528.0</v>
      </c>
      <c r="AK217" s="5">
        <v>6.0</v>
      </c>
      <c r="AL217" s="5">
        <v>6.0</v>
      </c>
      <c r="AM217" s="5">
        <v>-30.708661417322837</v>
      </c>
      <c r="AN217" s="5">
        <v>5.633802816901401</v>
      </c>
    </row>
    <row r="218" ht="15.75" customHeight="1">
      <c r="A218" s="5">
        <v>10.0</v>
      </c>
      <c r="B218" s="5">
        <v>2023.0</v>
      </c>
      <c r="C218" s="5">
        <v>7516.59</v>
      </c>
      <c r="D218" s="5">
        <v>126300.0</v>
      </c>
      <c r="E218" s="5">
        <v>9086.399824601374</v>
      </c>
      <c r="F218" s="5">
        <v>7046.928902786032</v>
      </c>
      <c r="G218" s="5">
        <v>4.0</v>
      </c>
      <c r="H218" s="5">
        <v>4.0</v>
      </c>
      <c r="I218" s="5">
        <v>0.8272352246319689</v>
      </c>
      <c r="J218" s="5">
        <v>18.45407699093937</v>
      </c>
      <c r="K218" s="5">
        <v>-3.274453779713282</v>
      </c>
      <c r="L218" s="5">
        <v>1.0666476281644173</v>
      </c>
      <c r="M218" s="5">
        <v>11.032485139602555</v>
      </c>
      <c r="N218" s="5">
        <v>3.190839010428359</v>
      </c>
      <c r="O218" s="5">
        <v>14.575352989685065</v>
      </c>
      <c r="Q218" s="5">
        <v>2.0</v>
      </c>
      <c r="R218" s="5">
        <v>1373.0</v>
      </c>
      <c r="S218" s="5">
        <v>4.0</v>
      </c>
      <c r="T218" s="5">
        <v>74805.0</v>
      </c>
      <c r="U218" s="5">
        <v>4.0</v>
      </c>
      <c r="V218" s="5">
        <v>54.48288419519301</v>
      </c>
      <c r="W218" s="9" t="b">
        <v>0</v>
      </c>
      <c r="X218" s="9" t="b">
        <v>1</v>
      </c>
      <c r="Z218" s="5">
        <v>10.870942201108472</v>
      </c>
      <c r="AA218" s="5">
        <v>726.0</v>
      </c>
      <c r="AB218" s="5">
        <v>468.0</v>
      </c>
      <c r="AC218" s="5">
        <v>12.0</v>
      </c>
      <c r="AD218" s="5">
        <v>12.0</v>
      </c>
      <c r="AE218" s="9" t="b">
        <v>1</v>
      </c>
      <c r="AF218" s="9" t="b">
        <v>1</v>
      </c>
      <c r="AG218" s="5">
        <v>3.705463182897862</v>
      </c>
      <c r="AH218" s="5">
        <v>5.748218527315914</v>
      </c>
      <c r="AI218" s="5">
        <v>255.0</v>
      </c>
      <c r="AJ218" s="5">
        <v>290.0</v>
      </c>
      <c r="AK218" s="5">
        <v>6.0</v>
      </c>
      <c r="AL218" s="5">
        <v>6.0</v>
      </c>
      <c r="AM218" s="5">
        <v>-45.07575757575758</v>
      </c>
      <c r="AN218" s="5">
        <v>-43.333333333333336</v>
      </c>
    </row>
    <row r="219" ht="15.75" customHeight="1">
      <c r="A219" s="5">
        <v>10.0</v>
      </c>
      <c r="B219" s="5">
        <v>2024.0</v>
      </c>
      <c r="C219" s="5">
        <v>8564.07</v>
      </c>
      <c r="D219" s="5">
        <v>125812.0</v>
      </c>
      <c r="E219" s="5">
        <v>10399.53601598626</v>
      </c>
      <c r="F219" s="5">
        <v>8434.895602037148</v>
      </c>
      <c r="G219" s="5">
        <v>4.0</v>
      </c>
      <c r="H219" s="5">
        <v>4.0</v>
      </c>
      <c r="I219" s="5">
        <v>0.8235050089576338</v>
      </c>
      <c r="J219" s="5">
        <v>14.451666410601671</v>
      </c>
      <c r="K219" s="5">
        <v>-0.4509256331528433</v>
      </c>
      <c r="L219" s="5">
        <v>1.0153142853281616</v>
      </c>
      <c r="M219" s="5">
        <v>19.69605083857704</v>
      </c>
      <c r="N219" s="5">
        <v>-4.812586788815598</v>
      </c>
      <c r="O219" s="5">
        <v>13.935574509185678</v>
      </c>
      <c r="P219" s="5">
        <v>1499.0</v>
      </c>
      <c r="Q219" s="5">
        <v>4.0</v>
      </c>
      <c r="R219" s="5">
        <v>1500.0</v>
      </c>
      <c r="S219" s="5">
        <v>4.0</v>
      </c>
      <c r="T219" s="5">
        <v>80062.0</v>
      </c>
      <c r="U219" s="5">
        <v>4.0</v>
      </c>
      <c r="V219" s="5">
        <v>53.37466666666667</v>
      </c>
      <c r="W219" s="9" t="b">
        <v>1</v>
      </c>
      <c r="X219" s="9" t="b">
        <v>1</v>
      </c>
      <c r="Y219" s="5">
        <v>11.914602740597081</v>
      </c>
      <c r="Z219" s="5">
        <v>11.922551108002416</v>
      </c>
      <c r="AA219" s="5">
        <v>640.0</v>
      </c>
      <c r="AB219" s="5">
        <v>1175.0</v>
      </c>
      <c r="AC219" s="5">
        <v>12.0</v>
      </c>
      <c r="AD219" s="5">
        <v>12.0</v>
      </c>
      <c r="AE219" s="9" t="b">
        <v>1</v>
      </c>
      <c r="AF219" s="9" t="b">
        <v>1</v>
      </c>
      <c r="AG219" s="5">
        <v>9.33933170126856</v>
      </c>
      <c r="AH219" s="5">
        <v>5.086955139414364</v>
      </c>
      <c r="AI219" s="5">
        <v>377.0</v>
      </c>
      <c r="AJ219" s="5">
        <v>936.0</v>
      </c>
      <c r="AK219" s="5">
        <v>6.0</v>
      </c>
      <c r="AL219" s="5">
        <v>6.0</v>
      </c>
      <c r="AM219" s="5">
        <v>222.75862068965515</v>
      </c>
      <c r="AN219" s="5">
        <v>47.84313725490197</v>
      </c>
    </row>
    <row r="220" ht="15.75" customHeight="1">
      <c r="A220" s="5">
        <v>10.0</v>
      </c>
      <c r="B220" s="5">
        <v>2025.0</v>
      </c>
      <c r="C220" s="5">
        <v>9465.22</v>
      </c>
      <c r="D220" s="5">
        <v>125095.0</v>
      </c>
      <c r="E220" s="5">
        <v>11166.635889473753</v>
      </c>
      <c r="F220" s="5">
        <v>8880.864916275761</v>
      </c>
      <c r="G220" s="5">
        <v>4.0</v>
      </c>
      <c r="H220" s="5">
        <v>4.0</v>
      </c>
      <c r="I220" s="5">
        <v>0.8476339780114442</v>
      </c>
      <c r="J220" s="5">
        <v>7.376289406645653</v>
      </c>
      <c r="K220" s="5">
        <v>2.930033064929649</v>
      </c>
      <c r="L220" s="5">
        <v>1.0657993437838813</v>
      </c>
      <c r="M220" s="5">
        <v>5.287194237838633</v>
      </c>
      <c r="N220" s="5">
        <v>4.972357740382072</v>
      </c>
      <c r="O220" s="5">
        <v>10.52245019015492</v>
      </c>
      <c r="AA220" s="5">
        <v>365.0</v>
      </c>
      <c r="AB220" s="5">
        <v>686.0</v>
      </c>
      <c r="AC220" s="5">
        <v>12.0</v>
      </c>
      <c r="AD220" s="5">
        <v>12.0</v>
      </c>
      <c r="AE220" s="9" t="b">
        <v>1</v>
      </c>
      <c r="AF220" s="9" t="b">
        <v>1</v>
      </c>
      <c r="AG220" s="5">
        <v>5.48383228746153</v>
      </c>
      <c r="AH220" s="5">
        <v>2.9177824853111636</v>
      </c>
      <c r="AI220" s="5">
        <v>165.0</v>
      </c>
      <c r="AJ220" s="5">
        <v>180.0</v>
      </c>
      <c r="AK220" s="5">
        <v>6.0</v>
      </c>
      <c r="AL220" s="5">
        <v>6.0</v>
      </c>
      <c r="AM220" s="5">
        <v>-80.76923076923077</v>
      </c>
      <c r="AN220" s="5">
        <v>-56.233421750663126</v>
      </c>
    </row>
    <row r="221" ht="15.75" customHeight="1">
      <c r="A221" s="5">
        <v>10.0</v>
      </c>
      <c r="B221" s="5">
        <v>2026.0</v>
      </c>
      <c r="AI221" s="5">
        <v>323.0</v>
      </c>
      <c r="AJ221" s="5">
        <v>277.0</v>
      </c>
      <c r="AK221" s="5">
        <v>6.0</v>
      </c>
      <c r="AL221" s="5">
        <v>6.0</v>
      </c>
      <c r="AM221" s="5">
        <v>53.8888888888889</v>
      </c>
      <c r="AN221" s="5">
        <v>95.75757575757575</v>
      </c>
    </row>
    <row r="222" ht="15.75" customHeight="1">
      <c r="A222" s="5">
        <v>11.0</v>
      </c>
      <c r="B222" s="5">
        <v>2005.0</v>
      </c>
      <c r="C222" s="5">
        <v>2734.73</v>
      </c>
      <c r="D222" s="5">
        <v>570010.0</v>
      </c>
      <c r="AA222" s="5">
        <v>3375.0</v>
      </c>
      <c r="AB222" s="5">
        <v>1263.0</v>
      </c>
      <c r="AC222" s="5">
        <v>12.0</v>
      </c>
      <c r="AD222" s="5">
        <v>12.0</v>
      </c>
      <c r="AE222" s="9" t="b">
        <v>1</v>
      </c>
      <c r="AF222" s="9" t="b">
        <v>1</v>
      </c>
      <c r="AG222" s="5">
        <v>2.2157506008666514</v>
      </c>
      <c r="AH222" s="5">
        <v>5.920948755284995</v>
      </c>
      <c r="AI222" s="5">
        <v>1114.0</v>
      </c>
      <c r="AJ222" s="5">
        <v>600.0</v>
      </c>
      <c r="AK222" s="5">
        <v>6.0</v>
      </c>
      <c r="AL222" s="5">
        <v>6.0</v>
      </c>
    </row>
    <row r="223" ht="15.75" customHeight="1">
      <c r="A223" s="5">
        <v>11.0</v>
      </c>
      <c r="B223" s="5">
        <v>2006.0</v>
      </c>
      <c r="C223" s="5">
        <v>2889.84</v>
      </c>
      <c r="D223" s="5">
        <v>566546.0</v>
      </c>
      <c r="AA223" s="5">
        <v>2828.0</v>
      </c>
      <c r="AB223" s="5">
        <v>2500.0</v>
      </c>
      <c r="AC223" s="5">
        <v>12.0</v>
      </c>
      <c r="AD223" s="5">
        <v>12.0</v>
      </c>
      <c r="AE223" s="9" t="b">
        <v>1</v>
      </c>
      <c r="AF223" s="9" t="b">
        <v>1</v>
      </c>
      <c r="AG223" s="5">
        <v>4.412704352338556</v>
      </c>
      <c r="AH223" s="5">
        <v>4.9916511633653755</v>
      </c>
      <c r="AI223" s="5">
        <v>984.0</v>
      </c>
      <c r="AJ223" s="5">
        <v>1716.0</v>
      </c>
      <c r="AK223" s="5">
        <v>6.0</v>
      </c>
      <c r="AL223" s="5">
        <v>6.0</v>
      </c>
      <c r="AM223" s="5">
        <v>186.0</v>
      </c>
      <c r="AN223" s="5">
        <v>-11.669658886894075</v>
      </c>
    </row>
    <row r="224" ht="15.75" customHeight="1">
      <c r="A224" s="5">
        <v>11.0</v>
      </c>
      <c r="B224" s="5">
        <v>2007.0</v>
      </c>
      <c r="C224" s="5">
        <v>3156.71</v>
      </c>
      <c r="D224" s="5">
        <v>564035.0</v>
      </c>
      <c r="E224" s="5">
        <v>6494.585215282904</v>
      </c>
      <c r="F224" s="5">
        <v>5273.7153929919605</v>
      </c>
      <c r="G224" s="5">
        <v>4.0</v>
      </c>
      <c r="H224" s="5">
        <v>4.0</v>
      </c>
      <c r="I224" s="5">
        <v>0.48605259541005097</v>
      </c>
      <c r="L224" s="5">
        <v>0.5985742052358062</v>
      </c>
      <c r="AA224" s="5">
        <v>3986.0</v>
      </c>
      <c r="AB224" s="5">
        <v>3803.0</v>
      </c>
      <c r="AC224" s="5">
        <v>12.0</v>
      </c>
      <c r="AD224" s="5">
        <v>12.0</v>
      </c>
      <c r="AE224" s="9" t="b">
        <v>1</v>
      </c>
      <c r="AF224" s="9" t="b">
        <v>1</v>
      </c>
      <c r="AG224" s="5">
        <v>6.74248938452401</v>
      </c>
      <c r="AH224" s="5">
        <v>7.066937335449041</v>
      </c>
      <c r="AI224" s="5">
        <v>1582.0</v>
      </c>
      <c r="AJ224" s="5">
        <v>1309.0</v>
      </c>
      <c r="AK224" s="5">
        <v>6.0</v>
      </c>
      <c r="AL224" s="5">
        <v>6.0</v>
      </c>
      <c r="AM224" s="5">
        <v>-23.717948717948723</v>
      </c>
      <c r="AN224" s="5">
        <v>60.77235772357723</v>
      </c>
    </row>
    <row r="225" ht="15.75" customHeight="1">
      <c r="A225" s="5">
        <v>11.0</v>
      </c>
      <c r="B225" s="5">
        <v>2008.0</v>
      </c>
      <c r="C225" s="5">
        <v>3517.34</v>
      </c>
      <c r="D225" s="5">
        <v>559458.0</v>
      </c>
      <c r="E225" s="5">
        <v>7072.574299364939</v>
      </c>
      <c r="F225" s="5">
        <v>5518.842089277586</v>
      </c>
      <c r="G225" s="5">
        <v>4.0</v>
      </c>
      <c r="H225" s="5">
        <v>4.0</v>
      </c>
      <c r="I225" s="5">
        <v>0.4973210391463585</v>
      </c>
      <c r="J225" s="5">
        <v>8.899553472975064</v>
      </c>
      <c r="K225" s="5">
        <v>2.3183589271447147</v>
      </c>
      <c r="L225" s="5">
        <v>0.6373329664267344</v>
      </c>
      <c r="M225" s="5">
        <v>4.648083524024926</v>
      </c>
      <c r="N225" s="5">
        <v>6.475180662965485</v>
      </c>
      <c r="O225" s="5">
        <v>11.424235992536547</v>
      </c>
      <c r="AA225" s="5">
        <v>3343.0</v>
      </c>
      <c r="AB225" s="5">
        <v>2220.0</v>
      </c>
      <c r="AC225" s="5">
        <v>12.0</v>
      </c>
      <c r="AD225" s="5">
        <v>12.0</v>
      </c>
      <c r="AE225" s="9" t="b">
        <v>1</v>
      </c>
      <c r="AF225" s="9" t="b">
        <v>1</v>
      </c>
      <c r="AG225" s="5">
        <v>3.9681262936627952</v>
      </c>
      <c r="AH225" s="5">
        <v>5.975426216087714</v>
      </c>
      <c r="AI225" s="5">
        <v>1664.0</v>
      </c>
      <c r="AJ225" s="5">
        <v>1511.0</v>
      </c>
      <c r="AK225" s="5">
        <v>6.0</v>
      </c>
      <c r="AL225" s="5">
        <v>6.0</v>
      </c>
      <c r="AM225" s="5">
        <v>15.431627196333086</v>
      </c>
      <c r="AN225" s="5">
        <v>5.183312262958273</v>
      </c>
    </row>
    <row r="226" ht="15.75" customHeight="1">
      <c r="A226" s="5">
        <v>11.0</v>
      </c>
      <c r="B226" s="5">
        <v>2009.0</v>
      </c>
      <c r="C226" s="5">
        <v>3668.55</v>
      </c>
      <c r="D226" s="5">
        <v>556022.0</v>
      </c>
      <c r="E226" s="5">
        <v>6231.0806730476415</v>
      </c>
      <c r="F226" s="5">
        <v>5100.866549197437</v>
      </c>
      <c r="G226" s="5">
        <v>4.0</v>
      </c>
      <c r="H226" s="5">
        <v>4.0</v>
      </c>
      <c r="I226" s="5">
        <v>0.5887502012079874</v>
      </c>
      <c r="J226" s="5">
        <v>-11.897982130677043</v>
      </c>
      <c r="K226" s="5">
        <v>18.384334235801724</v>
      </c>
      <c r="L226" s="5">
        <v>0.719201328757994</v>
      </c>
      <c r="M226" s="5">
        <v>-7.573609342659438</v>
      </c>
      <c r="N226" s="5">
        <v>12.845461735686147</v>
      </c>
      <c r="O226" s="5">
        <v>4.298987302905033</v>
      </c>
      <c r="AA226" s="5">
        <v>3531.0</v>
      </c>
      <c r="AB226" s="5">
        <v>2433.0</v>
      </c>
      <c r="AC226" s="5">
        <v>12.0</v>
      </c>
      <c r="AD226" s="5">
        <v>12.0</v>
      </c>
      <c r="AE226" s="9" t="b">
        <v>1</v>
      </c>
      <c r="AF226" s="9" t="b">
        <v>1</v>
      </c>
      <c r="AG226" s="5">
        <v>4.375726140332577</v>
      </c>
      <c r="AH226" s="5">
        <v>6.350468146943825</v>
      </c>
      <c r="AI226" s="5">
        <v>2175.0</v>
      </c>
      <c r="AJ226" s="5">
        <v>875.0</v>
      </c>
      <c r="AK226" s="5">
        <v>6.0</v>
      </c>
      <c r="AL226" s="5">
        <v>6.0</v>
      </c>
      <c r="AM226" s="5">
        <v>-42.09133024487095</v>
      </c>
      <c r="AN226" s="5">
        <v>30.709134615384627</v>
      </c>
    </row>
    <row r="227" ht="15.75" customHeight="1">
      <c r="A227" s="5">
        <v>11.0</v>
      </c>
      <c r="B227" s="5">
        <v>2010.0</v>
      </c>
      <c r="C227" s="5">
        <v>3814.08</v>
      </c>
      <c r="D227" s="5">
        <v>556722.0</v>
      </c>
      <c r="E227" s="5">
        <v>6490.779314076845</v>
      </c>
      <c r="F227" s="5">
        <v>5213.621828695097</v>
      </c>
      <c r="G227" s="5">
        <v>4.0</v>
      </c>
      <c r="H227" s="5">
        <v>4.0</v>
      </c>
      <c r="I227" s="5">
        <v>0.5876151099034029</v>
      </c>
      <c r="J227" s="5">
        <v>4.167794555325255</v>
      </c>
      <c r="K227" s="5">
        <v>-0.19279675866870072</v>
      </c>
      <c r="L227" s="5">
        <v>0.7315605399317225</v>
      </c>
      <c r="M227" s="5">
        <v>2.210512241599427</v>
      </c>
      <c r="N227" s="5">
        <v>1.7184633397538285</v>
      </c>
      <c r="O227" s="5">
        <v>3.9669624238459322</v>
      </c>
      <c r="P227" s="5">
        <v>5423.0</v>
      </c>
      <c r="Q227" s="5">
        <v>4.0</v>
      </c>
      <c r="R227" s="5">
        <v>4453.0</v>
      </c>
      <c r="S227" s="5">
        <v>4.0</v>
      </c>
      <c r="T227" s="5">
        <v>243288.4</v>
      </c>
      <c r="U227" s="5">
        <v>4.0</v>
      </c>
      <c r="V227" s="5">
        <v>54.63471816752751</v>
      </c>
      <c r="W227" s="9" t="b">
        <v>1</v>
      </c>
      <c r="X227" s="9" t="b">
        <v>1</v>
      </c>
      <c r="Y227" s="5">
        <v>9.74094790577703</v>
      </c>
      <c r="Z227" s="5">
        <v>7.9986061265766395</v>
      </c>
      <c r="AA227" s="5">
        <v>3180.0</v>
      </c>
      <c r="AB227" s="5">
        <v>2762.0</v>
      </c>
      <c r="AC227" s="5">
        <v>12.0</v>
      </c>
      <c r="AD227" s="5">
        <v>12.0</v>
      </c>
      <c r="AE227" s="9" t="b">
        <v>1</v>
      </c>
      <c r="AF227" s="9" t="b">
        <v>1</v>
      </c>
      <c r="AG227" s="5">
        <v>4.961183499125237</v>
      </c>
      <c r="AH227" s="5">
        <v>5.71200706995592</v>
      </c>
      <c r="AI227" s="5">
        <v>1965.0</v>
      </c>
      <c r="AJ227" s="5">
        <v>1657.0</v>
      </c>
      <c r="AK227" s="5">
        <v>6.0</v>
      </c>
      <c r="AL227" s="5">
        <v>6.0</v>
      </c>
      <c r="AM227" s="5">
        <v>89.37142857142857</v>
      </c>
      <c r="AN227" s="5">
        <v>-9.6551724137931</v>
      </c>
    </row>
    <row r="228" ht="15.75" customHeight="1">
      <c r="A228" s="5">
        <v>11.0</v>
      </c>
      <c r="B228" s="5">
        <v>2011.0</v>
      </c>
      <c r="C228" s="5">
        <v>3987.13</v>
      </c>
      <c r="D228" s="5">
        <v>554290.0</v>
      </c>
      <c r="E228" s="5">
        <v>6293.32951978211</v>
      </c>
      <c r="F228" s="5">
        <v>5264.471782303636</v>
      </c>
      <c r="G228" s="5">
        <v>4.0</v>
      </c>
      <c r="H228" s="5">
        <v>4.0</v>
      </c>
      <c r="I228" s="5">
        <v>0.6335485830619663</v>
      </c>
      <c r="J228" s="5">
        <v>-3.042004430292633</v>
      </c>
      <c r="K228" s="5">
        <v>7.816931931194593</v>
      </c>
      <c r="L228" s="5">
        <v>0.7573656322753249</v>
      </c>
      <c r="M228" s="5">
        <v>0.975328769122985</v>
      </c>
      <c r="N228" s="5">
        <v>3.527403534642648</v>
      </c>
      <c r="O228" s="5">
        <v>4.537136085242066</v>
      </c>
      <c r="P228" s="5">
        <v>5041.0</v>
      </c>
      <c r="Q228" s="5">
        <v>4.0</v>
      </c>
      <c r="R228" s="5">
        <v>4404.0</v>
      </c>
      <c r="S228" s="5">
        <v>4.0</v>
      </c>
      <c r="T228" s="5">
        <v>238516.9</v>
      </c>
      <c r="U228" s="5">
        <v>4.0</v>
      </c>
      <c r="V228" s="5">
        <v>54.15915077202543</v>
      </c>
      <c r="W228" s="9" t="b">
        <v>1</v>
      </c>
      <c r="X228" s="9" t="b">
        <v>1</v>
      </c>
      <c r="Y228" s="5">
        <v>9.094517310433167</v>
      </c>
      <c r="Z228" s="5">
        <v>7.94529939201501</v>
      </c>
      <c r="AA228" s="5">
        <v>2512.0</v>
      </c>
      <c r="AB228" s="5">
        <v>2167.0</v>
      </c>
      <c r="AC228" s="5">
        <v>12.0</v>
      </c>
      <c r="AD228" s="5">
        <v>12.0</v>
      </c>
      <c r="AE228" s="9" t="b">
        <v>1</v>
      </c>
      <c r="AF228" s="9" t="b">
        <v>1</v>
      </c>
      <c r="AG228" s="5">
        <v>3.909505854336178</v>
      </c>
      <c r="AH228" s="5">
        <v>4.531923722239261</v>
      </c>
      <c r="AI228" s="5">
        <v>1111.0</v>
      </c>
      <c r="AJ228" s="5">
        <v>1405.0</v>
      </c>
      <c r="AK228" s="5">
        <v>6.0</v>
      </c>
      <c r="AL228" s="5">
        <v>6.0</v>
      </c>
      <c r="AM228" s="5">
        <v>-15.208207604103807</v>
      </c>
      <c r="AN228" s="5">
        <v>-43.46055979643766</v>
      </c>
    </row>
    <row r="229" ht="15.75" customHeight="1">
      <c r="A229" s="5">
        <v>11.0</v>
      </c>
      <c r="B229" s="5">
        <v>2012.0</v>
      </c>
      <c r="C229" s="5">
        <v>4119.68</v>
      </c>
      <c r="D229" s="5">
        <v>552393.0</v>
      </c>
      <c r="E229" s="5">
        <v>5782.254176707316</v>
      </c>
      <c r="F229" s="5">
        <v>4978.049249483798</v>
      </c>
      <c r="G229" s="5">
        <v>4.0</v>
      </c>
      <c r="H229" s="5">
        <v>4.0</v>
      </c>
      <c r="I229" s="5">
        <v>0.7124695445930634</v>
      </c>
      <c r="J229" s="5">
        <v>-8.120905499518294</v>
      </c>
      <c r="K229" s="5">
        <v>12.456970726644023</v>
      </c>
      <c r="L229" s="5">
        <v>0.8275691528016106</v>
      </c>
      <c r="M229" s="5">
        <v>-5.440669922149432</v>
      </c>
      <c r="N229" s="5">
        <v>9.269435730186991</v>
      </c>
      <c r="O229" s="5">
        <v>3.324446406312309</v>
      </c>
      <c r="P229" s="5">
        <v>5277.0</v>
      </c>
      <c r="Q229" s="5">
        <v>4.0</v>
      </c>
      <c r="R229" s="5">
        <v>4680.0</v>
      </c>
      <c r="S229" s="5">
        <v>4.0</v>
      </c>
      <c r="T229" s="5">
        <v>249070.30000000002</v>
      </c>
      <c r="U229" s="5">
        <v>4.0</v>
      </c>
      <c r="V229" s="5">
        <v>53.220149572649575</v>
      </c>
      <c r="W229" s="9" t="b">
        <v>1</v>
      </c>
      <c r="X229" s="9" t="b">
        <v>1</v>
      </c>
      <c r="Y229" s="5">
        <v>9.5529813013561</v>
      </c>
      <c r="Z229" s="5">
        <v>8.472229010867263</v>
      </c>
      <c r="AA229" s="5">
        <v>2734.0</v>
      </c>
      <c r="AB229" s="5">
        <v>3319.0</v>
      </c>
      <c r="AC229" s="5">
        <v>12.0</v>
      </c>
      <c r="AD229" s="5">
        <v>12.0</v>
      </c>
      <c r="AE229" s="9" t="b">
        <v>1</v>
      </c>
      <c r="AF229" s="9" t="b">
        <v>1</v>
      </c>
      <c r="AG229" s="5">
        <v>6.008403437407788</v>
      </c>
      <c r="AH229" s="5">
        <v>4.94937481104938</v>
      </c>
      <c r="AI229" s="5">
        <v>1024.0</v>
      </c>
      <c r="AJ229" s="5">
        <v>2069.0</v>
      </c>
      <c r="AK229" s="5">
        <v>6.0</v>
      </c>
      <c r="AL229" s="5">
        <v>6.0</v>
      </c>
      <c r="AM229" s="5">
        <v>47.25978647686833</v>
      </c>
      <c r="AN229" s="5">
        <v>-7.830783078307835</v>
      </c>
    </row>
    <row r="230" ht="15.75" customHeight="1">
      <c r="A230" s="5">
        <v>11.0</v>
      </c>
      <c r="B230" s="5">
        <v>2013.0</v>
      </c>
      <c r="C230" s="5">
        <v>4256.82</v>
      </c>
      <c r="D230" s="5">
        <v>549082.0</v>
      </c>
      <c r="E230" s="5">
        <v>5981.494523033603</v>
      </c>
      <c r="F230" s="5">
        <v>4857.147185599623</v>
      </c>
      <c r="G230" s="5">
        <v>4.0</v>
      </c>
      <c r="H230" s="5">
        <v>4.0</v>
      </c>
      <c r="I230" s="5">
        <v>0.7116649498896624</v>
      </c>
      <c r="J230" s="5">
        <v>3.4457209980302883</v>
      </c>
      <c r="K230" s="5">
        <v>-0.11293039955280193</v>
      </c>
      <c r="L230" s="5">
        <v>0.8764033366377156</v>
      </c>
      <c r="M230" s="5">
        <v>-2.42870365126886</v>
      </c>
      <c r="N230" s="5">
        <v>5.9009188139485635</v>
      </c>
      <c r="O230" s="5">
        <v>3.3288993319869453</v>
      </c>
      <c r="P230" s="5">
        <v>5104.0</v>
      </c>
      <c r="Q230" s="5">
        <v>4.0</v>
      </c>
      <c r="R230" s="5">
        <v>4960.0</v>
      </c>
      <c r="S230" s="5">
        <v>4.0</v>
      </c>
      <c r="T230" s="5">
        <v>262529.4</v>
      </c>
      <c r="U230" s="5">
        <v>4.0</v>
      </c>
      <c r="V230" s="5">
        <v>52.92931451612904</v>
      </c>
      <c r="W230" s="9" t="b">
        <v>1</v>
      </c>
      <c r="X230" s="9" t="b">
        <v>1</v>
      </c>
      <c r="Y230" s="5">
        <v>9.295515059681433</v>
      </c>
      <c r="Z230" s="5">
        <v>9.03325914890672</v>
      </c>
      <c r="AA230" s="5">
        <v>2597.0</v>
      </c>
      <c r="AB230" s="5">
        <v>1715.0</v>
      </c>
      <c r="AC230" s="5">
        <v>12.0</v>
      </c>
      <c r="AD230" s="5">
        <v>12.0</v>
      </c>
      <c r="AE230" s="9" t="b">
        <v>1</v>
      </c>
      <c r="AF230" s="9" t="b">
        <v>1</v>
      </c>
      <c r="AG230" s="5">
        <v>3.1233950484627067</v>
      </c>
      <c r="AH230" s="5">
        <v>4.729712501957813</v>
      </c>
      <c r="AI230" s="5">
        <v>1131.0</v>
      </c>
      <c r="AJ230" s="5">
        <v>619.0</v>
      </c>
      <c r="AK230" s="5">
        <v>6.0</v>
      </c>
      <c r="AL230" s="5">
        <v>6.0</v>
      </c>
      <c r="AM230" s="5">
        <v>-70.08216529724504</v>
      </c>
      <c r="AN230" s="5">
        <v>10.44921875</v>
      </c>
    </row>
    <row r="231" ht="15.75" customHeight="1">
      <c r="A231" s="5">
        <v>11.0</v>
      </c>
      <c r="B231" s="5">
        <v>2014.0</v>
      </c>
      <c r="C231" s="5">
        <v>4354.4</v>
      </c>
      <c r="D231" s="5">
        <v>546829.0</v>
      </c>
      <c r="E231" s="5">
        <v>6127.295268225</v>
      </c>
      <c r="F231" s="5">
        <v>4988.228001177826</v>
      </c>
      <c r="G231" s="5">
        <v>4.0</v>
      </c>
      <c r="H231" s="5">
        <v>4.0</v>
      </c>
      <c r="I231" s="5">
        <v>0.7106561393541941</v>
      </c>
      <c r="J231" s="5">
        <v>2.4375303635227885</v>
      </c>
      <c r="K231" s="5">
        <v>-0.1417535787907931</v>
      </c>
      <c r="L231" s="5">
        <v>0.8729352385199382</v>
      </c>
      <c r="M231" s="5">
        <v>2.698720268696575</v>
      </c>
      <c r="N231" s="5">
        <v>-0.39571941054933335</v>
      </c>
      <c r="O231" s="5">
        <v>2.2923214982075724</v>
      </c>
      <c r="P231" s="5">
        <v>5387.0</v>
      </c>
      <c r="Q231" s="5">
        <v>4.0</v>
      </c>
      <c r="R231" s="5">
        <v>5259.0</v>
      </c>
      <c r="S231" s="5">
        <v>4.0</v>
      </c>
      <c r="T231" s="5">
        <v>276906.6</v>
      </c>
      <c r="U231" s="5">
        <v>4.0</v>
      </c>
      <c r="V231" s="5">
        <v>52.65385054192812</v>
      </c>
      <c r="W231" s="9" t="b">
        <v>1</v>
      </c>
      <c r="X231" s="9" t="b">
        <v>1</v>
      </c>
      <c r="Y231" s="5">
        <v>9.851342924387698</v>
      </c>
      <c r="Z231" s="5">
        <v>9.617266092325023</v>
      </c>
      <c r="AA231" s="5">
        <v>3642.0</v>
      </c>
      <c r="AB231" s="5">
        <v>3817.0</v>
      </c>
      <c r="AC231" s="5">
        <v>12.0</v>
      </c>
      <c r="AD231" s="5">
        <v>12.0</v>
      </c>
      <c r="AE231" s="9" t="b">
        <v>1</v>
      </c>
      <c r="AF231" s="9" t="b">
        <v>1</v>
      </c>
      <c r="AG231" s="5">
        <v>6.980244281118961</v>
      </c>
      <c r="AH231" s="5">
        <v>6.660217362283273</v>
      </c>
      <c r="AI231" s="5">
        <v>1906.0</v>
      </c>
      <c r="AJ231" s="5">
        <v>2273.0</v>
      </c>
      <c r="AK231" s="5">
        <v>6.0</v>
      </c>
      <c r="AL231" s="5">
        <v>6.0</v>
      </c>
      <c r="AM231" s="5">
        <v>267.20516962843294</v>
      </c>
      <c r="AN231" s="5">
        <v>68.52343059239612</v>
      </c>
    </row>
    <row r="232" ht="15.75" customHeight="1">
      <c r="A232" s="5">
        <v>11.0</v>
      </c>
      <c r="B232" s="5">
        <v>2015.0</v>
      </c>
      <c r="C232" s="5">
        <v>4549.11</v>
      </c>
      <c r="D232" s="5">
        <v>544612.0</v>
      </c>
      <c r="E232" s="5">
        <v>6244.621232500968</v>
      </c>
      <c r="F232" s="5">
        <v>5009.20915569088</v>
      </c>
      <c r="G232" s="5">
        <v>4.0</v>
      </c>
      <c r="H232" s="5">
        <v>4.0</v>
      </c>
      <c r="I232" s="5">
        <v>0.7284845358311801</v>
      </c>
      <c r="J232" s="5">
        <v>1.9148083965269125</v>
      </c>
      <c r="K232" s="5">
        <v>2.5087233458909397</v>
      </c>
      <c r="L232" s="5">
        <v>0.9081493422633053</v>
      </c>
      <c r="M232" s="5">
        <v>0.42061338230932055</v>
      </c>
      <c r="N232" s="5">
        <v>4.033988111543385</v>
      </c>
      <c r="O232" s="5">
        <v>4.471568987690611</v>
      </c>
      <c r="P232" s="5">
        <v>5817.0</v>
      </c>
      <c r="Q232" s="5">
        <v>4.0</v>
      </c>
      <c r="R232" s="5">
        <v>5857.0</v>
      </c>
      <c r="S232" s="5">
        <v>4.0</v>
      </c>
      <c r="T232" s="5">
        <v>305040.0</v>
      </c>
      <c r="U232" s="5">
        <v>4.0</v>
      </c>
      <c r="V232" s="5">
        <v>52.08127027488475</v>
      </c>
      <c r="W232" s="9" t="b">
        <v>1</v>
      </c>
      <c r="X232" s="9" t="b">
        <v>1</v>
      </c>
      <c r="Y232" s="5">
        <v>10.680998582477065</v>
      </c>
      <c r="Z232" s="5">
        <v>10.754445366609623</v>
      </c>
      <c r="AA232" s="5">
        <v>3629.0</v>
      </c>
      <c r="AB232" s="5">
        <v>4570.0</v>
      </c>
      <c r="AC232" s="5">
        <v>12.0</v>
      </c>
      <c r="AD232" s="5">
        <v>12.0</v>
      </c>
      <c r="AE232" s="9" t="b">
        <v>1</v>
      </c>
      <c r="AF232" s="9" t="b">
        <v>1</v>
      </c>
      <c r="AG232" s="5">
        <v>8.39129508714461</v>
      </c>
      <c r="AH232" s="5">
        <v>6.663459490426212</v>
      </c>
      <c r="AI232" s="5">
        <v>990.0</v>
      </c>
      <c r="AJ232" s="5">
        <v>2490.0</v>
      </c>
      <c r="AK232" s="5">
        <v>6.0</v>
      </c>
      <c r="AL232" s="5">
        <v>6.0</v>
      </c>
      <c r="AM232" s="5">
        <v>9.546854377474713</v>
      </c>
      <c r="AN232" s="5">
        <v>-48.058761804826865</v>
      </c>
    </row>
    <row r="233" ht="15.75" customHeight="1">
      <c r="A233" s="5">
        <v>11.0</v>
      </c>
      <c r="B233" s="5">
        <v>2016.0</v>
      </c>
      <c r="C233" s="5">
        <v>4770.94</v>
      </c>
      <c r="D233" s="5">
        <v>541561.0</v>
      </c>
      <c r="E233" s="5">
        <v>6260.6612600419685</v>
      </c>
      <c r="F233" s="5">
        <v>5171.913811647475</v>
      </c>
      <c r="G233" s="5">
        <v>4.0</v>
      </c>
      <c r="H233" s="5">
        <v>4.0</v>
      </c>
      <c r="I233" s="5">
        <v>0.7620504930445666</v>
      </c>
      <c r="J233" s="5">
        <v>0.2568614963789573</v>
      </c>
      <c r="K233" s="5">
        <v>4.607641694835518</v>
      </c>
      <c r="L233" s="5">
        <v>0.9224709022133244</v>
      </c>
      <c r="M233" s="5">
        <v>3.2481106478005506</v>
      </c>
      <c r="N233" s="5">
        <v>1.577004935589854</v>
      </c>
      <c r="O233" s="5">
        <v>4.87633844861961</v>
      </c>
      <c r="P233" s="5">
        <v>6070.0</v>
      </c>
      <c r="Q233" s="5">
        <v>4.0</v>
      </c>
      <c r="R233" s="5">
        <v>6115.0</v>
      </c>
      <c r="S233" s="5">
        <v>4.0</v>
      </c>
      <c r="T233" s="5">
        <v>320879.7</v>
      </c>
      <c r="U233" s="5">
        <v>4.0</v>
      </c>
      <c r="V233" s="5">
        <v>52.47419460343418</v>
      </c>
      <c r="W233" s="9" t="b">
        <v>1</v>
      </c>
      <c r="X233" s="9" t="b">
        <v>1</v>
      </c>
      <c r="Y233" s="5">
        <v>11.20834033469914</v>
      </c>
      <c r="Z233" s="5">
        <v>11.291433467328703</v>
      </c>
      <c r="AA233" s="5">
        <v>2915.0</v>
      </c>
      <c r="AB233" s="5">
        <v>3553.0</v>
      </c>
      <c r="AC233" s="5">
        <v>12.0</v>
      </c>
      <c r="AD233" s="5">
        <v>12.0</v>
      </c>
      <c r="AE233" s="9" t="b">
        <v>1</v>
      </c>
      <c r="AF233" s="9" t="b">
        <v>1</v>
      </c>
      <c r="AG233" s="5">
        <v>6.560664449618788</v>
      </c>
      <c r="AH233" s="5">
        <v>5.382588480337395</v>
      </c>
      <c r="AI233" s="5">
        <v>857.0</v>
      </c>
      <c r="AJ233" s="5">
        <v>1724.0</v>
      </c>
      <c r="AK233" s="5">
        <v>6.0</v>
      </c>
      <c r="AL233" s="5">
        <v>6.0</v>
      </c>
      <c r="AM233" s="5">
        <v>-30.76305220883534</v>
      </c>
      <c r="AN233" s="5">
        <v>-13.434343434343432</v>
      </c>
    </row>
    <row r="234" ht="15.75" customHeight="1">
      <c r="A234" s="5">
        <v>11.0</v>
      </c>
      <c r="B234" s="5">
        <v>2017.0</v>
      </c>
      <c r="C234" s="5">
        <v>5062.37</v>
      </c>
      <c r="D234" s="5">
        <v>539549.0</v>
      </c>
      <c r="E234" s="5">
        <v>6321.194454824087</v>
      </c>
      <c r="F234" s="5">
        <v>5401.748480585731</v>
      </c>
      <c r="G234" s="5">
        <v>4.0</v>
      </c>
      <c r="H234" s="5">
        <v>4.0</v>
      </c>
      <c r="I234" s="5">
        <v>0.8008565526941823</v>
      </c>
      <c r="J234" s="5">
        <v>0.9668818079723529</v>
      </c>
      <c r="K234" s="5">
        <v>5.092321309914327</v>
      </c>
      <c r="L234" s="5">
        <v>0.9371724763184585</v>
      </c>
      <c r="M234" s="5">
        <v>4.443899827190734</v>
      </c>
      <c r="N234" s="5">
        <v>1.5937168391826795</v>
      </c>
      <c r="O234" s="5">
        <v>6.108439846235769</v>
      </c>
      <c r="P234" s="5">
        <v>6452.0</v>
      </c>
      <c r="Q234" s="5">
        <v>4.0</v>
      </c>
      <c r="R234" s="5">
        <v>6518.0</v>
      </c>
      <c r="S234" s="5">
        <v>4.0</v>
      </c>
      <c r="T234" s="5">
        <v>343457.2</v>
      </c>
      <c r="U234" s="5">
        <v>4.0</v>
      </c>
      <c r="V234" s="5">
        <v>52.693648358392146</v>
      </c>
      <c r="W234" s="9" t="b">
        <v>1</v>
      </c>
      <c r="X234" s="9" t="b">
        <v>1</v>
      </c>
      <c r="Y234" s="5">
        <v>11.958135405681412</v>
      </c>
      <c r="Z234" s="5">
        <v>12.08045979141839</v>
      </c>
      <c r="AA234" s="5">
        <v>4069.0</v>
      </c>
      <c r="AB234" s="5">
        <v>7432.0</v>
      </c>
      <c r="AC234" s="5">
        <v>12.0</v>
      </c>
      <c r="AD234" s="5">
        <v>12.0</v>
      </c>
      <c r="AE234" s="9" t="b">
        <v>1</v>
      </c>
      <c r="AF234" s="9" t="b">
        <v>1</v>
      </c>
      <c r="AG234" s="5">
        <v>13.774467193897124</v>
      </c>
      <c r="AH234" s="5">
        <v>7.541483720662998</v>
      </c>
      <c r="AI234" s="5">
        <v>1738.0</v>
      </c>
      <c r="AJ234" s="5">
        <v>2830.0</v>
      </c>
      <c r="AK234" s="5">
        <v>6.0</v>
      </c>
      <c r="AL234" s="5">
        <v>6.0</v>
      </c>
      <c r="AM234" s="5">
        <v>64.15313225058003</v>
      </c>
      <c r="AN234" s="5">
        <v>102.8004667444574</v>
      </c>
    </row>
    <row r="235" ht="15.75" customHeight="1">
      <c r="A235" s="5">
        <v>11.0</v>
      </c>
      <c r="B235" s="5">
        <v>2018.0</v>
      </c>
      <c r="C235" s="5">
        <v>5355.57</v>
      </c>
      <c r="D235" s="5">
        <v>537643.0</v>
      </c>
      <c r="E235" s="5">
        <v>6757.738362463916</v>
      </c>
      <c r="F235" s="5">
        <v>5836.67763525599</v>
      </c>
      <c r="G235" s="5">
        <v>4.0</v>
      </c>
      <c r="H235" s="5">
        <v>4.0</v>
      </c>
      <c r="I235" s="5">
        <v>0.7925092261262574</v>
      </c>
      <c r="J235" s="5">
        <v>6.906035097633745</v>
      </c>
      <c r="K235" s="5">
        <v>-1.0422998400704153</v>
      </c>
      <c r="L235" s="5">
        <v>0.9175716622843966</v>
      </c>
      <c r="M235" s="5">
        <v>8.051636543860297</v>
      </c>
      <c r="N235" s="5">
        <v>-2.0914841749365864</v>
      </c>
      <c r="O235" s="5">
        <v>5.7917536647854595</v>
      </c>
      <c r="P235" s="5">
        <v>7336.0</v>
      </c>
      <c r="Q235" s="5">
        <v>4.0</v>
      </c>
      <c r="R235" s="5">
        <v>7538.0</v>
      </c>
      <c r="S235" s="5">
        <v>4.0</v>
      </c>
      <c r="T235" s="5">
        <v>402781.3</v>
      </c>
      <c r="U235" s="5">
        <v>4.0</v>
      </c>
      <c r="V235" s="5">
        <v>53.433443884319445</v>
      </c>
      <c r="W235" s="9" t="b">
        <v>1</v>
      </c>
      <c r="X235" s="9" t="b">
        <v>1</v>
      </c>
      <c r="Y235" s="5">
        <v>13.644741957023527</v>
      </c>
      <c r="Z235" s="5">
        <v>14.020455953113869</v>
      </c>
      <c r="AA235" s="5">
        <v>4006.0</v>
      </c>
      <c r="AB235" s="5">
        <v>5610.0</v>
      </c>
      <c r="AC235" s="5">
        <v>12.0</v>
      </c>
      <c r="AD235" s="5">
        <v>12.0</v>
      </c>
      <c r="AE235" s="9" t="b">
        <v>1</v>
      </c>
      <c r="AF235" s="9" t="b">
        <v>1</v>
      </c>
      <c r="AG235" s="5">
        <v>10.434433257756542</v>
      </c>
      <c r="AH235" s="5">
        <v>7.451040932365901</v>
      </c>
      <c r="AI235" s="5">
        <v>2129.0</v>
      </c>
      <c r="AJ235" s="5">
        <v>1989.0</v>
      </c>
      <c r="AK235" s="5">
        <v>6.0</v>
      </c>
      <c r="AL235" s="5">
        <v>6.0</v>
      </c>
      <c r="AM235" s="5">
        <v>-29.717314487632507</v>
      </c>
      <c r="AN235" s="5">
        <v>22.497123130034513</v>
      </c>
    </row>
    <row r="236" ht="15.75" customHeight="1">
      <c r="A236" s="5">
        <v>11.0</v>
      </c>
      <c r="B236" s="5">
        <v>2019.0</v>
      </c>
      <c r="C236" s="5">
        <v>5713.03</v>
      </c>
      <c r="D236" s="5">
        <v>535802.0</v>
      </c>
      <c r="E236" s="5">
        <v>7159.956815127817</v>
      </c>
      <c r="F236" s="5">
        <v>6339.904157219108</v>
      </c>
      <c r="G236" s="5">
        <v>4.0</v>
      </c>
      <c r="H236" s="5">
        <v>4.0</v>
      </c>
      <c r="I236" s="5">
        <v>0.7979140304211475</v>
      </c>
      <c r="J236" s="5">
        <v>5.951968411473829</v>
      </c>
      <c r="K236" s="5">
        <v>0.6819862932458731</v>
      </c>
      <c r="L236" s="5">
        <v>0.9011224552179861</v>
      </c>
      <c r="M236" s="5">
        <v>8.621797423304955</v>
      </c>
      <c r="N236" s="5">
        <v>-1.7926890882242752</v>
      </c>
      <c r="O236" s="5">
        <v>6.674546313464291</v>
      </c>
      <c r="P236" s="5">
        <v>3543.0</v>
      </c>
      <c r="Q236" s="5">
        <v>4.0</v>
      </c>
      <c r="R236" s="5">
        <v>3644.0</v>
      </c>
      <c r="S236" s="5">
        <v>4.0</v>
      </c>
      <c r="T236" s="5">
        <v>191123.49999999997</v>
      </c>
      <c r="U236" s="5">
        <v>4.0</v>
      </c>
      <c r="V236" s="5">
        <v>52.448819978046096</v>
      </c>
      <c r="W236" s="9" t="b">
        <v>1</v>
      </c>
      <c r="X236" s="9" t="b">
        <v>1</v>
      </c>
      <c r="Y236" s="5">
        <v>6.612517310499028</v>
      </c>
      <c r="Z236" s="5">
        <v>6.801019779694737</v>
      </c>
      <c r="AA236" s="5">
        <v>5043.0</v>
      </c>
      <c r="AB236" s="5">
        <v>4273.0</v>
      </c>
      <c r="AC236" s="5">
        <v>12.0</v>
      </c>
      <c r="AD236" s="5">
        <v>12.0</v>
      </c>
      <c r="AE236" s="9" t="b">
        <v>1</v>
      </c>
      <c r="AF236" s="9" t="b">
        <v>1</v>
      </c>
      <c r="AG236" s="5">
        <v>7.9749608997353505</v>
      </c>
      <c r="AH236" s="5">
        <v>9.412058932217498</v>
      </c>
      <c r="AI236" s="5">
        <v>2204.0</v>
      </c>
      <c r="AJ236" s="5">
        <v>2541.0</v>
      </c>
      <c r="AK236" s="5">
        <v>6.0</v>
      </c>
      <c r="AL236" s="5">
        <v>6.0</v>
      </c>
      <c r="AM236" s="5">
        <v>27.75263951734539</v>
      </c>
      <c r="AN236" s="5">
        <v>3.522780648191648</v>
      </c>
    </row>
    <row r="237" ht="15.75" customHeight="1">
      <c r="A237" s="5">
        <v>11.0</v>
      </c>
      <c r="B237" s="5">
        <v>2020.0</v>
      </c>
      <c r="C237" s="5">
        <v>6104.97</v>
      </c>
      <c r="D237" s="5">
        <v>549559.0</v>
      </c>
      <c r="E237" s="5">
        <v>7486.6358796599325</v>
      </c>
      <c r="F237" s="5">
        <v>6938.5254146990865</v>
      </c>
      <c r="G237" s="5">
        <v>4.0</v>
      </c>
      <c r="H237" s="5">
        <v>4.0</v>
      </c>
      <c r="I237" s="5">
        <v>0.8154490345371662</v>
      </c>
      <c r="J237" s="5">
        <v>4.562584286009885</v>
      </c>
      <c r="K237" s="5">
        <v>2.19760568776608</v>
      </c>
      <c r="L237" s="5">
        <v>0.8798656249160347</v>
      </c>
      <c r="M237" s="5">
        <v>9.442118408025802</v>
      </c>
      <c r="N237" s="5">
        <v>-2.3589280434487936</v>
      </c>
      <c r="O237" s="5">
        <v>6.860457585554425</v>
      </c>
      <c r="P237" s="5">
        <v>4463.0</v>
      </c>
      <c r="Q237" s="5">
        <v>4.0</v>
      </c>
      <c r="R237" s="5">
        <v>4529.0</v>
      </c>
      <c r="S237" s="5">
        <v>4.0</v>
      </c>
      <c r="T237" s="5">
        <v>241542.09999999998</v>
      </c>
      <c r="U237" s="5">
        <v>4.0</v>
      </c>
      <c r="V237" s="5">
        <v>53.33232501655994</v>
      </c>
      <c r="W237" s="9" t="b">
        <v>1</v>
      </c>
      <c r="X237" s="9" t="b">
        <v>1</v>
      </c>
      <c r="Y237" s="5">
        <v>8.12105706575636</v>
      </c>
      <c r="Z237" s="5">
        <v>8.241153361149577</v>
      </c>
      <c r="AA237" s="5">
        <v>4927.0</v>
      </c>
      <c r="AB237" s="5">
        <v>4199.0</v>
      </c>
      <c r="AC237" s="5">
        <v>12.0</v>
      </c>
      <c r="AD237" s="5">
        <v>12.0</v>
      </c>
      <c r="AE237" s="9" t="b">
        <v>1</v>
      </c>
      <c r="AF237" s="9" t="b">
        <v>1</v>
      </c>
      <c r="AG237" s="5">
        <v>7.6406718841835</v>
      </c>
      <c r="AH237" s="5">
        <v>8.96537041518745</v>
      </c>
      <c r="AI237" s="5">
        <v>1898.0</v>
      </c>
      <c r="AJ237" s="5">
        <v>1782.0</v>
      </c>
      <c r="AK237" s="5">
        <v>6.0</v>
      </c>
      <c r="AL237" s="5">
        <v>6.0</v>
      </c>
      <c r="AM237" s="5">
        <v>-29.87012987012987</v>
      </c>
      <c r="AN237" s="5">
        <v>-13.883847549909255</v>
      </c>
    </row>
    <row r="238" ht="15.75" customHeight="1">
      <c r="A238" s="5">
        <v>11.0</v>
      </c>
      <c r="B238" s="5">
        <v>2021.0</v>
      </c>
      <c r="C238" s="5">
        <v>6662.69</v>
      </c>
      <c r="D238" s="5">
        <v>546127.0</v>
      </c>
      <c r="E238" s="5">
        <v>8128.925759613436</v>
      </c>
      <c r="F238" s="5">
        <v>7445.229429501794</v>
      </c>
      <c r="G238" s="5">
        <v>4.0</v>
      </c>
      <c r="H238" s="5">
        <v>4.0</v>
      </c>
      <c r="I238" s="5">
        <v>0.8196273649221811</v>
      </c>
      <c r="J238" s="5">
        <v>8.579152108873211</v>
      </c>
      <c r="K238" s="5">
        <v>0.512396263659376</v>
      </c>
      <c r="L238" s="5">
        <v>0.8948938461988862</v>
      </c>
      <c r="M238" s="5">
        <v>7.302762251605621</v>
      </c>
      <c r="N238" s="5">
        <v>1.708013230348171</v>
      </c>
      <c r="O238" s="5">
        <v>9.135507627392103</v>
      </c>
      <c r="P238" s="5">
        <v>6265.0</v>
      </c>
      <c r="Q238" s="5">
        <v>4.0</v>
      </c>
      <c r="R238" s="5">
        <v>6382.0</v>
      </c>
      <c r="S238" s="5">
        <v>4.0</v>
      </c>
      <c r="T238" s="5">
        <v>335629.8</v>
      </c>
      <c r="U238" s="5">
        <v>4.0</v>
      </c>
      <c r="V238" s="5">
        <v>52.59006581009088</v>
      </c>
      <c r="W238" s="9" t="b">
        <v>1</v>
      </c>
      <c r="X238" s="9" t="b">
        <v>1</v>
      </c>
      <c r="Y238" s="5">
        <v>11.47169065070945</v>
      </c>
      <c r="Z238" s="5">
        <v>11.68592653357186</v>
      </c>
      <c r="AA238" s="5">
        <v>6389.0</v>
      </c>
      <c r="AB238" s="5">
        <v>6837.0</v>
      </c>
      <c r="AC238" s="5">
        <v>12.0</v>
      </c>
      <c r="AD238" s="5">
        <v>12.0</v>
      </c>
      <c r="AE238" s="9" t="b">
        <v>1</v>
      </c>
      <c r="AF238" s="9" t="b">
        <v>1</v>
      </c>
      <c r="AG238" s="5">
        <v>12.519066078036793</v>
      </c>
      <c r="AH238" s="5">
        <v>11.698744065025169</v>
      </c>
      <c r="AI238" s="5">
        <v>2798.0</v>
      </c>
      <c r="AJ238" s="5">
        <v>5340.0</v>
      </c>
      <c r="AK238" s="5">
        <v>6.0</v>
      </c>
      <c r="AL238" s="5">
        <v>6.0</v>
      </c>
      <c r="AM238" s="5">
        <v>199.66329966329965</v>
      </c>
      <c r="AN238" s="5">
        <v>47.41833508956796</v>
      </c>
    </row>
    <row r="239" ht="15.75" customHeight="1">
      <c r="A239" s="5">
        <v>11.0</v>
      </c>
      <c r="B239" s="5">
        <v>2022.0</v>
      </c>
      <c r="C239" s="5">
        <v>7362.74</v>
      </c>
      <c r="D239" s="5">
        <v>543347.0</v>
      </c>
      <c r="E239" s="5">
        <v>9403.579278863159</v>
      </c>
      <c r="F239" s="5">
        <v>8435.304987663569</v>
      </c>
      <c r="G239" s="5">
        <v>4.0</v>
      </c>
      <c r="H239" s="5">
        <v>4.0</v>
      </c>
      <c r="I239" s="5">
        <v>0.7829720770844731</v>
      </c>
      <c r="J239" s="5">
        <v>15.680466976122776</v>
      </c>
      <c r="K239" s="5">
        <v>-4.47218936390541</v>
      </c>
      <c r="L239" s="5">
        <v>0.8728481081321695</v>
      </c>
      <c r="M239" s="5">
        <v>13.298120192758489</v>
      </c>
      <c r="N239" s="5">
        <v>-2.4635031473685176</v>
      </c>
      <c r="O239" s="5">
        <v>10.507017435900522</v>
      </c>
      <c r="P239" s="5">
        <v>9098.0</v>
      </c>
      <c r="Q239" s="5">
        <v>4.0</v>
      </c>
      <c r="R239" s="5">
        <v>9254.0</v>
      </c>
      <c r="S239" s="5">
        <v>4.0</v>
      </c>
      <c r="T239" s="5">
        <v>505095.69999999995</v>
      </c>
      <c r="U239" s="5">
        <v>4.0</v>
      </c>
      <c r="V239" s="5">
        <v>54.58133779987032</v>
      </c>
      <c r="W239" s="9" t="b">
        <v>1</v>
      </c>
      <c r="X239" s="9" t="b">
        <v>1</v>
      </c>
      <c r="Y239" s="5">
        <v>16.744364098817147</v>
      </c>
      <c r="Z239" s="5">
        <v>17.031473441465582</v>
      </c>
      <c r="AA239" s="5">
        <v>5319.0</v>
      </c>
      <c r="AB239" s="5">
        <v>4236.0</v>
      </c>
      <c r="AC239" s="5">
        <v>12.0</v>
      </c>
      <c r="AD239" s="5">
        <v>12.0</v>
      </c>
      <c r="AE239" s="9" t="b">
        <v>1</v>
      </c>
      <c r="AF239" s="9" t="b">
        <v>1</v>
      </c>
      <c r="AG239" s="5">
        <v>7.7961229196075434</v>
      </c>
      <c r="AH239" s="5">
        <v>9.78932431760919</v>
      </c>
      <c r="AI239" s="5">
        <v>2686.0</v>
      </c>
      <c r="AJ239" s="5">
        <v>2935.0</v>
      </c>
      <c r="AK239" s="5">
        <v>6.0</v>
      </c>
      <c r="AL239" s="5">
        <v>6.0</v>
      </c>
      <c r="AM239" s="5">
        <v>-45.037453183520604</v>
      </c>
      <c r="AN239" s="5">
        <v>-4.002859185132235</v>
      </c>
    </row>
    <row r="240" ht="15.75" customHeight="1">
      <c r="A240" s="5">
        <v>11.0</v>
      </c>
      <c r="B240" s="5">
        <v>2023.0</v>
      </c>
      <c r="C240" s="5">
        <v>8303.38</v>
      </c>
      <c r="D240" s="5">
        <v>540146.0</v>
      </c>
      <c r="E240" s="5">
        <v>10469.072686833155</v>
      </c>
      <c r="F240" s="5">
        <v>8994.424135182617</v>
      </c>
      <c r="G240" s="5">
        <v>4.0</v>
      </c>
      <c r="H240" s="5">
        <v>4.0</v>
      </c>
      <c r="I240" s="5">
        <v>0.793134239142601</v>
      </c>
      <c r="J240" s="5">
        <v>11.330721806801304</v>
      </c>
      <c r="K240" s="5">
        <v>1.2978958452730893</v>
      </c>
      <c r="L240" s="5">
        <v>0.9231697188395278</v>
      </c>
      <c r="M240" s="5">
        <v>6.628321659225667</v>
      </c>
      <c r="N240" s="5">
        <v>5.765219657179843</v>
      </c>
      <c r="O240" s="5">
        <v>12.775678619644303</v>
      </c>
      <c r="P240" s="5">
        <v>8522.0</v>
      </c>
      <c r="Q240" s="5">
        <v>4.0</v>
      </c>
      <c r="R240" s="5">
        <v>8680.0</v>
      </c>
      <c r="S240" s="5">
        <v>4.0</v>
      </c>
      <c r="T240" s="5">
        <v>461426.1</v>
      </c>
      <c r="U240" s="5">
        <v>4.0</v>
      </c>
      <c r="V240" s="5">
        <v>53.15968894009216</v>
      </c>
      <c r="W240" s="9" t="b">
        <v>1</v>
      </c>
      <c r="X240" s="9" t="b">
        <v>1</v>
      </c>
      <c r="Y240" s="5">
        <v>15.777215789804979</v>
      </c>
      <c r="Z240" s="5">
        <v>16.069729295412724</v>
      </c>
      <c r="AA240" s="5">
        <v>4619.0</v>
      </c>
      <c r="AB240" s="5">
        <v>3182.0</v>
      </c>
      <c r="AC240" s="5">
        <v>12.0</v>
      </c>
      <c r="AD240" s="5">
        <v>12.0</v>
      </c>
      <c r="AE240" s="9" t="b">
        <v>1</v>
      </c>
      <c r="AF240" s="9" t="b">
        <v>1</v>
      </c>
      <c r="AG240" s="5">
        <v>5.890999840783788</v>
      </c>
      <c r="AH240" s="5">
        <v>8.551391660773199</v>
      </c>
      <c r="AI240" s="5">
        <v>2768.0</v>
      </c>
      <c r="AJ240" s="5">
        <v>1262.0</v>
      </c>
      <c r="AK240" s="5">
        <v>6.0</v>
      </c>
      <c r="AL240" s="5">
        <v>6.0</v>
      </c>
      <c r="AM240" s="5">
        <v>-57.00170357751277</v>
      </c>
      <c r="AN240" s="5">
        <v>3.052866716306779</v>
      </c>
    </row>
    <row r="241" ht="15.75" customHeight="1">
      <c r="A241" s="5">
        <v>11.0</v>
      </c>
      <c r="B241" s="5">
        <v>2024.0</v>
      </c>
      <c r="C241" s="5">
        <v>9495.07</v>
      </c>
      <c r="D241" s="5">
        <v>536818.0</v>
      </c>
      <c r="E241" s="5">
        <v>12195.006903616904</v>
      </c>
      <c r="F241" s="5">
        <v>10468.424542108842</v>
      </c>
      <c r="G241" s="5">
        <v>4.0</v>
      </c>
      <c r="H241" s="5">
        <v>4.0</v>
      </c>
      <c r="I241" s="5">
        <v>0.7786030852663041</v>
      </c>
      <c r="J241" s="5">
        <v>16.48602763981608</v>
      </c>
      <c r="K241" s="5">
        <v>-1.8321178382117775</v>
      </c>
      <c r="L241" s="5">
        <v>0.907019959097612</v>
      </c>
      <c r="M241" s="5">
        <v>16.38793528938134</v>
      </c>
      <c r="N241" s="5">
        <v>-1.749381442257103</v>
      </c>
      <c r="O241" s="5">
        <v>14.351866348402709</v>
      </c>
      <c r="P241" s="5">
        <v>9583.0</v>
      </c>
      <c r="Q241" s="5">
        <v>4.0</v>
      </c>
      <c r="R241" s="5">
        <v>9744.0</v>
      </c>
      <c r="S241" s="5">
        <v>4.0</v>
      </c>
      <c r="T241" s="5">
        <v>515299.30000000005</v>
      </c>
      <c r="U241" s="5">
        <v>4.0</v>
      </c>
      <c r="V241" s="5">
        <v>52.88375410509032</v>
      </c>
      <c r="W241" s="9" t="b">
        <v>1</v>
      </c>
      <c r="X241" s="9" t="b">
        <v>1</v>
      </c>
      <c r="Y241" s="5">
        <v>17.851487841316796</v>
      </c>
      <c r="Z241" s="5">
        <v>18.151403268891876</v>
      </c>
      <c r="AA241" s="5">
        <v>5045.0</v>
      </c>
      <c r="AB241" s="5">
        <v>4309.0</v>
      </c>
      <c r="AC241" s="5">
        <v>12.0</v>
      </c>
      <c r="AD241" s="5">
        <v>12.0</v>
      </c>
      <c r="AE241" s="9" t="b">
        <v>1</v>
      </c>
      <c r="AF241" s="9" t="b">
        <v>1</v>
      </c>
      <c r="AG241" s="5">
        <v>8.026929052304505</v>
      </c>
      <c r="AH241" s="5">
        <v>9.397971006933448</v>
      </c>
      <c r="AI241" s="5">
        <v>1677.0</v>
      </c>
      <c r="AJ241" s="5">
        <v>2547.0</v>
      </c>
      <c r="AK241" s="5">
        <v>6.0</v>
      </c>
      <c r="AL241" s="5">
        <v>6.0</v>
      </c>
      <c r="AM241" s="5">
        <v>101.82250396196513</v>
      </c>
      <c r="AN241" s="5">
        <v>-39.41473988439307</v>
      </c>
    </row>
    <row r="242" ht="15.75" customHeight="1">
      <c r="A242" s="5">
        <v>11.0</v>
      </c>
      <c r="B242" s="5">
        <v>2025.0</v>
      </c>
      <c r="C242" s="5">
        <v>10294.78</v>
      </c>
      <c r="D242" s="5">
        <v>534913.0</v>
      </c>
      <c r="E242" s="5">
        <v>12441.147141432131</v>
      </c>
      <c r="F242" s="5">
        <v>10931.781536543083</v>
      </c>
      <c r="G242" s="5">
        <v>4.0</v>
      </c>
      <c r="H242" s="5">
        <v>4.0</v>
      </c>
      <c r="I242" s="5">
        <v>0.8274783573385937</v>
      </c>
      <c r="J242" s="5">
        <v>2.0183689911829727</v>
      </c>
      <c r="K242" s="5">
        <v>6.277302645875449</v>
      </c>
      <c r="L242" s="5">
        <v>0.9417293938399981</v>
      </c>
      <c r="M242" s="5">
        <v>4.426234268302798</v>
      </c>
      <c r="N242" s="5">
        <v>3.82675534250847</v>
      </c>
      <c r="O242" s="5">
        <v>8.422370767145493</v>
      </c>
      <c r="AA242" s="5">
        <v>5608.0</v>
      </c>
      <c r="AB242" s="5">
        <v>3130.0</v>
      </c>
      <c r="AC242" s="5">
        <v>12.0</v>
      </c>
      <c r="AD242" s="5">
        <v>12.0</v>
      </c>
      <c r="AE242" s="9" t="b">
        <v>1</v>
      </c>
      <c r="AF242" s="9" t="b">
        <v>1</v>
      </c>
      <c r="AG242" s="5">
        <v>5.851418828856281</v>
      </c>
      <c r="AH242" s="5">
        <v>10.48394785694122</v>
      </c>
      <c r="AI242" s="5">
        <v>1791.0</v>
      </c>
      <c r="AJ242" s="5">
        <v>1908.0</v>
      </c>
      <c r="AK242" s="5">
        <v>6.0</v>
      </c>
      <c r="AL242" s="5">
        <v>6.0</v>
      </c>
      <c r="AM242" s="5">
        <v>-25.08833922261484</v>
      </c>
      <c r="AN242" s="5">
        <v>6.797853309481217</v>
      </c>
    </row>
    <row r="243" ht="15.75" customHeight="1">
      <c r="A243" s="5">
        <v>11.0</v>
      </c>
      <c r="B243" s="5">
        <v>2026.0</v>
      </c>
      <c r="AI243" s="5">
        <v>2319.0</v>
      </c>
      <c r="AJ243" s="5">
        <v>2515.0</v>
      </c>
      <c r="AK243" s="5">
        <v>6.0</v>
      </c>
      <c r="AL243" s="5">
        <v>6.0</v>
      </c>
      <c r="AM243" s="5">
        <v>31.813417190775684</v>
      </c>
      <c r="AN243" s="5">
        <v>29.48073701842546</v>
      </c>
    </row>
    <row r="244" ht="15.75" customHeight="1">
      <c r="A244" s="5">
        <v>12.0</v>
      </c>
      <c r="B244" s="5">
        <v>2005.0</v>
      </c>
      <c r="C244" s="5">
        <v>2416.75</v>
      </c>
      <c r="D244" s="5">
        <v>158935.0</v>
      </c>
      <c r="AA244" s="5">
        <v>456.0</v>
      </c>
      <c r="AB244" s="5">
        <v>374.0</v>
      </c>
      <c r="AC244" s="5">
        <v>12.0</v>
      </c>
      <c r="AD244" s="5">
        <v>12.0</v>
      </c>
      <c r="AE244" s="9" t="b">
        <v>1</v>
      </c>
      <c r="AF244" s="9" t="b">
        <v>1</v>
      </c>
      <c r="AG244" s="5">
        <v>2.3531632428351212</v>
      </c>
      <c r="AH244" s="5">
        <v>2.8690974297668856</v>
      </c>
      <c r="AI244" s="5">
        <v>237.0</v>
      </c>
      <c r="AJ244" s="5">
        <v>203.0</v>
      </c>
      <c r="AK244" s="5">
        <v>6.0</v>
      </c>
      <c r="AL244" s="5">
        <v>6.0</v>
      </c>
    </row>
    <row r="245" ht="15.75" customHeight="1">
      <c r="A245" s="5">
        <v>12.0</v>
      </c>
      <c r="B245" s="5">
        <v>2006.0</v>
      </c>
      <c r="C245" s="5">
        <v>2522.57</v>
      </c>
      <c r="D245" s="5">
        <v>163155.0</v>
      </c>
      <c r="AA245" s="5">
        <v>1011.0</v>
      </c>
      <c r="AB245" s="5">
        <v>1273.0</v>
      </c>
      <c r="AC245" s="5">
        <v>12.0</v>
      </c>
      <c r="AD245" s="5">
        <v>12.0</v>
      </c>
      <c r="AE245" s="9" t="b">
        <v>1</v>
      </c>
      <c r="AF245" s="9" t="b">
        <v>1</v>
      </c>
      <c r="AG245" s="5">
        <v>7.802396494131347</v>
      </c>
      <c r="AH245" s="5">
        <v>6.196561551898501</v>
      </c>
      <c r="AI245" s="5">
        <v>593.0</v>
      </c>
      <c r="AJ245" s="5">
        <v>612.0</v>
      </c>
      <c r="AK245" s="5">
        <v>6.0</v>
      </c>
      <c r="AL245" s="5">
        <v>6.0</v>
      </c>
      <c r="AM245" s="5">
        <v>201.47783251231525</v>
      </c>
      <c r="AN245" s="5">
        <v>150.21097046413502</v>
      </c>
    </row>
    <row r="246" ht="15.75" customHeight="1">
      <c r="A246" s="5">
        <v>12.0</v>
      </c>
      <c r="B246" s="5">
        <v>2007.0</v>
      </c>
      <c r="C246" s="5">
        <v>2734.81</v>
      </c>
      <c r="D246" s="5">
        <v>166684.0</v>
      </c>
      <c r="E246" s="5">
        <v>3868.75</v>
      </c>
      <c r="F246" s="5">
        <v>4162.818109561153</v>
      </c>
      <c r="G246" s="5">
        <v>4.0</v>
      </c>
      <c r="H246" s="5">
        <v>4.0</v>
      </c>
      <c r="I246" s="5">
        <v>0.7068975767366721</v>
      </c>
      <c r="L246" s="5">
        <v>0.6569612046509296</v>
      </c>
      <c r="AA246" s="5">
        <v>793.0</v>
      </c>
      <c r="AB246" s="5">
        <v>1797.0</v>
      </c>
      <c r="AC246" s="5">
        <v>12.0</v>
      </c>
      <c r="AD246" s="5">
        <v>12.0</v>
      </c>
      <c r="AE246" s="9" t="b">
        <v>1</v>
      </c>
      <c r="AF246" s="9" t="b">
        <v>1</v>
      </c>
      <c r="AG246" s="5">
        <v>10.780878788605985</v>
      </c>
      <c r="AH246" s="5">
        <v>4.757505219457177</v>
      </c>
      <c r="AI246" s="5">
        <v>331.0</v>
      </c>
      <c r="AJ246" s="5">
        <v>626.0</v>
      </c>
      <c r="AK246" s="5">
        <v>6.0</v>
      </c>
      <c r="AL246" s="5">
        <v>6.0</v>
      </c>
      <c r="AM246" s="5">
        <v>2.287581699346397</v>
      </c>
      <c r="AN246" s="5">
        <v>-44.18212478920742</v>
      </c>
    </row>
    <row r="247" ht="15.75" customHeight="1">
      <c r="A247" s="5">
        <v>12.0</v>
      </c>
      <c r="B247" s="5">
        <v>2008.0</v>
      </c>
      <c r="C247" s="5">
        <v>3107.71</v>
      </c>
      <c r="D247" s="5">
        <v>171330.0</v>
      </c>
      <c r="E247" s="5">
        <v>4172.0</v>
      </c>
      <c r="F247" s="5">
        <v>4247.6162514652715</v>
      </c>
      <c r="G247" s="5">
        <v>4.0</v>
      </c>
      <c r="H247" s="5">
        <v>4.0</v>
      </c>
      <c r="I247" s="5">
        <v>0.7448969319271332</v>
      </c>
      <c r="J247" s="5">
        <v>7.838449111470114</v>
      </c>
      <c r="K247" s="5">
        <v>5.375510744552514</v>
      </c>
      <c r="L247" s="5">
        <v>0.7316362439587037</v>
      </c>
      <c r="M247" s="5">
        <v>2.037036922400115</v>
      </c>
      <c r="N247" s="5">
        <v>11.366735018615316</v>
      </c>
      <c r="O247" s="5">
        <v>13.635316530215992</v>
      </c>
      <c r="AA247" s="5">
        <v>918.0</v>
      </c>
      <c r="AB247" s="5">
        <v>794.0</v>
      </c>
      <c r="AC247" s="5">
        <v>12.0</v>
      </c>
      <c r="AD247" s="5">
        <v>12.0</v>
      </c>
      <c r="AE247" s="9" t="b">
        <v>1</v>
      </c>
      <c r="AF247" s="9" t="b">
        <v>1</v>
      </c>
      <c r="AG247" s="5">
        <v>4.6343314072258215</v>
      </c>
      <c r="AH247" s="5">
        <v>5.358080896515497</v>
      </c>
      <c r="AI247" s="5">
        <v>350.0</v>
      </c>
      <c r="AJ247" s="5">
        <v>566.0</v>
      </c>
      <c r="AK247" s="5">
        <v>6.0</v>
      </c>
      <c r="AL247" s="5">
        <v>6.0</v>
      </c>
      <c r="AM247" s="5">
        <v>-9.584664536741217</v>
      </c>
      <c r="AN247" s="5">
        <v>5.740181268882183</v>
      </c>
    </row>
    <row r="248" ht="15.75" customHeight="1">
      <c r="A248" s="5">
        <v>12.0</v>
      </c>
      <c r="B248" s="5">
        <v>2009.0</v>
      </c>
      <c r="C248" s="5">
        <v>3258.06</v>
      </c>
      <c r="D248" s="5">
        <v>172813.0</v>
      </c>
      <c r="E248" s="5">
        <v>3906.5</v>
      </c>
      <c r="F248" s="5">
        <v>4128.654922065782</v>
      </c>
      <c r="G248" s="5">
        <v>4.0</v>
      </c>
      <c r="H248" s="5">
        <v>4.0</v>
      </c>
      <c r="I248" s="5">
        <v>0.8340099833610649</v>
      </c>
      <c r="J248" s="5">
        <v>-6.3638542665388265</v>
      </c>
      <c r="K248" s="5">
        <v>11.9631384711689</v>
      </c>
      <c r="L248" s="5">
        <v>0.7891335220551255</v>
      </c>
      <c r="M248" s="5">
        <v>-2.800660943851807</v>
      </c>
      <c r="N248" s="5">
        <v>7.85872468336426</v>
      </c>
      <c r="O248" s="5">
        <v>4.837967506620622</v>
      </c>
      <c r="AA248" s="5">
        <v>1546.0</v>
      </c>
      <c r="AB248" s="5">
        <v>1306.0</v>
      </c>
      <c r="AC248" s="5">
        <v>12.0</v>
      </c>
      <c r="AD248" s="5">
        <v>12.0</v>
      </c>
      <c r="AE248" s="9" t="b">
        <v>1</v>
      </c>
      <c r="AF248" s="9" t="b">
        <v>1</v>
      </c>
      <c r="AG248" s="5">
        <v>7.557301823358197</v>
      </c>
      <c r="AH248" s="5">
        <v>8.946086231938569</v>
      </c>
      <c r="AI248" s="5">
        <v>487.0</v>
      </c>
      <c r="AJ248" s="5">
        <v>653.0</v>
      </c>
      <c r="AK248" s="5">
        <v>6.0</v>
      </c>
      <c r="AL248" s="5">
        <v>6.0</v>
      </c>
      <c r="AM248" s="5">
        <v>15.371024734982331</v>
      </c>
      <c r="AN248" s="5">
        <v>39.142857142857146</v>
      </c>
    </row>
    <row r="249" ht="15.75" customHeight="1">
      <c r="A249" s="5">
        <v>12.0</v>
      </c>
      <c r="B249" s="5">
        <v>2010.0</v>
      </c>
      <c r="C249" s="5">
        <v>3428.12</v>
      </c>
      <c r="D249" s="5">
        <v>178834.0</v>
      </c>
      <c r="E249" s="5">
        <v>4159.75</v>
      </c>
      <c r="F249" s="5">
        <v>4232.029921078929</v>
      </c>
      <c r="G249" s="5">
        <v>4.0</v>
      </c>
      <c r="H249" s="5">
        <v>4.0</v>
      </c>
      <c r="I249" s="5">
        <v>0.8241168339443475</v>
      </c>
      <c r="J249" s="5">
        <v>6.482785101753485</v>
      </c>
      <c r="K249" s="5">
        <v>-1.1862147473160833</v>
      </c>
      <c r="L249" s="5">
        <v>0.8100415318249977</v>
      </c>
      <c r="M249" s="5">
        <v>2.503842073617113</v>
      </c>
      <c r="N249" s="5">
        <v>2.6494894951898385</v>
      </c>
      <c r="O249" s="5">
        <v>5.219670601523596</v>
      </c>
      <c r="Q249" s="5">
        <v>3.0</v>
      </c>
      <c r="S249" s="5">
        <v>3.0</v>
      </c>
      <c r="U249" s="5">
        <v>3.0</v>
      </c>
      <c r="W249" s="9" t="b">
        <v>0</v>
      </c>
      <c r="X249" s="9" t="b">
        <v>0</v>
      </c>
      <c r="AA249" s="5">
        <v>937.0</v>
      </c>
      <c r="AB249" s="5">
        <v>1496.0</v>
      </c>
      <c r="AC249" s="5">
        <v>12.0</v>
      </c>
      <c r="AD249" s="5">
        <v>12.0</v>
      </c>
      <c r="AE249" s="9" t="b">
        <v>1</v>
      </c>
      <c r="AF249" s="9" t="b">
        <v>1</v>
      </c>
      <c r="AG249" s="5">
        <v>8.365299663374973</v>
      </c>
      <c r="AH249" s="5">
        <v>5.239495845309057</v>
      </c>
      <c r="AI249" s="5">
        <v>457.0</v>
      </c>
      <c r="AJ249" s="5">
        <v>624.0</v>
      </c>
      <c r="AK249" s="5">
        <v>6.0</v>
      </c>
      <c r="AL249" s="5">
        <v>6.0</v>
      </c>
      <c r="AM249" s="5">
        <v>-4.44104134762634</v>
      </c>
      <c r="AN249" s="5">
        <v>-6.160164271047231</v>
      </c>
    </row>
    <row r="250" ht="15.75" customHeight="1">
      <c r="A250" s="5">
        <v>12.0</v>
      </c>
      <c r="B250" s="5">
        <v>2011.0</v>
      </c>
      <c r="C250" s="5">
        <v>3532.66</v>
      </c>
      <c r="D250" s="5">
        <v>179634.0</v>
      </c>
      <c r="E250" s="5">
        <v>4220.75</v>
      </c>
      <c r="F250" s="5">
        <v>4521.0205494211405</v>
      </c>
      <c r="G250" s="5">
        <v>4.0</v>
      </c>
      <c r="H250" s="5">
        <v>4.0</v>
      </c>
      <c r="I250" s="5">
        <v>0.8369744713617248</v>
      </c>
      <c r="J250" s="5">
        <v>1.4664342809063147</v>
      </c>
      <c r="K250" s="5">
        <v>1.5601716756395545</v>
      </c>
      <c r="L250" s="5">
        <v>0.7813855215615669</v>
      </c>
      <c r="M250" s="5">
        <v>6.828652767855092</v>
      </c>
      <c r="N250" s="5">
        <v>-3.53759765858791</v>
      </c>
      <c r="O250" s="5">
        <v>3.049484848838424</v>
      </c>
      <c r="P250" s="5">
        <v>415.0</v>
      </c>
      <c r="Q250" s="5">
        <v>4.0</v>
      </c>
      <c r="R250" s="5">
        <v>319.0</v>
      </c>
      <c r="S250" s="5">
        <v>4.0</v>
      </c>
      <c r="T250" s="5">
        <v>16437.0</v>
      </c>
      <c r="U250" s="5">
        <v>4.0</v>
      </c>
      <c r="V250" s="5">
        <v>51.52664576802508</v>
      </c>
      <c r="W250" s="9" t="b">
        <v>1</v>
      </c>
      <c r="X250" s="9" t="b">
        <v>1</v>
      </c>
      <c r="Y250" s="5">
        <v>2.3102530701314894</v>
      </c>
      <c r="Z250" s="5">
        <v>1.7758330828239643</v>
      </c>
      <c r="AA250" s="5">
        <v>1565.0</v>
      </c>
      <c r="AB250" s="5">
        <v>1595.0</v>
      </c>
      <c r="AC250" s="5">
        <v>12.0</v>
      </c>
      <c r="AD250" s="5">
        <v>12.0</v>
      </c>
      <c r="AE250" s="9" t="b">
        <v>1</v>
      </c>
      <c r="AF250" s="9" t="b">
        <v>1</v>
      </c>
      <c r="AG250" s="5">
        <v>8.879165414119822</v>
      </c>
      <c r="AH250" s="5">
        <v>8.712159168086218</v>
      </c>
      <c r="AI250" s="5">
        <v>650.0</v>
      </c>
      <c r="AJ250" s="5">
        <v>584.0</v>
      </c>
      <c r="AK250" s="5">
        <v>6.0</v>
      </c>
      <c r="AL250" s="5">
        <v>6.0</v>
      </c>
      <c r="AM250" s="5">
        <v>-6.41025641025641</v>
      </c>
      <c r="AN250" s="5">
        <v>42.23194748358863</v>
      </c>
    </row>
    <row r="251" ht="15.75" customHeight="1">
      <c r="A251" s="5">
        <v>12.0</v>
      </c>
      <c r="B251" s="5">
        <v>2012.0</v>
      </c>
      <c r="C251" s="5">
        <v>3702.54</v>
      </c>
      <c r="D251" s="5">
        <v>180776.0</v>
      </c>
      <c r="E251" s="5">
        <v>4294.0</v>
      </c>
      <c r="F251" s="5">
        <v>4408.286462253028</v>
      </c>
      <c r="G251" s="5">
        <v>4.0</v>
      </c>
      <c r="H251" s="5">
        <v>4.0</v>
      </c>
      <c r="I251" s="5">
        <v>0.8622589659990685</v>
      </c>
      <c r="J251" s="5">
        <v>1.7354735532784549</v>
      </c>
      <c r="K251" s="5">
        <v>3.0209397660847292</v>
      </c>
      <c r="L251" s="5">
        <v>0.8399045823595755</v>
      </c>
      <c r="M251" s="5">
        <v>-2.4935539649902028</v>
      </c>
      <c r="N251" s="5">
        <v>7.489140658897875</v>
      </c>
      <c r="O251" s="5">
        <v>4.80884093006404</v>
      </c>
      <c r="P251" s="5">
        <v>1131.0</v>
      </c>
      <c r="Q251" s="5">
        <v>4.0</v>
      </c>
      <c r="R251" s="5">
        <v>991.0</v>
      </c>
      <c r="S251" s="5">
        <v>4.0</v>
      </c>
      <c r="T251" s="5">
        <v>54061.0</v>
      </c>
      <c r="U251" s="5">
        <v>4.0</v>
      </c>
      <c r="V251" s="5">
        <v>54.55196770938446</v>
      </c>
      <c r="W251" s="9" t="b">
        <v>1</v>
      </c>
      <c r="X251" s="9" t="b">
        <v>1</v>
      </c>
      <c r="Y251" s="5">
        <v>6.256361463911139</v>
      </c>
      <c r="Z251" s="5">
        <v>5.481922379076869</v>
      </c>
      <c r="AA251" s="5">
        <v>1576.0</v>
      </c>
      <c r="AB251" s="5">
        <v>1944.0</v>
      </c>
      <c r="AC251" s="5">
        <v>12.0</v>
      </c>
      <c r="AD251" s="5">
        <v>12.0</v>
      </c>
      <c r="AE251" s="9" t="b">
        <v>1</v>
      </c>
      <c r="AF251" s="9" t="b">
        <v>1</v>
      </c>
      <c r="AG251" s="5">
        <v>10.753639863698721</v>
      </c>
      <c r="AH251" s="5">
        <v>8.717971412134354</v>
      </c>
      <c r="AI251" s="5">
        <v>757.0</v>
      </c>
      <c r="AJ251" s="5">
        <v>691.0</v>
      </c>
      <c r="AK251" s="5">
        <v>6.0</v>
      </c>
      <c r="AL251" s="5">
        <v>6.0</v>
      </c>
      <c r="AM251" s="5">
        <v>18.32191780821917</v>
      </c>
      <c r="AN251" s="5">
        <v>16.46153846153846</v>
      </c>
    </row>
    <row r="252" ht="15.75" customHeight="1">
      <c r="A252" s="5">
        <v>12.0</v>
      </c>
      <c r="B252" s="5">
        <v>2013.0</v>
      </c>
      <c r="C252" s="5">
        <v>3859.86</v>
      </c>
      <c r="D252" s="5">
        <v>182520.0</v>
      </c>
      <c r="E252" s="5">
        <v>4587.75</v>
      </c>
      <c r="F252" s="5">
        <v>4366.93639529121</v>
      </c>
      <c r="G252" s="5">
        <v>4.0</v>
      </c>
      <c r="H252" s="5">
        <v>4.0</v>
      </c>
      <c r="I252" s="5">
        <v>0.841340526401831</v>
      </c>
      <c r="J252" s="5">
        <v>6.8409408476944655</v>
      </c>
      <c r="K252" s="5">
        <v>-2.426004300575757</v>
      </c>
      <c r="L252" s="5">
        <v>0.8838828072151494</v>
      </c>
      <c r="M252" s="5">
        <v>-0.9380077115198282</v>
      </c>
      <c r="N252" s="5">
        <v>5.2360977400580655</v>
      </c>
      <c r="O252" s="5">
        <v>4.248975027953783</v>
      </c>
      <c r="P252" s="5">
        <v>1293.0</v>
      </c>
      <c r="Q252" s="5">
        <v>4.0</v>
      </c>
      <c r="R252" s="5">
        <v>1215.0</v>
      </c>
      <c r="S252" s="5">
        <v>4.0</v>
      </c>
      <c r="T252" s="5">
        <v>63272.0</v>
      </c>
      <c r="U252" s="5">
        <v>4.0</v>
      </c>
      <c r="V252" s="5">
        <v>52.07572016460905</v>
      </c>
      <c r="W252" s="9" t="b">
        <v>1</v>
      </c>
      <c r="X252" s="9" t="b">
        <v>1</v>
      </c>
      <c r="Y252" s="5">
        <v>7.084155161078239</v>
      </c>
      <c r="Z252" s="5">
        <v>6.656804733727811</v>
      </c>
      <c r="AA252" s="5">
        <v>1346.0</v>
      </c>
      <c r="AB252" s="5">
        <v>1325.0</v>
      </c>
      <c r="AC252" s="5">
        <v>12.0</v>
      </c>
      <c r="AD252" s="5">
        <v>12.0</v>
      </c>
      <c r="AE252" s="9" t="b">
        <v>1</v>
      </c>
      <c r="AF252" s="9" t="b">
        <v>1</v>
      </c>
      <c r="AG252" s="5">
        <v>7.259478413324567</v>
      </c>
      <c r="AH252" s="5">
        <v>7.374534297611221</v>
      </c>
      <c r="AI252" s="5">
        <v>723.0</v>
      </c>
      <c r="AJ252" s="5">
        <v>520.0</v>
      </c>
      <c r="AK252" s="5">
        <v>6.0</v>
      </c>
      <c r="AL252" s="5">
        <v>6.0</v>
      </c>
      <c r="AM252" s="5">
        <v>-24.74674384949349</v>
      </c>
      <c r="AN252" s="5">
        <v>-4.491413474240424</v>
      </c>
    </row>
    <row r="253" ht="15.75" customHeight="1">
      <c r="A253" s="5">
        <v>12.0</v>
      </c>
      <c r="B253" s="5">
        <v>2014.0</v>
      </c>
      <c r="C253" s="5">
        <v>4087.48</v>
      </c>
      <c r="D253" s="5">
        <v>183664.0</v>
      </c>
      <c r="E253" s="5">
        <v>4675.25</v>
      </c>
      <c r="F253" s="5">
        <v>4401.34948704317</v>
      </c>
      <c r="G253" s="5">
        <v>4.0</v>
      </c>
      <c r="H253" s="5">
        <v>4.0</v>
      </c>
      <c r="I253" s="5">
        <v>0.8742805197583017</v>
      </c>
      <c r="J253" s="5">
        <v>1.9072530107351104</v>
      </c>
      <c r="K253" s="5">
        <v>3.915179683230696</v>
      </c>
      <c r="L253" s="5">
        <v>0.928687897208084</v>
      </c>
      <c r="M253" s="5">
        <v>0.7880373936535179</v>
      </c>
      <c r="N253" s="5">
        <v>5.069121112797981</v>
      </c>
      <c r="O253" s="5">
        <v>5.897105076349907</v>
      </c>
      <c r="P253" s="5">
        <v>1214.0</v>
      </c>
      <c r="Q253" s="5">
        <v>4.0</v>
      </c>
      <c r="R253" s="5">
        <v>1177.0</v>
      </c>
      <c r="S253" s="5">
        <v>4.0</v>
      </c>
      <c r="T253" s="5">
        <v>60505.0</v>
      </c>
      <c r="U253" s="5">
        <v>4.0</v>
      </c>
      <c r="V253" s="5">
        <v>51.40611724723874</v>
      </c>
      <c r="W253" s="9" t="b">
        <v>1</v>
      </c>
      <c r="X253" s="9" t="b">
        <v>1</v>
      </c>
      <c r="Y253" s="5">
        <v>6.609896332433139</v>
      </c>
      <c r="Z253" s="5">
        <v>6.408441501872986</v>
      </c>
      <c r="AA253" s="5">
        <v>1649.0</v>
      </c>
      <c r="AB253" s="5">
        <v>2613.0</v>
      </c>
      <c r="AC253" s="5">
        <v>12.0</v>
      </c>
      <c r="AD253" s="5">
        <v>12.0</v>
      </c>
      <c r="AE253" s="9" t="b">
        <v>1</v>
      </c>
      <c r="AF253" s="9" t="b">
        <v>1</v>
      </c>
      <c r="AG253" s="5">
        <v>14.227066817667044</v>
      </c>
      <c r="AH253" s="5">
        <v>8.978351772802508</v>
      </c>
      <c r="AI253" s="5">
        <v>694.0</v>
      </c>
      <c r="AJ253" s="5">
        <v>1118.0</v>
      </c>
      <c r="AK253" s="5">
        <v>6.0</v>
      </c>
      <c r="AL253" s="5">
        <v>6.0</v>
      </c>
      <c r="AM253" s="5">
        <v>114.99999999999999</v>
      </c>
      <c r="AN253" s="5">
        <v>-4.011065006915626</v>
      </c>
    </row>
    <row r="254" ht="15.75" customHeight="1">
      <c r="A254" s="5">
        <v>12.0</v>
      </c>
      <c r="B254" s="5">
        <v>2015.0</v>
      </c>
      <c r="C254" s="5">
        <v>4231.81</v>
      </c>
      <c r="D254" s="5">
        <v>185706.0</v>
      </c>
      <c r="E254" s="5">
        <v>4827.75</v>
      </c>
      <c r="F254" s="5">
        <v>4439.904744986377</v>
      </c>
      <c r="G254" s="5">
        <v>4.0</v>
      </c>
      <c r="H254" s="5">
        <v>4.0</v>
      </c>
      <c r="I254" s="5">
        <v>0.8765594738749936</v>
      </c>
      <c r="J254" s="5">
        <v>3.2618576546708633</v>
      </c>
      <c r="K254" s="5">
        <v>0.26066623528588906</v>
      </c>
      <c r="L254" s="5">
        <v>0.9531308086685054</v>
      </c>
      <c r="M254" s="5">
        <v>0.8759871956705023</v>
      </c>
      <c r="N254" s="5">
        <v>2.6319834181003365</v>
      </c>
      <c r="O254" s="5">
        <v>3.531026451505581</v>
      </c>
      <c r="P254" s="5">
        <v>1948.0</v>
      </c>
      <c r="Q254" s="5">
        <v>4.0</v>
      </c>
      <c r="R254" s="5">
        <v>1915.0</v>
      </c>
      <c r="S254" s="5">
        <v>4.0</v>
      </c>
      <c r="T254" s="5">
        <v>97700.0</v>
      </c>
      <c r="U254" s="5">
        <v>4.0</v>
      </c>
      <c r="V254" s="5">
        <v>51.01827676240209</v>
      </c>
      <c r="W254" s="9" t="b">
        <v>1</v>
      </c>
      <c r="X254" s="9" t="b">
        <v>1</v>
      </c>
      <c r="Y254" s="5">
        <v>10.489698771175945</v>
      </c>
      <c r="Z254" s="5">
        <v>10.311998535319267</v>
      </c>
      <c r="AA254" s="5">
        <v>2392.0</v>
      </c>
      <c r="AB254" s="5">
        <v>2435.0</v>
      </c>
      <c r="AC254" s="5">
        <v>12.0</v>
      </c>
      <c r="AD254" s="5">
        <v>12.0</v>
      </c>
      <c r="AE254" s="9" t="b">
        <v>1</v>
      </c>
      <c r="AF254" s="9" t="b">
        <v>1</v>
      </c>
      <c r="AG254" s="5">
        <v>13.112123463969931</v>
      </c>
      <c r="AH254" s="5">
        <v>12.880574671793049</v>
      </c>
      <c r="AI254" s="5">
        <v>1131.0</v>
      </c>
      <c r="AJ254" s="5">
        <v>1012.0</v>
      </c>
      <c r="AK254" s="5">
        <v>6.0</v>
      </c>
      <c r="AL254" s="5">
        <v>6.0</v>
      </c>
      <c r="AM254" s="5">
        <v>-9.48121645796064</v>
      </c>
      <c r="AN254" s="5">
        <v>62.96829971181557</v>
      </c>
    </row>
    <row r="255" ht="15.75" customHeight="1">
      <c r="A255" s="5">
        <v>12.0</v>
      </c>
      <c r="B255" s="5">
        <v>2016.0</v>
      </c>
      <c r="C255" s="5">
        <v>4319.48</v>
      </c>
      <c r="D255" s="5">
        <v>187027.0</v>
      </c>
      <c r="E255" s="5">
        <v>4928.25</v>
      </c>
      <c r="F255" s="5">
        <v>4541.9483654510495</v>
      </c>
      <c r="G255" s="5">
        <v>4.0</v>
      </c>
      <c r="H255" s="5">
        <v>4.0</v>
      </c>
      <c r="I255" s="5">
        <v>0.8764733931923095</v>
      </c>
      <c r="J255" s="5">
        <v>2.0817150846667687</v>
      </c>
      <c r="K255" s="5">
        <v>-0.009820290037310109</v>
      </c>
      <c r="L255" s="5">
        <v>0.9510191777732908</v>
      </c>
      <c r="M255" s="5">
        <v>2.2983290481603635</v>
      </c>
      <c r="N255" s="5">
        <v>-0.22154680931618653</v>
      </c>
      <c r="O255" s="5">
        <v>2.0716903641703865</v>
      </c>
      <c r="P255" s="5">
        <v>1109.0</v>
      </c>
      <c r="Q255" s="5">
        <v>4.0</v>
      </c>
      <c r="R255" s="5">
        <v>1052.0</v>
      </c>
      <c r="S255" s="5">
        <v>4.0</v>
      </c>
      <c r="T255" s="5">
        <v>53274.0</v>
      </c>
      <c r="U255" s="5">
        <v>4.0</v>
      </c>
      <c r="V255" s="5">
        <v>50.64068441064639</v>
      </c>
      <c r="W255" s="9" t="b">
        <v>1</v>
      </c>
      <c r="X255" s="9" t="b">
        <v>1</v>
      </c>
      <c r="Y255" s="5">
        <v>5.929625134338893</v>
      </c>
      <c r="Z255" s="5">
        <v>5.624856304169986</v>
      </c>
      <c r="AA255" s="5">
        <v>2958.0</v>
      </c>
      <c r="AB255" s="5">
        <v>3167.0</v>
      </c>
      <c r="AC255" s="5">
        <v>12.0</v>
      </c>
      <c r="AD255" s="5">
        <v>12.0</v>
      </c>
      <c r="AE255" s="9" t="b">
        <v>1</v>
      </c>
      <c r="AF255" s="9" t="b">
        <v>1</v>
      </c>
      <c r="AG255" s="5">
        <v>16.933383949910976</v>
      </c>
      <c r="AH255" s="5">
        <v>15.815898239291654</v>
      </c>
      <c r="AI255" s="5">
        <v>1164.0</v>
      </c>
      <c r="AJ255" s="5">
        <v>1110.0</v>
      </c>
      <c r="AK255" s="5">
        <v>6.0</v>
      </c>
      <c r="AL255" s="5">
        <v>6.0</v>
      </c>
      <c r="AM255" s="5">
        <v>9.683794466403173</v>
      </c>
      <c r="AN255" s="5">
        <v>2.917771883289122</v>
      </c>
    </row>
    <row r="256" ht="15.75" customHeight="1">
      <c r="A256" s="5">
        <v>12.0</v>
      </c>
      <c r="B256" s="5">
        <v>2017.0</v>
      </c>
      <c r="C256" s="5">
        <v>4510.48</v>
      </c>
      <c r="D256" s="5">
        <v>189111.0</v>
      </c>
      <c r="E256" s="5">
        <v>4874.75</v>
      </c>
      <c r="F256" s="5">
        <v>4806.446183244372</v>
      </c>
      <c r="G256" s="5">
        <v>4.0</v>
      </c>
      <c r="H256" s="5">
        <v>4.0</v>
      </c>
      <c r="I256" s="5">
        <v>0.9252741166213652</v>
      </c>
      <c r="J256" s="5">
        <v>-1.085578044944957</v>
      </c>
      <c r="K256" s="5">
        <v>5.56784995506967</v>
      </c>
      <c r="L256" s="5">
        <v>0.9384230735223599</v>
      </c>
      <c r="M256" s="5">
        <v>5.823443960861852</v>
      </c>
      <c r="N256" s="5">
        <v>-1.3244847785744307</v>
      </c>
      <c r="O256" s="5">
        <v>4.4218285534369794</v>
      </c>
      <c r="P256" s="5">
        <v>1088.0</v>
      </c>
      <c r="Q256" s="5">
        <v>4.0</v>
      </c>
      <c r="R256" s="5">
        <v>1094.0</v>
      </c>
      <c r="S256" s="5">
        <v>4.0</v>
      </c>
      <c r="T256" s="5">
        <v>56292.1</v>
      </c>
      <c r="U256" s="5">
        <v>4.0</v>
      </c>
      <c r="V256" s="5">
        <v>51.45530164533821</v>
      </c>
      <c r="W256" s="9" t="b">
        <v>1</v>
      </c>
      <c r="X256" s="9" t="b">
        <v>1</v>
      </c>
      <c r="Y256" s="5">
        <v>5.7532348726409355</v>
      </c>
      <c r="Z256" s="5">
        <v>5.7849622708356465</v>
      </c>
      <c r="AA256" s="5">
        <v>2599.0</v>
      </c>
      <c r="AB256" s="5">
        <v>3576.0</v>
      </c>
      <c r="AC256" s="5">
        <v>12.0</v>
      </c>
      <c r="AD256" s="5">
        <v>12.0</v>
      </c>
      <c r="AE256" s="9" t="b">
        <v>1</v>
      </c>
      <c r="AF256" s="9" t="b">
        <v>1</v>
      </c>
      <c r="AG256" s="5">
        <v>18.90952932404778</v>
      </c>
      <c r="AH256" s="5">
        <v>13.743251318009001</v>
      </c>
      <c r="AI256" s="5">
        <v>839.0</v>
      </c>
      <c r="AJ256" s="5">
        <v>1627.0</v>
      </c>
      <c r="AK256" s="5">
        <v>6.0</v>
      </c>
      <c r="AL256" s="5">
        <v>6.0</v>
      </c>
      <c r="AM256" s="5">
        <v>46.57657657657657</v>
      </c>
      <c r="AN256" s="5">
        <v>-27.920962199312715</v>
      </c>
    </row>
    <row r="257" ht="15.75" customHeight="1">
      <c r="A257" s="5">
        <v>12.0</v>
      </c>
      <c r="B257" s="5">
        <v>2018.0</v>
      </c>
      <c r="C257" s="5">
        <v>4802.41</v>
      </c>
      <c r="D257" s="5">
        <v>190849.0</v>
      </c>
      <c r="E257" s="5">
        <v>5161.0</v>
      </c>
      <c r="F257" s="5">
        <v>5040.247223227551</v>
      </c>
      <c r="G257" s="5">
        <v>4.0</v>
      </c>
      <c r="H257" s="5">
        <v>4.0</v>
      </c>
      <c r="I257" s="5">
        <v>0.9305192792094555</v>
      </c>
      <c r="J257" s="5">
        <v>5.872096004923333</v>
      </c>
      <c r="K257" s="5">
        <v>0.5668766146018411</v>
      </c>
      <c r="L257" s="5">
        <v>0.9528123894138567</v>
      </c>
      <c r="M257" s="5">
        <v>4.864322434280588</v>
      </c>
      <c r="N257" s="5">
        <v>1.533350606724393</v>
      </c>
      <c r="O257" s="5">
        <v>6.472260158564058</v>
      </c>
      <c r="P257" s="5">
        <v>2663.0</v>
      </c>
      <c r="Q257" s="5">
        <v>4.0</v>
      </c>
      <c r="R257" s="5">
        <v>2586.0</v>
      </c>
      <c r="S257" s="5">
        <v>4.0</v>
      </c>
      <c r="T257" s="5">
        <v>134664.2</v>
      </c>
      <c r="U257" s="5">
        <v>4.0</v>
      </c>
      <c r="V257" s="5">
        <v>52.074323279195674</v>
      </c>
      <c r="W257" s="9" t="b">
        <v>1</v>
      </c>
      <c r="X257" s="9" t="b">
        <v>1</v>
      </c>
      <c r="Y257" s="5">
        <v>13.953439630283627</v>
      </c>
      <c r="Z257" s="5">
        <v>13.549979303009186</v>
      </c>
      <c r="AA257" s="5">
        <v>2307.0</v>
      </c>
      <c r="AB257" s="5">
        <v>3139.0</v>
      </c>
      <c r="AC257" s="5">
        <v>12.0</v>
      </c>
      <c r="AD257" s="5">
        <v>12.0</v>
      </c>
      <c r="AE257" s="9" t="b">
        <v>1</v>
      </c>
      <c r="AF257" s="9" t="b">
        <v>1</v>
      </c>
      <c r="AG257" s="5">
        <v>16.44755801707109</v>
      </c>
      <c r="AH257" s="5">
        <v>12.088090584703089</v>
      </c>
      <c r="AI257" s="5">
        <v>720.0</v>
      </c>
      <c r="AJ257" s="5">
        <v>1165.0</v>
      </c>
      <c r="AK257" s="5">
        <v>6.0</v>
      </c>
      <c r="AL257" s="5">
        <v>6.0</v>
      </c>
      <c r="AM257" s="5">
        <v>-28.395820528580206</v>
      </c>
      <c r="AN257" s="5">
        <v>-14.183551847437425</v>
      </c>
    </row>
    <row r="258" ht="15.75" customHeight="1">
      <c r="A258" s="5">
        <v>12.0</v>
      </c>
      <c r="B258" s="5">
        <v>2019.0</v>
      </c>
      <c r="C258" s="5">
        <v>5117.26</v>
      </c>
      <c r="D258" s="5">
        <v>194886.0</v>
      </c>
      <c r="E258" s="5">
        <v>5626.5</v>
      </c>
      <c r="F258" s="5">
        <v>5477.495358101476</v>
      </c>
      <c r="G258" s="5">
        <v>4.0</v>
      </c>
      <c r="H258" s="5">
        <v>4.0</v>
      </c>
      <c r="I258" s="5">
        <v>0.9094925797565094</v>
      </c>
      <c r="J258" s="5">
        <v>9.0195698508041</v>
      </c>
      <c r="K258" s="5">
        <v>-2.2596737029253022</v>
      </c>
      <c r="L258" s="5">
        <v>0.9342335621391864</v>
      </c>
      <c r="M258" s="5">
        <v>8.67513269704121</v>
      </c>
      <c r="N258" s="5">
        <v>-1.9498935447406884</v>
      </c>
      <c r="O258" s="5">
        <v>6.556083299843207</v>
      </c>
      <c r="P258" s="5">
        <v>4036.0</v>
      </c>
      <c r="Q258" s="5">
        <v>4.0</v>
      </c>
      <c r="R258" s="5">
        <v>4028.0</v>
      </c>
      <c r="S258" s="5">
        <v>4.0</v>
      </c>
      <c r="T258" s="5">
        <v>208703.7</v>
      </c>
      <c r="U258" s="5">
        <v>4.0</v>
      </c>
      <c r="V258" s="5">
        <v>51.8132323733863</v>
      </c>
      <c r="W258" s="9" t="b">
        <v>1</v>
      </c>
      <c r="X258" s="9" t="b">
        <v>1</v>
      </c>
      <c r="Y258" s="5">
        <v>20.709543014890755</v>
      </c>
      <c r="Z258" s="5">
        <v>20.668493375614464</v>
      </c>
      <c r="AA258" s="5">
        <v>3291.0</v>
      </c>
      <c r="AB258" s="5">
        <v>3656.0</v>
      </c>
      <c r="AC258" s="5">
        <v>12.0</v>
      </c>
      <c r="AD258" s="5">
        <v>12.0</v>
      </c>
      <c r="AE258" s="9" t="b">
        <v>1</v>
      </c>
      <c r="AF258" s="9" t="b">
        <v>1</v>
      </c>
      <c r="AG258" s="5">
        <v>18.75968514926675</v>
      </c>
      <c r="AH258" s="5">
        <v>16.8867953572858</v>
      </c>
      <c r="AI258" s="5">
        <v>1610.0</v>
      </c>
      <c r="AJ258" s="5">
        <v>1478.0</v>
      </c>
      <c r="AK258" s="5">
        <v>6.0</v>
      </c>
      <c r="AL258" s="5">
        <v>6.0</v>
      </c>
      <c r="AM258" s="5">
        <v>26.86695278969957</v>
      </c>
      <c r="AN258" s="5">
        <v>123.61111111111111</v>
      </c>
    </row>
    <row r="259" ht="15.75" customHeight="1">
      <c r="A259" s="5">
        <v>12.0</v>
      </c>
      <c r="B259" s="5">
        <v>2020.0</v>
      </c>
      <c r="C259" s="5">
        <v>5518.24</v>
      </c>
      <c r="D259" s="5">
        <v>194557.0</v>
      </c>
      <c r="E259" s="5">
        <v>6080.1050000000005</v>
      </c>
      <c r="F259" s="5">
        <v>6461.9651757343</v>
      </c>
      <c r="G259" s="5">
        <v>4.0</v>
      </c>
      <c r="H259" s="5">
        <v>4.0</v>
      </c>
      <c r="I259" s="5">
        <v>0.9075895893245264</v>
      </c>
      <c r="J259" s="5">
        <v>8.061939038478627</v>
      </c>
      <c r="K259" s="5">
        <v>-0.20923649893795915</v>
      </c>
      <c r="L259" s="5">
        <v>0.853956938784174</v>
      </c>
      <c r="M259" s="5">
        <v>17.972992276054534</v>
      </c>
      <c r="N259" s="5">
        <v>-8.592778787693822</v>
      </c>
      <c r="O259" s="5">
        <v>7.835834020550059</v>
      </c>
      <c r="P259" s="5">
        <v>3749.0</v>
      </c>
      <c r="Q259" s="5">
        <v>4.0</v>
      </c>
      <c r="R259" s="5">
        <v>3740.0</v>
      </c>
      <c r="S259" s="5">
        <v>4.0</v>
      </c>
      <c r="T259" s="5">
        <v>196111.7</v>
      </c>
      <c r="U259" s="5">
        <v>4.0</v>
      </c>
      <c r="V259" s="5">
        <v>52.436283422459894</v>
      </c>
      <c r="W259" s="9" t="b">
        <v>1</v>
      </c>
      <c r="X259" s="9" t="b">
        <v>1</v>
      </c>
      <c r="Y259" s="5">
        <v>19.269417188793003</v>
      </c>
      <c r="Z259" s="5">
        <v>19.22315825182337</v>
      </c>
      <c r="AA259" s="5">
        <v>3837.0</v>
      </c>
      <c r="AB259" s="5">
        <v>3728.0</v>
      </c>
      <c r="AC259" s="5">
        <v>12.0</v>
      </c>
      <c r="AD259" s="5">
        <v>12.0</v>
      </c>
      <c r="AE259" s="9" t="b">
        <v>1</v>
      </c>
      <c r="AF259" s="9" t="b">
        <v>1</v>
      </c>
      <c r="AG259" s="5">
        <v>19.161479669197202</v>
      </c>
      <c r="AH259" s="5">
        <v>19.721726794718258</v>
      </c>
      <c r="AI259" s="5">
        <v>1078.0</v>
      </c>
      <c r="AJ259" s="5">
        <v>2096.0</v>
      </c>
      <c r="AK259" s="5">
        <v>6.0</v>
      </c>
      <c r="AL259" s="5">
        <v>6.0</v>
      </c>
      <c r="AM259" s="5">
        <v>41.81326116373478</v>
      </c>
      <c r="AN259" s="5">
        <v>-33.04347826086956</v>
      </c>
    </row>
    <row r="260" ht="15.75" customHeight="1">
      <c r="A260" s="5">
        <v>12.0</v>
      </c>
      <c r="B260" s="5">
        <v>2021.0</v>
      </c>
      <c r="C260" s="5">
        <v>6072.54</v>
      </c>
      <c r="D260" s="5">
        <v>196241.0</v>
      </c>
      <c r="E260" s="5">
        <v>6713.720779727097</v>
      </c>
      <c r="F260" s="5">
        <v>6850.203348460037</v>
      </c>
      <c r="G260" s="5">
        <v>4.0</v>
      </c>
      <c r="H260" s="5">
        <v>4.0</v>
      </c>
      <c r="I260" s="5">
        <v>0.9044969547045775</v>
      </c>
      <c r="J260" s="5">
        <v>10.421132196353454</v>
      </c>
      <c r="K260" s="5">
        <v>-0.34075254457806015</v>
      </c>
      <c r="L260" s="5">
        <v>0.8864758739410473</v>
      </c>
      <c r="M260" s="5">
        <v>6.008051144930837</v>
      </c>
      <c r="N260" s="5">
        <v>3.8080298525558387</v>
      </c>
      <c r="O260" s="5">
        <v>10.044869378642463</v>
      </c>
      <c r="P260" s="5">
        <v>4237.0</v>
      </c>
      <c r="Q260" s="5">
        <v>4.0</v>
      </c>
      <c r="R260" s="5">
        <v>4247.0</v>
      </c>
      <c r="S260" s="5">
        <v>4.0</v>
      </c>
      <c r="T260" s="5">
        <v>230816.7</v>
      </c>
      <c r="U260" s="5">
        <v>4.0</v>
      </c>
      <c r="V260" s="5">
        <v>54.348175182481754</v>
      </c>
      <c r="W260" s="9" t="b">
        <v>1</v>
      </c>
      <c r="X260" s="9" t="b">
        <v>1</v>
      </c>
      <c r="Y260" s="5">
        <v>21.590799068492313</v>
      </c>
      <c r="Z260" s="5">
        <v>21.64175681942102</v>
      </c>
      <c r="AA260" s="5">
        <v>2693.0</v>
      </c>
      <c r="AB260" s="5">
        <v>2710.0</v>
      </c>
      <c r="AC260" s="5">
        <v>12.0</v>
      </c>
      <c r="AD260" s="5">
        <v>12.0</v>
      </c>
      <c r="AE260" s="9" t="b">
        <v>1</v>
      </c>
      <c r="AF260" s="9" t="b">
        <v>1</v>
      </c>
      <c r="AG260" s="5">
        <v>13.809550501679057</v>
      </c>
      <c r="AH260" s="5">
        <v>13.72292232510026</v>
      </c>
      <c r="AI260" s="5">
        <v>1386.0</v>
      </c>
      <c r="AJ260" s="5">
        <v>1967.0</v>
      </c>
      <c r="AK260" s="5">
        <v>6.0</v>
      </c>
      <c r="AL260" s="5">
        <v>6.0</v>
      </c>
      <c r="AM260" s="5">
        <v>-6.154580152671752</v>
      </c>
      <c r="AN260" s="5">
        <v>28.57142857142858</v>
      </c>
    </row>
    <row r="261" ht="15.75" customHeight="1">
      <c r="A261" s="5">
        <v>12.0</v>
      </c>
      <c r="B261" s="5">
        <v>2022.0</v>
      </c>
      <c r="C261" s="5">
        <v>6508.96</v>
      </c>
      <c r="D261" s="5">
        <v>196726.0</v>
      </c>
      <c r="E261" s="5">
        <v>7615.08829604343</v>
      </c>
      <c r="F261" s="5">
        <v>7933.30280541204</v>
      </c>
      <c r="G261" s="5">
        <v>4.0</v>
      </c>
      <c r="H261" s="5">
        <v>4.0</v>
      </c>
      <c r="I261" s="5">
        <v>0.85474517785721</v>
      </c>
      <c r="J261" s="5">
        <v>13.425752215345677</v>
      </c>
      <c r="K261" s="5">
        <v>-5.500491360263027</v>
      </c>
      <c r="L261" s="5">
        <v>0.8204603000353946</v>
      </c>
      <c r="M261" s="5">
        <v>15.811201534557217</v>
      </c>
      <c r="N261" s="5">
        <v>-7.446967914892499</v>
      </c>
      <c r="O261" s="5">
        <v>7.186778514427239</v>
      </c>
      <c r="P261" s="5">
        <v>3360.0</v>
      </c>
      <c r="Q261" s="5">
        <v>4.0</v>
      </c>
      <c r="R261" s="5">
        <v>3434.0</v>
      </c>
      <c r="S261" s="5">
        <v>4.0</v>
      </c>
      <c r="T261" s="5">
        <v>183873.30000000002</v>
      </c>
      <c r="U261" s="5">
        <v>4.0</v>
      </c>
      <c r="V261" s="5">
        <v>53.54493302271404</v>
      </c>
      <c r="W261" s="9" t="b">
        <v>1</v>
      </c>
      <c r="X261" s="9" t="b">
        <v>1</v>
      </c>
      <c r="Y261" s="5">
        <v>17.07959293636835</v>
      </c>
      <c r="Z261" s="5">
        <v>17.45575063794313</v>
      </c>
      <c r="AA261" s="5">
        <v>3134.0</v>
      </c>
      <c r="AB261" s="5">
        <v>3529.0</v>
      </c>
      <c r="AC261" s="5">
        <v>12.0</v>
      </c>
      <c r="AD261" s="5">
        <v>12.0</v>
      </c>
      <c r="AE261" s="9" t="b">
        <v>1</v>
      </c>
      <c r="AF261" s="9" t="b">
        <v>1</v>
      </c>
      <c r="AG261" s="5">
        <v>17.938655795370213</v>
      </c>
      <c r="AH261" s="5">
        <v>15.930786982910242</v>
      </c>
      <c r="AI261" s="5">
        <v>1323.0</v>
      </c>
      <c r="AJ261" s="5">
        <v>2766.0</v>
      </c>
      <c r="AK261" s="5">
        <v>6.0</v>
      </c>
      <c r="AL261" s="5">
        <v>6.0</v>
      </c>
      <c r="AM261" s="5">
        <v>40.62023385866802</v>
      </c>
      <c r="AN261" s="5">
        <v>-4.545454545454541</v>
      </c>
    </row>
    <row r="262" ht="15.75" customHeight="1">
      <c r="A262" s="5">
        <v>12.0</v>
      </c>
      <c r="B262" s="5">
        <v>2023.0</v>
      </c>
      <c r="C262" s="5">
        <v>7428.94</v>
      </c>
      <c r="D262" s="5">
        <v>197536.0</v>
      </c>
      <c r="E262" s="5">
        <v>8769.696107052092</v>
      </c>
      <c r="F262" s="5">
        <v>8510.482077102195</v>
      </c>
      <c r="G262" s="5">
        <v>4.0</v>
      </c>
      <c r="H262" s="5">
        <v>4.0</v>
      </c>
      <c r="I262" s="5">
        <v>0.8471148725468455</v>
      </c>
      <c r="J262" s="5">
        <v>15.162106677194554</v>
      </c>
      <c r="K262" s="5">
        <v>-0.8926994276227784</v>
      </c>
      <c r="L262" s="5">
        <v>0.8729164732028366</v>
      </c>
      <c r="M262" s="5">
        <v>7.275396967028769</v>
      </c>
      <c r="N262" s="5">
        <v>6.39350534878762</v>
      </c>
      <c r="O262" s="5">
        <v>14.134055210048913</v>
      </c>
      <c r="Q262" s="5">
        <v>2.0</v>
      </c>
      <c r="R262" s="5">
        <v>2853.0</v>
      </c>
      <c r="S262" s="5">
        <v>4.0</v>
      </c>
      <c r="T262" s="5">
        <v>150785.0</v>
      </c>
      <c r="U262" s="5">
        <v>4.0</v>
      </c>
      <c r="V262" s="5">
        <v>52.851384507535926</v>
      </c>
      <c r="W262" s="9" t="b">
        <v>0</v>
      </c>
      <c r="X262" s="9" t="b">
        <v>1</v>
      </c>
      <c r="Z262" s="5">
        <v>14.442936983638425</v>
      </c>
      <c r="AA262" s="5">
        <v>2175.0</v>
      </c>
      <c r="AB262" s="5">
        <v>2293.0</v>
      </c>
      <c r="AC262" s="5">
        <v>12.0</v>
      </c>
      <c r="AD262" s="5">
        <v>12.0</v>
      </c>
      <c r="AE262" s="9" t="b">
        <v>1</v>
      </c>
      <c r="AF262" s="9" t="b">
        <v>1</v>
      </c>
      <c r="AG262" s="5">
        <v>11.608010691722015</v>
      </c>
      <c r="AH262" s="5">
        <v>11.010651223068201</v>
      </c>
      <c r="AI262" s="5">
        <v>749.0</v>
      </c>
      <c r="AJ262" s="5">
        <v>958.0</v>
      </c>
      <c r="AK262" s="5">
        <v>6.0</v>
      </c>
      <c r="AL262" s="5">
        <v>6.0</v>
      </c>
      <c r="AM262" s="5">
        <v>-65.3651482284888</v>
      </c>
      <c r="AN262" s="5">
        <v>-43.386243386243386</v>
      </c>
    </row>
    <row r="263" ht="15.75" customHeight="1">
      <c r="A263" s="5">
        <v>12.0</v>
      </c>
      <c r="B263" s="5">
        <v>2024.0</v>
      </c>
      <c r="C263" s="5">
        <v>8680.49</v>
      </c>
      <c r="D263" s="5">
        <v>197706.0</v>
      </c>
      <c r="E263" s="5">
        <v>9830.348358035018</v>
      </c>
      <c r="F263" s="5">
        <v>10049.24589116457</v>
      </c>
      <c r="G263" s="5">
        <v>4.0</v>
      </c>
      <c r="H263" s="5">
        <v>4.0</v>
      </c>
      <c r="I263" s="5">
        <v>0.8830297446076608</v>
      </c>
      <c r="J263" s="5">
        <v>12.094515454532239</v>
      </c>
      <c r="K263" s="5">
        <v>4.2396696392352995</v>
      </c>
      <c r="L263" s="5">
        <v>0.8637951637378086</v>
      </c>
      <c r="M263" s="5">
        <v>18.08080670544483</v>
      </c>
      <c r="N263" s="5">
        <v>-1.04492351158878</v>
      </c>
      <c r="O263" s="5">
        <v>16.846952593505947</v>
      </c>
      <c r="Q263" s="5">
        <v>2.0</v>
      </c>
      <c r="R263" s="5">
        <v>3574.0</v>
      </c>
      <c r="S263" s="5">
        <v>4.0</v>
      </c>
      <c r="T263" s="5">
        <v>189556.5</v>
      </c>
      <c r="U263" s="5">
        <v>4.0</v>
      </c>
      <c r="V263" s="5">
        <v>53.0376329043089</v>
      </c>
      <c r="W263" s="9" t="b">
        <v>0</v>
      </c>
      <c r="X263" s="9" t="b">
        <v>1</v>
      </c>
      <c r="Z263" s="5">
        <v>18.07734717206357</v>
      </c>
      <c r="AA263" s="5">
        <v>2561.0</v>
      </c>
      <c r="AB263" s="5">
        <v>4043.0</v>
      </c>
      <c r="AC263" s="5">
        <v>12.0</v>
      </c>
      <c r="AD263" s="5">
        <v>12.0</v>
      </c>
      <c r="AE263" s="9" t="b">
        <v>1</v>
      </c>
      <c r="AF263" s="9" t="b">
        <v>1</v>
      </c>
      <c r="AG263" s="5">
        <v>20.449556412046167</v>
      </c>
      <c r="AH263" s="5">
        <v>12.953577534318635</v>
      </c>
      <c r="AI263" s="5">
        <v>1385.0</v>
      </c>
      <c r="AJ263" s="5">
        <v>1541.0</v>
      </c>
      <c r="AK263" s="5">
        <v>6.0</v>
      </c>
      <c r="AL263" s="5">
        <v>6.0</v>
      </c>
      <c r="AM263" s="5">
        <v>60.855949895615865</v>
      </c>
      <c r="AN263" s="5">
        <v>84.913217623498</v>
      </c>
    </row>
    <row r="264" ht="15.75" customHeight="1">
      <c r="A264" s="5">
        <v>12.0</v>
      </c>
      <c r="B264" s="5">
        <v>2025.0</v>
      </c>
      <c r="C264" s="5">
        <v>9537.56</v>
      </c>
      <c r="D264" s="5">
        <v>198540.0</v>
      </c>
      <c r="E264" s="5">
        <v>10344.723525998546</v>
      </c>
      <c r="F264" s="5">
        <v>10664.115387247004</v>
      </c>
      <c r="G264" s="5">
        <v>4.0</v>
      </c>
      <c r="H264" s="5">
        <v>4.0</v>
      </c>
      <c r="I264" s="5">
        <v>0.9219734076053392</v>
      </c>
      <c r="J264" s="5">
        <v>5.232522279264851</v>
      </c>
      <c r="K264" s="5">
        <v>4.410232298005035</v>
      </c>
      <c r="L264" s="5">
        <v>0.8943601652515661</v>
      </c>
      <c r="M264" s="5">
        <v>6.1185635493608</v>
      </c>
      <c r="N264" s="5">
        <v>3.5384548092972423</v>
      </c>
      <c r="O264" s="5">
        <v>9.873520964830318</v>
      </c>
      <c r="AA264" s="5">
        <v>3097.0</v>
      </c>
      <c r="AB264" s="5">
        <v>1824.0</v>
      </c>
      <c r="AC264" s="5">
        <v>12.0</v>
      </c>
      <c r="AD264" s="5">
        <v>12.0</v>
      </c>
      <c r="AE264" s="9" t="b">
        <v>1</v>
      </c>
      <c r="AF264" s="9" t="b">
        <v>1</v>
      </c>
      <c r="AG264" s="5">
        <v>9.187065578724692</v>
      </c>
      <c r="AH264" s="5">
        <v>15.598871763876298</v>
      </c>
      <c r="AI264" s="5">
        <v>1714.0</v>
      </c>
      <c r="AJ264" s="5">
        <v>1104.0</v>
      </c>
      <c r="AK264" s="5">
        <v>6.0</v>
      </c>
      <c r="AL264" s="5">
        <v>6.0</v>
      </c>
      <c r="AM264" s="5">
        <v>-28.358208955223883</v>
      </c>
      <c r="AN264" s="5">
        <v>23.754512635379065</v>
      </c>
    </row>
    <row r="265" ht="15.75" customHeight="1">
      <c r="A265" s="5">
        <v>12.0</v>
      </c>
      <c r="B265" s="5">
        <v>2026.0</v>
      </c>
      <c r="AI265" s="5">
        <v>1526.0</v>
      </c>
      <c r="AJ265" s="5">
        <v>1942.0</v>
      </c>
      <c r="AK265" s="5">
        <v>6.0</v>
      </c>
      <c r="AL265" s="5">
        <v>6.0</v>
      </c>
      <c r="AM265" s="5">
        <v>75.90579710144927</v>
      </c>
      <c r="AN265" s="5">
        <v>-10.968494749124858</v>
      </c>
    </row>
    <row r="266" ht="15.75" customHeight="1">
      <c r="A266" s="5">
        <v>13.0</v>
      </c>
      <c r="B266" s="5">
        <v>2005.0</v>
      </c>
      <c r="C266" s="5">
        <v>2630.23</v>
      </c>
      <c r="D266" s="5">
        <v>411453.0</v>
      </c>
      <c r="AA266" s="5">
        <v>1536.0</v>
      </c>
      <c r="AB266" s="5">
        <v>1589.0</v>
      </c>
      <c r="AC266" s="5">
        <v>12.0</v>
      </c>
      <c r="AD266" s="5">
        <v>12.0</v>
      </c>
      <c r="AE266" s="9" t="b">
        <v>1</v>
      </c>
      <c r="AF266" s="9" t="b">
        <v>1</v>
      </c>
      <c r="AG266" s="5">
        <v>3.861923476071386</v>
      </c>
      <c r="AH266" s="5">
        <v>3.733111679827344</v>
      </c>
      <c r="AI266" s="5">
        <v>633.0</v>
      </c>
      <c r="AJ266" s="5">
        <v>490.0</v>
      </c>
      <c r="AK266" s="5">
        <v>6.0</v>
      </c>
      <c r="AL266" s="5">
        <v>6.0</v>
      </c>
    </row>
    <row r="267" ht="15.75" customHeight="1">
      <c r="A267" s="5">
        <v>13.0</v>
      </c>
      <c r="B267" s="5">
        <v>2006.0</v>
      </c>
      <c r="C267" s="5">
        <v>2734.68</v>
      </c>
      <c r="D267" s="5">
        <v>410809.0</v>
      </c>
      <c r="AA267" s="5">
        <v>897.0</v>
      </c>
      <c r="AB267" s="5">
        <v>1485.0</v>
      </c>
      <c r="AC267" s="5">
        <v>12.0</v>
      </c>
      <c r="AD267" s="5">
        <v>12.0</v>
      </c>
      <c r="AE267" s="9" t="b">
        <v>1</v>
      </c>
      <c r="AF267" s="9" t="b">
        <v>1</v>
      </c>
      <c r="AG267" s="5">
        <v>3.614818565318676</v>
      </c>
      <c r="AH267" s="5">
        <v>2.183496466727847</v>
      </c>
      <c r="AI267" s="5">
        <v>515.0</v>
      </c>
      <c r="AJ267" s="5">
        <v>673.0</v>
      </c>
      <c r="AK267" s="5">
        <v>6.0</v>
      </c>
      <c r="AL267" s="5">
        <v>6.0</v>
      </c>
      <c r="AM267" s="5">
        <v>37.34693877551021</v>
      </c>
      <c r="AN267" s="5">
        <v>-18.641390205371245</v>
      </c>
    </row>
    <row r="268" ht="15.75" customHeight="1">
      <c r="A268" s="5">
        <v>13.0</v>
      </c>
      <c r="B268" s="5">
        <v>2007.0</v>
      </c>
      <c r="C268" s="5">
        <v>2975.73</v>
      </c>
      <c r="D268" s="5">
        <v>408583.0</v>
      </c>
      <c r="E268" s="5">
        <v>4645.554277194981</v>
      </c>
      <c r="F268" s="5">
        <v>4138.911963749369</v>
      </c>
      <c r="G268" s="5">
        <v>4.0</v>
      </c>
      <c r="H268" s="5">
        <v>4.0</v>
      </c>
      <c r="I268" s="5">
        <v>0.640554349909946</v>
      </c>
      <c r="L268" s="5">
        <v>0.7189643138252059</v>
      </c>
      <c r="AA268" s="5">
        <v>1992.0</v>
      </c>
      <c r="AB268" s="5">
        <v>2521.0</v>
      </c>
      <c r="AC268" s="5">
        <v>12.0</v>
      </c>
      <c r="AD268" s="5">
        <v>12.0</v>
      </c>
      <c r="AE268" s="9" t="b">
        <v>1</v>
      </c>
      <c r="AF268" s="9" t="b">
        <v>1</v>
      </c>
      <c r="AG268" s="5">
        <v>6.170104972551477</v>
      </c>
      <c r="AH268" s="5">
        <v>4.875386396399263</v>
      </c>
      <c r="AI268" s="5">
        <v>1114.0</v>
      </c>
      <c r="AJ268" s="5">
        <v>621.0</v>
      </c>
      <c r="AK268" s="5">
        <v>6.0</v>
      </c>
      <c r="AL268" s="5">
        <v>6.0</v>
      </c>
      <c r="AM268" s="5">
        <v>-7.726597325408613</v>
      </c>
      <c r="AN268" s="5">
        <v>116.31067961165047</v>
      </c>
    </row>
    <row r="269" ht="15.75" customHeight="1">
      <c r="A269" s="5">
        <v>13.0</v>
      </c>
      <c r="B269" s="5">
        <v>2008.0</v>
      </c>
      <c r="C269" s="5">
        <v>3290.65</v>
      </c>
      <c r="D269" s="5">
        <v>407260.0</v>
      </c>
      <c r="E269" s="5">
        <v>5481.967866719499</v>
      </c>
      <c r="F269" s="5">
        <v>4575.552501725131</v>
      </c>
      <c r="G269" s="5">
        <v>4.0</v>
      </c>
      <c r="H269" s="5">
        <v>4.0</v>
      </c>
      <c r="I269" s="5">
        <v>0.6002680205364246</v>
      </c>
      <c r="J269" s="5">
        <v>18.004602672074487</v>
      </c>
      <c r="K269" s="5">
        <v>-6.289291358209514</v>
      </c>
      <c r="L269" s="5">
        <v>0.7191809073897237</v>
      </c>
      <c r="M269" s="5">
        <v>10.549645457552014</v>
      </c>
      <c r="N269" s="5">
        <v>0.03012577402701222</v>
      </c>
      <c r="O269" s="5">
        <v>10.58294939393023</v>
      </c>
      <c r="AA269" s="5">
        <v>1911.0</v>
      </c>
      <c r="AB269" s="5">
        <v>2212.0</v>
      </c>
      <c r="AC269" s="5">
        <v>12.0</v>
      </c>
      <c r="AD269" s="5">
        <v>12.0</v>
      </c>
      <c r="AE269" s="9" t="b">
        <v>1</v>
      </c>
      <c r="AF269" s="9" t="b">
        <v>1</v>
      </c>
      <c r="AG269" s="5">
        <v>5.431419731866621</v>
      </c>
      <c r="AH269" s="5">
        <v>4.692334135441733</v>
      </c>
      <c r="AI269" s="5">
        <v>878.0</v>
      </c>
      <c r="AJ269" s="5">
        <v>940.0</v>
      </c>
      <c r="AK269" s="5">
        <v>6.0</v>
      </c>
      <c r="AL269" s="5">
        <v>6.0</v>
      </c>
      <c r="AM269" s="5">
        <v>51.36876006441224</v>
      </c>
      <c r="AN269" s="5">
        <v>-21.184919210053867</v>
      </c>
    </row>
    <row r="270" ht="15.75" customHeight="1">
      <c r="A270" s="5">
        <v>13.0</v>
      </c>
      <c r="B270" s="5">
        <v>2009.0</v>
      </c>
      <c r="C270" s="5">
        <v>3472.49</v>
      </c>
      <c r="D270" s="5">
        <v>406427.0</v>
      </c>
      <c r="E270" s="5">
        <v>5148.865360108818</v>
      </c>
      <c r="F270" s="5">
        <v>4368.078020084084</v>
      </c>
      <c r="G270" s="5">
        <v>4.0</v>
      </c>
      <c r="H270" s="5">
        <v>4.0</v>
      </c>
      <c r="I270" s="5">
        <v>0.6744184897323885</v>
      </c>
      <c r="J270" s="5">
        <v>-6.076330885354409</v>
      </c>
      <c r="K270" s="5">
        <v>12.352893484097315</v>
      </c>
      <c r="L270" s="5">
        <v>0.7949697748148637</v>
      </c>
      <c r="M270" s="5">
        <v>-4.534413747035426</v>
      </c>
      <c r="N270" s="5">
        <v>10.538220167748435</v>
      </c>
      <c r="O270" s="5">
        <v>5.525959916733769</v>
      </c>
      <c r="AA270" s="5">
        <v>1810.0</v>
      </c>
      <c r="AB270" s="5">
        <v>1565.0</v>
      </c>
      <c r="AC270" s="5">
        <v>12.0</v>
      </c>
      <c r="AD270" s="5">
        <v>12.0</v>
      </c>
      <c r="AE270" s="9" t="b">
        <v>1</v>
      </c>
      <c r="AF270" s="9" t="b">
        <v>1</v>
      </c>
      <c r="AG270" s="5">
        <v>3.8506300024358615</v>
      </c>
      <c r="AH270" s="5">
        <v>4.453444283967355</v>
      </c>
      <c r="AI270" s="5">
        <v>927.0</v>
      </c>
      <c r="AJ270" s="5">
        <v>784.0</v>
      </c>
      <c r="AK270" s="5">
        <v>6.0</v>
      </c>
      <c r="AL270" s="5">
        <v>6.0</v>
      </c>
      <c r="AM270" s="5">
        <v>-16.595744680851066</v>
      </c>
      <c r="AN270" s="5">
        <v>5.580865603644658</v>
      </c>
    </row>
    <row r="271" ht="15.75" customHeight="1">
      <c r="A271" s="5">
        <v>13.0</v>
      </c>
      <c r="B271" s="5">
        <v>2010.0</v>
      </c>
      <c r="C271" s="5">
        <v>3586.82</v>
      </c>
      <c r="D271" s="5">
        <v>410583.0</v>
      </c>
      <c r="E271" s="5">
        <v>4825.593875176695</v>
      </c>
      <c r="F271" s="5">
        <v>4308.623574185049</v>
      </c>
      <c r="G271" s="5">
        <v>4.0</v>
      </c>
      <c r="H271" s="5">
        <v>4.0</v>
      </c>
      <c r="I271" s="5">
        <v>0.7432908969921684</v>
      </c>
      <c r="J271" s="5">
        <v>-6.278499481394295</v>
      </c>
      <c r="K271" s="5">
        <v>10.2121172993209</v>
      </c>
      <c r="L271" s="5">
        <v>0.8324746727679562</v>
      </c>
      <c r="M271" s="5">
        <v>-1.3611122701029599</v>
      </c>
      <c r="N271" s="5">
        <v>4.717776592427891</v>
      </c>
      <c r="O271" s="5">
        <v>3.2924500862493655</v>
      </c>
      <c r="P271" s="5">
        <v>1750.0</v>
      </c>
      <c r="Q271" s="5">
        <v>4.0</v>
      </c>
      <c r="R271" s="5">
        <v>1749.0</v>
      </c>
      <c r="S271" s="5">
        <v>4.0</v>
      </c>
      <c r="T271" s="5">
        <v>98037.7</v>
      </c>
      <c r="U271" s="5">
        <v>4.0</v>
      </c>
      <c r="V271" s="5">
        <v>56.0535734705546</v>
      </c>
      <c r="W271" s="9" t="b">
        <v>1</v>
      </c>
      <c r="X271" s="9" t="b">
        <v>1</v>
      </c>
      <c r="Y271" s="5">
        <v>4.262231996940935</v>
      </c>
      <c r="Z271" s="5">
        <v>4.259796435799826</v>
      </c>
      <c r="AA271" s="5">
        <v>1509.0</v>
      </c>
      <c r="AB271" s="5">
        <v>3060.0</v>
      </c>
      <c r="AC271" s="5">
        <v>12.0</v>
      </c>
      <c r="AD271" s="5">
        <v>12.0</v>
      </c>
      <c r="AE271" s="9" t="b">
        <v>1</v>
      </c>
      <c r="AF271" s="9" t="b">
        <v>1</v>
      </c>
      <c r="AG271" s="5">
        <v>7.452817091793864</v>
      </c>
      <c r="AH271" s="5">
        <v>3.6752617619336405</v>
      </c>
      <c r="AI271" s="5">
        <v>563.0</v>
      </c>
      <c r="AJ271" s="5">
        <v>1876.0</v>
      </c>
      <c r="AK271" s="5">
        <v>6.0</v>
      </c>
      <c r="AL271" s="5">
        <v>6.0</v>
      </c>
      <c r="AM271" s="5">
        <v>139.28571428571428</v>
      </c>
      <c r="AN271" s="5">
        <v>-39.26645091693636</v>
      </c>
    </row>
    <row r="272" ht="15.75" customHeight="1">
      <c r="A272" s="5">
        <v>13.0</v>
      </c>
      <c r="B272" s="5">
        <v>2011.0</v>
      </c>
      <c r="C272" s="5">
        <v>3761.89</v>
      </c>
      <c r="D272" s="5">
        <v>409906.0</v>
      </c>
      <c r="E272" s="5">
        <v>4892.25</v>
      </c>
      <c r="F272" s="5">
        <v>4150.128031994058</v>
      </c>
      <c r="G272" s="5">
        <v>4.0</v>
      </c>
      <c r="H272" s="5">
        <v>4.0</v>
      </c>
      <c r="I272" s="5">
        <v>0.7689488476672287</v>
      </c>
      <c r="J272" s="5">
        <v>1.3813040746381455</v>
      </c>
      <c r="K272" s="5">
        <v>3.4519393119018194</v>
      </c>
      <c r="L272" s="5">
        <v>0.9064515530602758</v>
      </c>
      <c r="M272" s="5">
        <v>-3.67856554331204</v>
      </c>
      <c r="N272" s="5">
        <v>8.886382098130197</v>
      </c>
      <c r="O272" s="5">
        <v>4.8809251649093</v>
      </c>
      <c r="P272" s="5">
        <v>2481.0</v>
      </c>
      <c r="Q272" s="5">
        <v>4.0</v>
      </c>
      <c r="R272" s="5">
        <v>2533.0</v>
      </c>
      <c r="S272" s="5">
        <v>4.0</v>
      </c>
      <c r="T272" s="5">
        <v>140637.4</v>
      </c>
      <c r="U272" s="5">
        <v>4.0</v>
      </c>
      <c r="V272" s="5">
        <v>55.52206869324911</v>
      </c>
      <c r="W272" s="9" t="b">
        <v>1</v>
      </c>
      <c r="X272" s="9" t="b">
        <v>1</v>
      </c>
      <c r="Y272" s="5">
        <v>6.052607183110274</v>
      </c>
      <c r="Z272" s="5">
        <v>6.1794655360009365</v>
      </c>
      <c r="AA272" s="5">
        <v>1805.0</v>
      </c>
      <c r="AB272" s="5">
        <v>2560.0</v>
      </c>
      <c r="AC272" s="5">
        <v>12.0</v>
      </c>
      <c r="AD272" s="5">
        <v>12.0</v>
      </c>
      <c r="AE272" s="9" t="b">
        <v>1</v>
      </c>
      <c r="AF272" s="9" t="b">
        <v>1</v>
      </c>
      <c r="AG272" s="5">
        <v>6.245334296155704</v>
      </c>
      <c r="AH272" s="5">
        <v>4.403448595531659</v>
      </c>
      <c r="AI272" s="5">
        <v>850.0</v>
      </c>
      <c r="AJ272" s="5">
        <v>1716.0</v>
      </c>
      <c r="AK272" s="5">
        <v>6.0</v>
      </c>
      <c r="AL272" s="5">
        <v>6.0</v>
      </c>
      <c r="AM272" s="5">
        <v>-8.528784648187637</v>
      </c>
      <c r="AN272" s="5">
        <v>50.97690941385436</v>
      </c>
    </row>
    <row r="273" ht="15.75" customHeight="1">
      <c r="A273" s="5">
        <v>13.0</v>
      </c>
      <c r="B273" s="5">
        <v>2012.0</v>
      </c>
      <c r="C273" s="5">
        <v>3881.46</v>
      </c>
      <c r="D273" s="5">
        <v>409211.0</v>
      </c>
      <c r="E273" s="5">
        <v>4705.958253331896</v>
      </c>
      <c r="F273" s="5">
        <v>3884.9807748469707</v>
      </c>
      <c r="G273" s="5">
        <v>4.0</v>
      </c>
      <c r="H273" s="5">
        <v>4.0</v>
      </c>
      <c r="I273" s="5">
        <v>0.8247969469877601</v>
      </c>
      <c r="J273" s="5">
        <v>-3.8078950721672777</v>
      </c>
      <c r="K273" s="5">
        <v>7.262914755637984</v>
      </c>
      <c r="L273" s="5">
        <v>0.9990937471634954</v>
      </c>
      <c r="M273" s="5">
        <v>-6.388893429383891</v>
      </c>
      <c r="N273" s="5">
        <v>10.220313903203081</v>
      </c>
      <c r="O273" s="5">
        <v>3.1784555103950396</v>
      </c>
      <c r="P273" s="5">
        <v>2752.0</v>
      </c>
      <c r="Q273" s="5">
        <v>4.0</v>
      </c>
      <c r="R273" s="5">
        <v>2774.0</v>
      </c>
      <c r="S273" s="5">
        <v>4.0</v>
      </c>
      <c r="T273" s="5">
        <v>151692.2</v>
      </c>
      <c r="U273" s="5">
        <v>4.0</v>
      </c>
      <c r="V273" s="5">
        <v>54.683561643835624</v>
      </c>
      <c r="W273" s="9" t="b">
        <v>1</v>
      </c>
      <c r="X273" s="9" t="b">
        <v>1</v>
      </c>
      <c r="Y273" s="5">
        <v>6.725136909809365</v>
      </c>
      <c r="Z273" s="5">
        <v>6.778898905454643</v>
      </c>
      <c r="AA273" s="5">
        <v>1946.0</v>
      </c>
      <c r="AB273" s="5">
        <v>1688.0</v>
      </c>
      <c r="AC273" s="5">
        <v>12.0</v>
      </c>
      <c r="AD273" s="5">
        <v>12.0</v>
      </c>
      <c r="AE273" s="9" t="b">
        <v>1</v>
      </c>
      <c r="AF273" s="9" t="b">
        <v>1</v>
      </c>
      <c r="AG273" s="5">
        <v>4.125011302237721</v>
      </c>
      <c r="AH273" s="5">
        <v>4.755492887532349</v>
      </c>
      <c r="AI273" s="5">
        <v>702.0</v>
      </c>
      <c r="AJ273" s="5">
        <v>990.0</v>
      </c>
      <c r="AK273" s="5">
        <v>6.0</v>
      </c>
      <c r="AL273" s="5">
        <v>6.0</v>
      </c>
      <c r="AM273" s="5">
        <v>-42.307692307692314</v>
      </c>
      <c r="AN273" s="5">
        <v>-17.411764705882348</v>
      </c>
    </row>
    <row r="274" ht="15.75" customHeight="1">
      <c r="A274" s="5">
        <v>13.0</v>
      </c>
      <c r="B274" s="5">
        <v>2013.0</v>
      </c>
      <c r="C274" s="5">
        <v>4029.51</v>
      </c>
      <c r="D274" s="5">
        <v>408502.0</v>
      </c>
      <c r="E274" s="5">
        <v>4578.355802543208</v>
      </c>
      <c r="F274" s="5">
        <v>3742.6221657856163</v>
      </c>
      <c r="G274" s="5">
        <v>4.0</v>
      </c>
      <c r="H274" s="5">
        <v>4.0</v>
      </c>
      <c r="I274" s="5">
        <v>0.8801216361912432</v>
      </c>
      <c r="J274" s="5">
        <v>-2.711508345794267</v>
      </c>
      <c r="K274" s="5">
        <v>6.707673859067298</v>
      </c>
      <c r="L274" s="5">
        <v>1.076654233718023</v>
      </c>
      <c r="M274" s="5">
        <v>-3.664332394719816</v>
      </c>
      <c r="N274" s="5">
        <v>7.763083972322682</v>
      </c>
      <c r="O274" s="5">
        <v>3.814286376775744</v>
      </c>
      <c r="P274" s="5">
        <v>3134.0</v>
      </c>
      <c r="Q274" s="5">
        <v>4.0</v>
      </c>
      <c r="R274" s="5">
        <v>3172.0</v>
      </c>
      <c r="S274" s="5">
        <v>4.0</v>
      </c>
      <c r="T274" s="5">
        <v>172030.90000000002</v>
      </c>
      <c r="U274" s="5">
        <v>4.0</v>
      </c>
      <c r="V274" s="5">
        <v>54.23420554854982</v>
      </c>
      <c r="W274" s="9" t="b">
        <v>1</v>
      </c>
      <c r="X274" s="9" t="b">
        <v>1</v>
      </c>
      <c r="Y274" s="5">
        <v>7.671933062751223</v>
      </c>
      <c r="Z274" s="5">
        <v>7.764955863129189</v>
      </c>
      <c r="AA274" s="5">
        <v>1426.0</v>
      </c>
      <c r="AB274" s="5">
        <v>1457.0</v>
      </c>
      <c r="AC274" s="5">
        <v>12.0</v>
      </c>
      <c r="AD274" s="5">
        <v>12.0</v>
      </c>
      <c r="AE274" s="9" t="b">
        <v>1</v>
      </c>
      <c r="AF274" s="9" t="b">
        <v>1</v>
      </c>
      <c r="AG274" s="5">
        <v>3.566690003965709</v>
      </c>
      <c r="AH274" s="5">
        <v>3.490802982604736</v>
      </c>
      <c r="AI274" s="5">
        <v>757.0</v>
      </c>
      <c r="AJ274" s="5">
        <v>494.0</v>
      </c>
      <c r="AK274" s="5">
        <v>6.0</v>
      </c>
      <c r="AL274" s="5">
        <v>6.0</v>
      </c>
      <c r="AM274" s="5">
        <v>-50.101010101010104</v>
      </c>
      <c r="AN274" s="5">
        <v>7.834757834757844</v>
      </c>
    </row>
    <row r="275" ht="15.75" customHeight="1">
      <c r="A275" s="5">
        <v>13.0</v>
      </c>
      <c r="B275" s="5">
        <v>2014.0</v>
      </c>
      <c r="C275" s="5">
        <v>4176.65</v>
      </c>
      <c r="D275" s="5">
        <v>408105.0</v>
      </c>
      <c r="E275" s="5">
        <v>4754.229469236033</v>
      </c>
      <c r="F275" s="5">
        <v>3799.4136420540563</v>
      </c>
      <c r="G275" s="5">
        <v>4.0</v>
      </c>
      <c r="H275" s="5">
        <v>4.0</v>
      </c>
      <c r="I275" s="5">
        <v>0.8785124965100084</v>
      </c>
      <c r="J275" s="5">
        <v>3.841415439908147</v>
      </c>
      <c r="K275" s="5">
        <v>-0.18283151044875545</v>
      </c>
      <c r="L275" s="5">
        <v>1.0992880463897057</v>
      </c>
      <c r="M275" s="5">
        <v>1.5174247827530518</v>
      </c>
      <c r="N275" s="5">
        <v>2.102235979096201</v>
      </c>
      <c r="O275" s="5">
        <v>3.6515606115880006</v>
      </c>
      <c r="P275" s="5">
        <v>2984.0</v>
      </c>
      <c r="Q275" s="5">
        <v>4.0</v>
      </c>
      <c r="R275" s="5">
        <v>3011.0</v>
      </c>
      <c r="S275" s="5">
        <v>4.0</v>
      </c>
      <c r="T275" s="5">
        <v>163252.40000000002</v>
      </c>
      <c r="U275" s="5">
        <v>4.0</v>
      </c>
      <c r="V275" s="5">
        <v>54.218664895383604</v>
      </c>
      <c r="W275" s="9" t="b">
        <v>1</v>
      </c>
      <c r="X275" s="9" t="b">
        <v>1</v>
      </c>
      <c r="Y275" s="5">
        <v>7.311843765697553</v>
      </c>
      <c r="Z275" s="5">
        <v>7.378003209958221</v>
      </c>
      <c r="AA275" s="5">
        <v>1404.0</v>
      </c>
      <c r="AB275" s="5">
        <v>1494.0</v>
      </c>
      <c r="AC275" s="5">
        <v>12.0</v>
      </c>
      <c r="AD275" s="5">
        <v>12.0</v>
      </c>
      <c r="AE275" s="9" t="b">
        <v>1</v>
      </c>
      <c r="AF275" s="9" t="b">
        <v>1</v>
      </c>
      <c r="AG275" s="5">
        <v>3.660822582423641</v>
      </c>
      <c r="AH275" s="5">
        <v>3.440291101554747</v>
      </c>
      <c r="AI275" s="5">
        <v>535.0</v>
      </c>
      <c r="AJ275" s="5">
        <v>339.0</v>
      </c>
      <c r="AK275" s="5">
        <v>6.0</v>
      </c>
      <c r="AL275" s="5">
        <v>6.0</v>
      </c>
      <c r="AM275" s="5">
        <v>-31.376518218623485</v>
      </c>
      <c r="AN275" s="5">
        <v>-29.32628797886394</v>
      </c>
    </row>
    <row r="276" ht="15.75" customHeight="1">
      <c r="A276" s="5">
        <v>13.0</v>
      </c>
      <c r="B276" s="5">
        <v>2015.0</v>
      </c>
      <c r="C276" s="5">
        <v>4381.58</v>
      </c>
      <c r="D276" s="5">
        <v>407043.0</v>
      </c>
      <c r="E276" s="5">
        <v>4726.802353531533</v>
      </c>
      <c r="F276" s="5">
        <v>3798.8795289937825</v>
      </c>
      <c r="G276" s="5">
        <v>4.0</v>
      </c>
      <c r="H276" s="5">
        <v>4.0</v>
      </c>
      <c r="I276" s="5">
        <v>0.9269649272994019</v>
      </c>
      <c r="J276" s="5">
        <v>-0.5768992826698183</v>
      </c>
      <c r="K276" s="5">
        <v>5.515280770834385</v>
      </c>
      <c r="L276" s="5">
        <v>1.1533874571591267</v>
      </c>
      <c r="M276" s="5">
        <v>-0.01405777603054048</v>
      </c>
      <c r="N276" s="5">
        <v>4.9213134762171595</v>
      </c>
      <c r="O276" s="5">
        <v>4.906563872960401</v>
      </c>
      <c r="P276" s="5">
        <v>2722.0</v>
      </c>
      <c r="Q276" s="5">
        <v>4.0</v>
      </c>
      <c r="R276" s="5">
        <v>2763.0</v>
      </c>
      <c r="S276" s="5">
        <v>4.0</v>
      </c>
      <c r="T276" s="5">
        <v>152492.0</v>
      </c>
      <c r="U276" s="5">
        <v>4.0</v>
      </c>
      <c r="V276" s="5">
        <v>55.19073470865002</v>
      </c>
      <c r="W276" s="9" t="b">
        <v>1</v>
      </c>
      <c r="X276" s="9" t="b">
        <v>1</v>
      </c>
      <c r="Y276" s="5">
        <v>6.687254172163629</v>
      </c>
      <c r="Z276" s="5">
        <v>6.787980631038981</v>
      </c>
      <c r="AA276" s="5">
        <v>1132.0</v>
      </c>
      <c r="AB276" s="5">
        <v>2648.0</v>
      </c>
      <c r="AC276" s="5">
        <v>12.0</v>
      </c>
      <c r="AD276" s="5">
        <v>12.0</v>
      </c>
      <c r="AE276" s="9" t="b">
        <v>1</v>
      </c>
      <c r="AF276" s="9" t="b">
        <v>1</v>
      </c>
      <c r="AG276" s="5">
        <v>6.505455197608115</v>
      </c>
      <c r="AH276" s="5">
        <v>2.7810329621194816</v>
      </c>
      <c r="AI276" s="5">
        <v>729.0</v>
      </c>
      <c r="AJ276" s="5">
        <v>1147.0</v>
      </c>
      <c r="AK276" s="5">
        <v>6.0</v>
      </c>
      <c r="AL276" s="5">
        <v>6.0</v>
      </c>
      <c r="AM276" s="5">
        <v>238.34808259587018</v>
      </c>
      <c r="AN276" s="5">
        <v>36.261682242990645</v>
      </c>
    </row>
    <row r="277" ht="15.75" customHeight="1">
      <c r="A277" s="5">
        <v>13.0</v>
      </c>
      <c r="B277" s="5">
        <v>2016.0</v>
      </c>
      <c r="C277" s="5">
        <v>4539.15</v>
      </c>
      <c r="D277" s="5">
        <v>405413.0</v>
      </c>
      <c r="E277" s="5">
        <v>4779.438707926249</v>
      </c>
      <c r="F277" s="5">
        <v>3942.1064265638133</v>
      </c>
      <c r="G277" s="5">
        <v>4.0</v>
      </c>
      <c r="H277" s="5">
        <v>4.0</v>
      </c>
      <c r="I277" s="5">
        <v>0.9497244922237934</v>
      </c>
      <c r="J277" s="5">
        <v>1.1135721457739667</v>
      </c>
      <c r="K277" s="5">
        <v>2.455277891764318</v>
      </c>
      <c r="L277" s="5">
        <v>1.1514529312077977</v>
      </c>
      <c r="M277" s="5">
        <v>3.770240579541828</v>
      </c>
      <c r="N277" s="5">
        <v>-0.16772559293248834</v>
      </c>
      <c r="O277" s="5">
        <v>3.5961913282423152</v>
      </c>
      <c r="P277" s="5">
        <v>3700.0</v>
      </c>
      <c r="Q277" s="5">
        <v>4.0</v>
      </c>
      <c r="R277" s="5">
        <v>3758.0</v>
      </c>
      <c r="S277" s="5">
        <v>4.0</v>
      </c>
      <c r="T277" s="5">
        <v>205328.6</v>
      </c>
      <c r="U277" s="5">
        <v>4.0</v>
      </c>
      <c r="V277" s="5">
        <v>54.63773283661522</v>
      </c>
      <c r="W277" s="9" t="b">
        <v>1</v>
      </c>
      <c r="X277" s="9" t="b">
        <v>1</v>
      </c>
      <c r="Y277" s="5">
        <v>9.12649569698061</v>
      </c>
      <c r="Z277" s="5">
        <v>9.269559683581928</v>
      </c>
      <c r="AA277" s="5">
        <v>2955.0</v>
      </c>
      <c r="AB277" s="5">
        <v>2205.0</v>
      </c>
      <c r="AC277" s="5">
        <v>12.0</v>
      </c>
      <c r="AD277" s="5">
        <v>12.0</v>
      </c>
      <c r="AE277" s="9" t="b">
        <v>1</v>
      </c>
      <c r="AF277" s="9" t="b">
        <v>1</v>
      </c>
      <c r="AG277" s="5">
        <v>5.438898111308715</v>
      </c>
      <c r="AH277" s="5">
        <v>7.288863455291271</v>
      </c>
      <c r="AI277" s="5">
        <v>1503.0</v>
      </c>
      <c r="AJ277" s="5">
        <v>1297.0</v>
      </c>
      <c r="AK277" s="5">
        <v>6.0</v>
      </c>
      <c r="AL277" s="5">
        <v>6.0</v>
      </c>
      <c r="AM277" s="5">
        <v>13.07759372275501</v>
      </c>
      <c r="AN277" s="5">
        <v>106.17283950617282</v>
      </c>
    </row>
    <row r="278" ht="15.75" customHeight="1">
      <c r="A278" s="5">
        <v>13.0</v>
      </c>
      <c r="B278" s="5">
        <v>2017.0</v>
      </c>
      <c r="C278" s="5">
        <v>4732.93</v>
      </c>
      <c r="D278" s="5">
        <v>404403.0</v>
      </c>
      <c r="E278" s="5">
        <v>5189.34581265423</v>
      </c>
      <c r="F278" s="5">
        <v>4170.738279177383</v>
      </c>
      <c r="G278" s="5">
        <v>4.0</v>
      </c>
      <c r="H278" s="5">
        <v>4.0</v>
      </c>
      <c r="I278" s="5">
        <v>0.91204752407495</v>
      </c>
      <c r="J278" s="5">
        <v>8.576469534972574</v>
      </c>
      <c r="K278" s="5">
        <v>-3.9671471523938684</v>
      </c>
      <c r="L278" s="5">
        <v>1.1347942937655395</v>
      </c>
      <c r="M278" s="5">
        <v>5.799738207800242</v>
      </c>
      <c r="N278" s="5">
        <v>-1.4467493191219205</v>
      </c>
      <c r="O278" s="5">
        <v>4.269081215646109</v>
      </c>
      <c r="P278" s="5">
        <v>4112.0</v>
      </c>
      <c r="Q278" s="5">
        <v>4.0</v>
      </c>
      <c r="R278" s="5">
        <v>4178.0</v>
      </c>
      <c r="S278" s="5">
        <v>4.0</v>
      </c>
      <c r="T278" s="5">
        <v>229327.5</v>
      </c>
      <c r="U278" s="5">
        <v>4.0</v>
      </c>
      <c r="V278" s="5">
        <v>54.889301101005266</v>
      </c>
      <c r="W278" s="9" t="b">
        <v>1</v>
      </c>
      <c r="X278" s="9" t="b">
        <v>1</v>
      </c>
      <c r="Y278" s="5">
        <v>10.168074915369075</v>
      </c>
      <c r="Z278" s="5">
        <v>10.331278452434823</v>
      </c>
      <c r="AA278" s="5">
        <v>2661.0</v>
      </c>
      <c r="AB278" s="5">
        <v>2582.0</v>
      </c>
      <c r="AC278" s="5">
        <v>12.0</v>
      </c>
      <c r="AD278" s="5">
        <v>12.0</v>
      </c>
      <c r="AE278" s="9" t="b">
        <v>1</v>
      </c>
      <c r="AF278" s="9" t="b">
        <v>1</v>
      </c>
      <c r="AG278" s="5">
        <v>6.384720192481263</v>
      </c>
      <c r="AH278" s="5">
        <v>6.580069880787235</v>
      </c>
      <c r="AI278" s="5">
        <v>1230.0</v>
      </c>
      <c r="AJ278" s="5">
        <v>1437.0</v>
      </c>
      <c r="AK278" s="5">
        <v>6.0</v>
      </c>
      <c r="AL278" s="5">
        <v>6.0</v>
      </c>
      <c r="AM278" s="5">
        <v>10.79414032382422</v>
      </c>
      <c r="AN278" s="5">
        <v>-18.16367265469062</v>
      </c>
    </row>
    <row r="279" ht="15.75" customHeight="1">
      <c r="A279" s="5">
        <v>13.0</v>
      </c>
      <c r="B279" s="5">
        <v>2018.0</v>
      </c>
      <c r="C279" s="5">
        <v>5007.48</v>
      </c>
      <c r="D279" s="5">
        <v>403274.0</v>
      </c>
      <c r="E279" s="5">
        <v>5580.564114133372</v>
      </c>
      <c r="F279" s="5">
        <v>4630.643265025341</v>
      </c>
      <c r="G279" s="5">
        <v>4.0</v>
      </c>
      <c r="H279" s="5">
        <v>4.0</v>
      </c>
      <c r="I279" s="5">
        <v>0.8973071355488998</v>
      </c>
      <c r="J279" s="5">
        <v>7.538875141547807</v>
      </c>
      <c r="K279" s="5">
        <v>-1.6161864526742398</v>
      </c>
      <c r="L279" s="5">
        <v>1.0813789172275174</v>
      </c>
      <c r="M279" s="5">
        <v>11.026944273728612</v>
      </c>
      <c r="N279" s="5">
        <v>-4.707053677612016</v>
      </c>
      <c r="O279" s="5">
        <v>5.800846410151839</v>
      </c>
      <c r="P279" s="5">
        <v>4152.0</v>
      </c>
      <c r="Q279" s="5">
        <v>4.0</v>
      </c>
      <c r="R279" s="5">
        <v>4244.0</v>
      </c>
      <c r="S279" s="5">
        <v>4.0</v>
      </c>
      <c r="T279" s="5">
        <v>234814.40000000002</v>
      </c>
      <c r="U279" s="5">
        <v>4.0</v>
      </c>
      <c r="V279" s="5">
        <v>55.32855796418474</v>
      </c>
      <c r="W279" s="9" t="b">
        <v>1</v>
      </c>
      <c r="X279" s="9" t="b">
        <v>1</v>
      </c>
      <c r="Y279" s="5">
        <v>10.295729454415607</v>
      </c>
      <c r="Z279" s="5">
        <v>10.523862187991291</v>
      </c>
      <c r="AA279" s="5">
        <v>2299.0</v>
      </c>
      <c r="AB279" s="5">
        <v>3071.0</v>
      </c>
      <c r="AC279" s="5">
        <v>12.0</v>
      </c>
      <c r="AD279" s="5">
        <v>12.0</v>
      </c>
      <c r="AE279" s="9" t="b">
        <v>1</v>
      </c>
      <c r="AF279" s="9" t="b">
        <v>1</v>
      </c>
      <c r="AG279" s="5">
        <v>7.615169834901333</v>
      </c>
      <c r="AH279" s="5">
        <v>5.700838635766254</v>
      </c>
      <c r="AI279" s="5">
        <v>1297.0</v>
      </c>
      <c r="AJ279" s="5">
        <v>1889.0</v>
      </c>
      <c r="AK279" s="5">
        <v>6.0</v>
      </c>
      <c r="AL279" s="5">
        <v>6.0</v>
      </c>
      <c r="AM279" s="5">
        <v>31.4544189283229</v>
      </c>
      <c r="AN279" s="5">
        <v>5.447154471544713</v>
      </c>
    </row>
    <row r="280" ht="15.75" customHeight="1">
      <c r="A280" s="5">
        <v>13.0</v>
      </c>
      <c r="B280" s="5">
        <v>2019.0</v>
      </c>
      <c r="C280" s="5">
        <v>5408.91</v>
      </c>
      <c r="D280" s="5">
        <v>402067.0</v>
      </c>
      <c r="E280" s="5">
        <v>6464.314779818822</v>
      </c>
      <c r="F280" s="5">
        <v>5283.405916870002</v>
      </c>
      <c r="G280" s="5">
        <v>4.0</v>
      </c>
      <c r="H280" s="5">
        <v>4.0</v>
      </c>
      <c r="I280" s="5">
        <v>0.8367336963364271</v>
      </c>
      <c r="J280" s="5">
        <v>15.836224575348169</v>
      </c>
      <c r="K280" s="5">
        <v>-6.750580354564861</v>
      </c>
      <c r="L280" s="5">
        <v>1.0237543897070753</v>
      </c>
      <c r="M280" s="5">
        <v>14.096586899165708</v>
      </c>
      <c r="N280" s="5">
        <v>-5.328800719379867</v>
      </c>
      <c r="O280" s="5">
        <v>8.016607155695077</v>
      </c>
      <c r="P280" s="5">
        <v>3444.0</v>
      </c>
      <c r="Q280" s="5">
        <v>4.0</v>
      </c>
      <c r="R280" s="5">
        <v>3531.0</v>
      </c>
      <c r="S280" s="5">
        <v>4.0</v>
      </c>
      <c r="T280" s="5">
        <v>194455.3</v>
      </c>
      <c r="U280" s="5">
        <v>4.0</v>
      </c>
      <c r="V280" s="5">
        <v>55.07088643443783</v>
      </c>
      <c r="W280" s="9" t="b">
        <v>1</v>
      </c>
      <c r="X280" s="9" t="b">
        <v>1</v>
      </c>
      <c r="Y280" s="5">
        <v>8.565736556345087</v>
      </c>
      <c r="Z280" s="5">
        <v>8.782118403151713</v>
      </c>
      <c r="AA280" s="5">
        <v>3215.0</v>
      </c>
      <c r="AB280" s="5">
        <v>2351.0</v>
      </c>
      <c r="AC280" s="5">
        <v>12.0</v>
      </c>
      <c r="AD280" s="5">
        <v>12.0</v>
      </c>
      <c r="AE280" s="9" t="b">
        <v>1</v>
      </c>
      <c r="AF280" s="9" t="b">
        <v>1</v>
      </c>
      <c r="AG280" s="5">
        <v>5.847284159107811</v>
      </c>
      <c r="AH280" s="5">
        <v>7.996179741187414</v>
      </c>
      <c r="AI280" s="5">
        <v>1567.0</v>
      </c>
      <c r="AJ280" s="5">
        <v>807.0</v>
      </c>
      <c r="AK280" s="5">
        <v>6.0</v>
      </c>
      <c r="AL280" s="5">
        <v>6.0</v>
      </c>
      <c r="AM280" s="5">
        <v>-57.27898358920063</v>
      </c>
      <c r="AN280" s="5">
        <v>20.817270624518123</v>
      </c>
    </row>
    <row r="281" ht="15.75" customHeight="1">
      <c r="A281" s="5">
        <v>13.0</v>
      </c>
      <c r="B281" s="5">
        <v>2020.0</v>
      </c>
      <c r="C281" s="5">
        <v>5695.84</v>
      </c>
      <c r="D281" s="5">
        <v>400024.0</v>
      </c>
      <c r="E281" s="5">
        <v>6953.765059140986</v>
      </c>
      <c r="F281" s="5">
        <v>5898.8682821009</v>
      </c>
      <c r="G281" s="5">
        <v>4.0</v>
      </c>
      <c r="H281" s="5">
        <v>4.0</v>
      </c>
      <c r="I281" s="5">
        <v>0.8191015876374201</v>
      </c>
      <c r="J281" s="5">
        <v>7.571572486695666</v>
      </c>
      <c r="K281" s="5">
        <v>-2.1072545274808174</v>
      </c>
      <c r="L281" s="5">
        <v>0.9655818247854502</v>
      </c>
      <c r="M281" s="5">
        <v>11.648969905297557</v>
      </c>
      <c r="N281" s="5">
        <v>-5.682277458978213</v>
      </c>
      <c r="O281" s="5">
        <v>5.304765655187471</v>
      </c>
      <c r="P281" s="5">
        <v>226.0</v>
      </c>
      <c r="Q281" s="5">
        <v>4.0</v>
      </c>
      <c r="R281" s="5">
        <v>230.0</v>
      </c>
      <c r="S281" s="5">
        <v>4.0</v>
      </c>
      <c r="T281" s="5">
        <v>16797.2</v>
      </c>
      <c r="U281" s="5">
        <v>4.0</v>
      </c>
      <c r="V281" s="5">
        <v>73.0313043478261</v>
      </c>
      <c r="W281" s="9" t="b">
        <v>1</v>
      </c>
      <c r="X281" s="9" t="b">
        <v>1</v>
      </c>
      <c r="Y281" s="5">
        <v>0.564966102033878</v>
      </c>
      <c r="Z281" s="5">
        <v>0.5749655020698757</v>
      </c>
      <c r="AA281" s="5">
        <v>2659.0</v>
      </c>
      <c r="AB281" s="5">
        <v>2898.0</v>
      </c>
      <c r="AC281" s="5">
        <v>12.0</v>
      </c>
      <c r="AD281" s="5">
        <v>12.0</v>
      </c>
      <c r="AE281" s="9" t="b">
        <v>1</v>
      </c>
      <c r="AF281" s="9" t="b">
        <v>1</v>
      </c>
      <c r="AG281" s="5">
        <v>7.244565326080435</v>
      </c>
      <c r="AH281" s="5">
        <v>6.647101173929564</v>
      </c>
      <c r="AI281" s="5">
        <v>1338.0</v>
      </c>
      <c r="AJ281" s="5">
        <v>1348.0</v>
      </c>
      <c r="AK281" s="5">
        <v>6.0</v>
      </c>
      <c r="AL281" s="5">
        <v>6.0</v>
      </c>
      <c r="AM281" s="5">
        <v>67.03841387856258</v>
      </c>
      <c r="AN281" s="5">
        <v>-14.61391193363114</v>
      </c>
    </row>
    <row r="282" ht="15.75" customHeight="1">
      <c r="A282" s="5">
        <v>13.0</v>
      </c>
      <c r="B282" s="5">
        <v>2021.0</v>
      </c>
      <c r="C282" s="5">
        <v>6244.67</v>
      </c>
      <c r="D282" s="5">
        <v>395441.0</v>
      </c>
      <c r="E282" s="5">
        <v>8250.975967863034</v>
      </c>
      <c r="F282" s="5">
        <v>6499.460944526185</v>
      </c>
      <c r="G282" s="5">
        <v>4.0</v>
      </c>
      <c r="H282" s="5">
        <v>4.0</v>
      </c>
      <c r="I282" s="5">
        <v>0.7568401634330952</v>
      </c>
      <c r="J282" s="5">
        <v>18.654799201431405</v>
      </c>
      <c r="K282" s="5">
        <v>-7.601184656949444</v>
      </c>
      <c r="L282" s="5">
        <v>0.960798142076572</v>
      </c>
      <c r="M282" s="5">
        <v>10.181489629929196</v>
      </c>
      <c r="N282" s="5">
        <v>-0.49541971338794566</v>
      </c>
      <c r="O282" s="5">
        <v>9.635628809798025</v>
      </c>
      <c r="P282" s="5">
        <v>683.0</v>
      </c>
      <c r="Q282" s="5">
        <v>4.0</v>
      </c>
      <c r="R282" s="5">
        <v>689.0</v>
      </c>
      <c r="S282" s="5">
        <v>4.0</v>
      </c>
      <c r="T282" s="5">
        <v>39125.8</v>
      </c>
      <c r="U282" s="5">
        <v>4.0</v>
      </c>
      <c r="V282" s="5">
        <v>56.78635703918723</v>
      </c>
      <c r="W282" s="9" t="b">
        <v>1</v>
      </c>
      <c r="X282" s="9" t="b">
        <v>1</v>
      </c>
      <c r="Y282" s="5">
        <v>1.7271855978515127</v>
      </c>
      <c r="Z282" s="5">
        <v>1.7423585313611891</v>
      </c>
      <c r="AA282" s="5">
        <v>2997.0</v>
      </c>
      <c r="AB282" s="5">
        <v>3421.0</v>
      </c>
      <c r="AC282" s="5">
        <v>12.0</v>
      </c>
      <c r="AD282" s="5">
        <v>12.0</v>
      </c>
      <c r="AE282" s="9" t="b">
        <v>1</v>
      </c>
      <c r="AF282" s="9" t="b">
        <v>1</v>
      </c>
      <c r="AG282" s="5">
        <v>8.65110092276724</v>
      </c>
      <c r="AH282" s="5">
        <v>7.578880288083431</v>
      </c>
      <c r="AI282" s="5">
        <v>1111.0</v>
      </c>
      <c r="AJ282" s="5">
        <v>2153.0</v>
      </c>
      <c r="AK282" s="5">
        <v>6.0</v>
      </c>
      <c r="AL282" s="5">
        <v>6.0</v>
      </c>
      <c r="AM282" s="5">
        <v>59.71810089020772</v>
      </c>
      <c r="AN282" s="5">
        <v>-16.965620328849027</v>
      </c>
    </row>
    <row r="283" ht="15.75" customHeight="1">
      <c r="A283" s="5">
        <v>13.0</v>
      </c>
      <c r="B283" s="5">
        <v>2022.0</v>
      </c>
      <c r="C283" s="5">
        <v>6943.84</v>
      </c>
      <c r="D283" s="5">
        <v>393028.0</v>
      </c>
      <c r="E283" s="5">
        <v>10071.776347743313</v>
      </c>
      <c r="F283" s="5">
        <v>7386.60037707059</v>
      </c>
      <c r="G283" s="5">
        <v>4.0</v>
      </c>
      <c r="H283" s="5">
        <v>4.0</v>
      </c>
      <c r="I283" s="5">
        <v>0.6894354838961293</v>
      </c>
      <c r="J283" s="5">
        <v>22.06769704544247</v>
      </c>
      <c r="K283" s="5">
        <v>-8.906065348225212</v>
      </c>
      <c r="L283" s="5">
        <v>0.9400589778154234</v>
      </c>
      <c r="M283" s="5">
        <v>13.649430931522865</v>
      </c>
      <c r="N283" s="5">
        <v>-2.158535008854734</v>
      </c>
      <c r="O283" s="5">
        <v>11.196268177501768</v>
      </c>
      <c r="P283" s="5">
        <v>155.0</v>
      </c>
      <c r="Q283" s="5">
        <v>4.0</v>
      </c>
      <c r="R283" s="5">
        <v>155.0</v>
      </c>
      <c r="S283" s="5">
        <v>4.0</v>
      </c>
      <c r="T283" s="5">
        <v>8661.5</v>
      </c>
      <c r="U283" s="5">
        <v>4.0</v>
      </c>
      <c r="V283" s="5">
        <v>55.880645161290325</v>
      </c>
      <c r="W283" s="9" t="b">
        <v>1</v>
      </c>
      <c r="X283" s="9" t="b">
        <v>1</v>
      </c>
      <c r="Y283" s="5">
        <v>0.39437393773471613</v>
      </c>
      <c r="Z283" s="5">
        <v>0.39437393773471613</v>
      </c>
      <c r="AA283" s="5">
        <v>2468.0</v>
      </c>
      <c r="AB283" s="5">
        <v>2622.0</v>
      </c>
      <c r="AC283" s="5">
        <v>12.0</v>
      </c>
      <c r="AD283" s="5">
        <v>12.0</v>
      </c>
      <c r="AE283" s="9" t="b">
        <v>1</v>
      </c>
      <c r="AF283" s="9" t="b">
        <v>1</v>
      </c>
      <c r="AG283" s="5">
        <v>6.671280417680165</v>
      </c>
      <c r="AH283" s="5">
        <v>6.279450827930835</v>
      </c>
      <c r="AI283" s="5">
        <v>1090.0</v>
      </c>
      <c r="AJ283" s="5">
        <v>2064.0</v>
      </c>
      <c r="AK283" s="5">
        <v>6.0</v>
      </c>
      <c r="AL283" s="5">
        <v>6.0</v>
      </c>
      <c r="AM283" s="5">
        <v>-4.133766836971664</v>
      </c>
      <c r="AN283" s="5">
        <v>-1.8901890189018888</v>
      </c>
    </row>
    <row r="284" ht="15.75" customHeight="1">
      <c r="A284" s="5">
        <v>13.0</v>
      </c>
      <c r="B284" s="5">
        <v>2023.0</v>
      </c>
      <c r="C284" s="5">
        <v>7933.31</v>
      </c>
      <c r="D284" s="5">
        <v>390278.0</v>
      </c>
      <c r="E284" s="5">
        <v>10794.573582045687</v>
      </c>
      <c r="F284" s="5">
        <v>7763.1468947657895</v>
      </c>
      <c r="G284" s="5">
        <v>4.0</v>
      </c>
      <c r="H284" s="5">
        <v>4.0</v>
      </c>
      <c r="I284" s="5">
        <v>0.7349350059733025</v>
      </c>
      <c r="J284" s="5">
        <v>7.176462317536703</v>
      </c>
      <c r="K284" s="5">
        <v>6.5995329715330175</v>
      </c>
      <c r="L284" s="5">
        <v>1.021919346309026</v>
      </c>
      <c r="M284" s="5">
        <v>5.0976971607137544</v>
      </c>
      <c r="N284" s="5">
        <v>8.70800347908336</v>
      </c>
      <c r="O284" s="5">
        <v>14.249608285905202</v>
      </c>
      <c r="Q284" s="5">
        <v>3.0</v>
      </c>
      <c r="R284" s="5">
        <v>422.0</v>
      </c>
      <c r="S284" s="5">
        <v>4.0</v>
      </c>
      <c r="T284" s="5">
        <v>25718.0</v>
      </c>
      <c r="U284" s="5">
        <v>4.0</v>
      </c>
      <c r="V284" s="5">
        <v>60.943127962085306</v>
      </c>
      <c r="W284" s="9" t="b">
        <v>0</v>
      </c>
      <c r="X284" s="9" t="b">
        <v>1</v>
      </c>
      <c r="Z284" s="5">
        <v>1.081280523114293</v>
      </c>
      <c r="AA284" s="5">
        <v>2524.0</v>
      </c>
      <c r="AB284" s="5">
        <v>2419.0</v>
      </c>
      <c r="AC284" s="5">
        <v>12.0</v>
      </c>
      <c r="AD284" s="5">
        <v>12.0</v>
      </c>
      <c r="AE284" s="9" t="b">
        <v>1</v>
      </c>
      <c r="AF284" s="9" t="b">
        <v>1</v>
      </c>
      <c r="AG284" s="5">
        <v>6.198145936998755</v>
      </c>
      <c r="AH284" s="5">
        <v>6.467184929716766</v>
      </c>
      <c r="AI284" s="5">
        <v>1276.0</v>
      </c>
      <c r="AJ284" s="5">
        <v>833.0</v>
      </c>
      <c r="AK284" s="5">
        <v>6.0</v>
      </c>
      <c r="AL284" s="5">
        <v>6.0</v>
      </c>
      <c r="AM284" s="5">
        <v>-59.64147286821706</v>
      </c>
      <c r="AN284" s="5">
        <v>17.064220183486235</v>
      </c>
    </row>
    <row r="285" ht="15.75" customHeight="1">
      <c r="A285" s="5">
        <v>13.0</v>
      </c>
      <c r="B285" s="5">
        <v>2024.0</v>
      </c>
      <c r="C285" s="5">
        <v>9044.66</v>
      </c>
      <c r="D285" s="5">
        <v>387700.0</v>
      </c>
      <c r="E285" s="5">
        <v>11921.989414703323</v>
      </c>
      <c r="F285" s="5">
        <v>9052.31639704407</v>
      </c>
      <c r="G285" s="5">
        <v>4.0</v>
      </c>
      <c r="H285" s="5">
        <v>4.0</v>
      </c>
      <c r="I285" s="5">
        <v>0.758653584178264</v>
      </c>
      <c r="J285" s="5">
        <v>10.444283176992153</v>
      </c>
      <c r="K285" s="5">
        <v>3.2273028243565705</v>
      </c>
      <c r="L285" s="5">
        <v>0.9991542057625638</v>
      </c>
      <c r="M285" s="5">
        <v>16.606274745973025</v>
      </c>
      <c r="N285" s="5">
        <v>-2.227684663049534</v>
      </c>
      <c r="O285" s="5">
        <v>14.008654647303587</v>
      </c>
      <c r="Q285" s="5">
        <v>1.0</v>
      </c>
      <c r="R285" s="5">
        <v>2224.0</v>
      </c>
      <c r="S285" s="5">
        <v>4.0</v>
      </c>
      <c r="T285" s="5">
        <v>122507.0</v>
      </c>
      <c r="U285" s="5">
        <v>4.0</v>
      </c>
      <c r="V285" s="5">
        <v>55.08408273381295</v>
      </c>
      <c r="W285" s="9" t="b">
        <v>0</v>
      </c>
      <c r="X285" s="9" t="b">
        <v>1</v>
      </c>
      <c r="Z285" s="5">
        <v>5.736394119164302</v>
      </c>
      <c r="AA285" s="5">
        <v>2086.0</v>
      </c>
      <c r="AB285" s="5">
        <v>2096.0</v>
      </c>
      <c r="AC285" s="5">
        <v>12.0</v>
      </c>
      <c r="AD285" s="5">
        <v>12.0</v>
      </c>
      <c r="AE285" s="9" t="b">
        <v>1</v>
      </c>
      <c r="AF285" s="9" t="b">
        <v>1</v>
      </c>
      <c r="AG285" s="5">
        <v>5.406241939644055</v>
      </c>
      <c r="AH285" s="5">
        <v>5.3804488006190345</v>
      </c>
      <c r="AI285" s="5">
        <v>1368.0</v>
      </c>
      <c r="AJ285" s="5">
        <v>1244.0</v>
      </c>
      <c r="AK285" s="5">
        <v>6.0</v>
      </c>
      <c r="AL285" s="5">
        <v>6.0</v>
      </c>
      <c r="AM285" s="5">
        <v>49.33973589435774</v>
      </c>
      <c r="AN285" s="5">
        <v>7.210031347962387</v>
      </c>
    </row>
    <row r="286" ht="15.75" customHeight="1">
      <c r="A286" s="5">
        <v>13.0</v>
      </c>
      <c r="B286" s="5">
        <v>2025.0</v>
      </c>
      <c r="C286" s="5">
        <v>9908.84</v>
      </c>
      <c r="D286" s="5">
        <v>385158.0</v>
      </c>
      <c r="E286" s="5">
        <v>11765.396546162168</v>
      </c>
      <c r="F286" s="5">
        <v>9265.109250137419</v>
      </c>
      <c r="G286" s="5">
        <v>4.0</v>
      </c>
      <c r="H286" s="5">
        <v>4.0</v>
      </c>
      <c r="I286" s="5">
        <v>0.8422019573349807</v>
      </c>
      <c r="J286" s="5">
        <v>-1.3134793455530924</v>
      </c>
      <c r="K286" s="5">
        <v>11.012717121373928</v>
      </c>
      <c r="L286" s="5">
        <v>1.0694790242061132</v>
      </c>
      <c r="M286" s="5">
        <v>2.350700569445796</v>
      </c>
      <c r="N286" s="5">
        <v>7.0384349120441225</v>
      </c>
      <c r="O286" s="5">
        <v>9.554588011047404</v>
      </c>
      <c r="AA286" s="5">
        <v>2380.0</v>
      </c>
      <c r="AB286" s="5">
        <v>2109.0</v>
      </c>
      <c r="AC286" s="5">
        <v>12.0</v>
      </c>
      <c r="AD286" s="5">
        <v>12.0</v>
      </c>
      <c r="AE286" s="9" t="b">
        <v>1</v>
      </c>
      <c r="AF286" s="9" t="b">
        <v>1</v>
      </c>
      <c r="AG286" s="5">
        <v>5.475674917825931</v>
      </c>
      <c r="AH286" s="5">
        <v>6.179282268575494</v>
      </c>
      <c r="AI286" s="5">
        <v>961.0</v>
      </c>
      <c r="AJ286" s="5">
        <v>1361.0</v>
      </c>
      <c r="AK286" s="5">
        <v>6.0</v>
      </c>
      <c r="AL286" s="5">
        <v>6.0</v>
      </c>
      <c r="AM286" s="5">
        <v>9.405144694533751</v>
      </c>
      <c r="AN286" s="5">
        <v>-29.751461988304094</v>
      </c>
    </row>
    <row r="287" ht="15.75" customHeight="1">
      <c r="A287" s="5">
        <v>13.0</v>
      </c>
      <c r="B287" s="5">
        <v>2026.0</v>
      </c>
      <c r="AI287" s="5">
        <v>680.0</v>
      </c>
      <c r="AJ287" s="5">
        <v>2691.0</v>
      </c>
      <c r="AK287" s="5">
        <v>6.0</v>
      </c>
      <c r="AL287" s="5">
        <v>6.0</v>
      </c>
      <c r="AM287" s="5">
        <v>97.72226304188096</v>
      </c>
      <c r="AN287" s="5">
        <v>-29.240374609781483</v>
      </c>
    </row>
    <row r="288" ht="15.75" customHeight="1">
      <c r="A288" s="5">
        <v>14.0</v>
      </c>
      <c r="B288" s="5">
        <v>2005.0</v>
      </c>
      <c r="C288" s="5">
        <v>3613.44</v>
      </c>
      <c r="D288" s="5">
        <v>1694825.0</v>
      </c>
      <c r="AA288" s="5">
        <v>14436.0</v>
      </c>
      <c r="AB288" s="5">
        <v>16042.0</v>
      </c>
      <c r="AC288" s="5">
        <v>12.0</v>
      </c>
      <c r="AD288" s="5">
        <v>12.0</v>
      </c>
      <c r="AE288" s="9" t="b">
        <v>1</v>
      </c>
      <c r="AF288" s="9" t="b">
        <v>1</v>
      </c>
      <c r="AG288" s="5">
        <v>9.465284026374405</v>
      </c>
      <c r="AH288" s="5">
        <v>8.517693567182452</v>
      </c>
      <c r="AI288" s="5">
        <v>5620.0</v>
      </c>
      <c r="AJ288" s="5">
        <v>8304.0</v>
      </c>
      <c r="AK288" s="5">
        <v>6.0</v>
      </c>
      <c r="AL288" s="5">
        <v>6.0</v>
      </c>
    </row>
    <row r="289" ht="15.75" customHeight="1">
      <c r="A289" s="5">
        <v>14.0</v>
      </c>
      <c r="B289" s="5">
        <v>2006.0</v>
      </c>
      <c r="C289" s="5">
        <v>3789.94</v>
      </c>
      <c r="D289" s="5">
        <v>1700536.0</v>
      </c>
      <c r="AA289" s="5">
        <v>13686.0</v>
      </c>
      <c r="AB289" s="5">
        <v>17670.0</v>
      </c>
      <c r="AC289" s="5">
        <v>12.0</v>
      </c>
      <c r="AD289" s="5">
        <v>12.0</v>
      </c>
      <c r="AE289" s="9" t="b">
        <v>1</v>
      </c>
      <c r="AF289" s="9" t="b">
        <v>1</v>
      </c>
      <c r="AG289" s="5">
        <v>10.39084147586408</v>
      </c>
      <c r="AH289" s="5">
        <v>8.048050732239718</v>
      </c>
      <c r="AI289" s="5">
        <v>5989.0</v>
      </c>
      <c r="AJ289" s="5">
        <v>7332.0</v>
      </c>
      <c r="AK289" s="5">
        <v>6.0</v>
      </c>
      <c r="AL289" s="5">
        <v>6.0</v>
      </c>
      <c r="AM289" s="5">
        <v>-11.705202312138729</v>
      </c>
      <c r="AN289" s="5">
        <v>6.565836298932393</v>
      </c>
    </row>
    <row r="290" ht="15.75" customHeight="1">
      <c r="A290" s="5">
        <v>14.0</v>
      </c>
      <c r="B290" s="5">
        <v>2007.0</v>
      </c>
      <c r="C290" s="5">
        <v>4099.73</v>
      </c>
      <c r="D290" s="5">
        <v>1704717.0</v>
      </c>
      <c r="E290" s="5">
        <v>7818.75</v>
      </c>
      <c r="F290" s="5">
        <v>7796.469630745833</v>
      </c>
      <c r="G290" s="5">
        <v>4.0</v>
      </c>
      <c r="H290" s="5">
        <v>4.0</v>
      </c>
      <c r="I290" s="5">
        <v>0.5243459632294164</v>
      </c>
      <c r="L290" s="5">
        <v>0.5258444134550945</v>
      </c>
      <c r="AA290" s="5">
        <v>15729.0</v>
      </c>
      <c r="AB290" s="5">
        <v>24170.0</v>
      </c>
      <c r="AC290" s="5">
        <v>12.0</v>
      </c>
      <c r="AD290" s="5">
        <v>12.0</v>
      </c>
      <c r="AE290" s="9" t="b">
        <v>1</v>
      </c>
      <c r="AF290" s="9" t="b">
        <v>1</v>
      </c>
      <c r="AG290" s="5">
        <v>14.178306428574361</v>
      </c>
      <c r="AH290" s="5">
        <v>9.226751419737118</v>
      </c>
      <c r="AI290" s="5">
        <v>5037.0</v>
      </c>
      <c r="AJ290" s="5">
        <v>10198.0</v>
      </c>
      <c r="AK290" s="5">
        <v>6.0</v>
      </c>
      <c r="AL290" s="5">
        <v>6.0</v>
      </c>
      <c r="AM290" s="5">
        <v>39.08892525913803</v>
      </c>
      <c r="AN290" s="5">
        <v>-15.895808983135751</v>
      </c>
    </row>
    <row r="291" ht="15.75" customHeight="1">
      <c r="A291" s="5">
        <v>14.0</v>
      </c>
      <c r="B291" s="5">
        <v>2008.0</v>
      </c>
      <c r="C291" s="5">
        <v>4504.85</v>
      </c>
      <c r="D291" s="5">
        <v>1707981.0</v>
      </c>
      <c r="E291" s="5">
        <v>8405.0</v>
      </c>
      <c r="F291" s="5">
        <v>8124.39249501773</v>
      </c>
      <c r="G291" s="5">
        <v>4.0</v>
      </c>
      <c r="H291" s="5">
        <v>4.0</v>
      </c>
      <c r="I291" s="5">
        <v>0.5359726353361095</v>
      </c>
      <c r="J291" s="5">
        <v>7.498001598721027</v>
      </c>
      <c r="K291" s="5">
        <v>2.2173665713158375</v>
      </c>
      <c r="L291" s="5">
        <v>0.5544845356452919</v>
      </c>
      <c r="M291" s="5">
        <v>4.206042988722936</v>
      </c>
      <c r="N291" s="5">
        <v>5.446501181217389</v>
      </c>
      <c r="O291" s="5">
        <v>9.881626351003625</v>
      </c>
      <c r="AA291" s="5">
        <v>19049.0</v>
      </c>
      <c r="AB291" s="5">
        <v>21330.0</v>
      </c>
      <c r="AC291" s="5">
        <v>12.0</v>
      </c>
      <c r="AD291" s="5">
        <v>12.0</v>
      </c>
      <c r="AE291" s="9" t="b">
        <v>1</v>
      </c>
      <c r="AF291" s="9" t="b">
        <v>1</v>
      </c>
      <c r="AG291" s="5">
        <v>12.488429320935069</v>
      </c>
      <c r="AH291" s="5">
        <v>11.152934371049795</v>
      </c>
      <c r="AI291" s="5">
        <v>9047.0</v>
      </c>
      <c r="AJ291" s="5">
        <v>12493.0</v>
      </c>
      <c r="AK291" s="5">
        <v>6.0</v>
      </c>
      <c r="AL291" s="5">
        <v>6.0</v>
      </c>
      <c r="AM291" s="5">
        <v>22.50441262992744</v>
      </c>
      <c r="AN291" s="5">
        <v>79.61087949176098</v>
      </c>
    </row>
    <row r="292" ht="15.75" customHeight="1">
      <c r="A292" s="5">
        <v>14.0</v>
      </c>
      <c r="B292" s="5">
        <v>2009.0</v>
      </c>
      <c r="C292" s="5">
        <v>4603.26</v>
      </c>
      <c r="D292" s="5">
        <v>1711466.0</v>
      </c>
      <c r="E292" s="5">
        <v>7567.20622975</v>
      </c>
      <c r="F292" s="5">
        <v>7621.559164719045</v>
      </c>
      <c r="G292" s="5">
        <v>4.0</v>
      </c>
      <c r="H292" s="5">
        <v>4.0</v>
      </c>
      <c r="I292" s="5">
        <v>0.608316974619057</v>
      </c>
      <c r="J292" s="5">
        <v>-9.967802144556813</v>
      </c>
      <c r="K292" s="5">
        <v>13.497767332390055</v>
      </c>
      <c r="L292" s="5">
        <v>0.6039787792121261</v>
      </c>
      <c r="M292" s="5">
        <v>-6.1891806754418415</v>
      </c>
      <c r="N292" s="5">
        <v>8.926172036382285</v>
      </c>
      <c r="O292" s="5">
        <v>2.184534446207964</v>
      </c>
      <c r="AA292" s="5">
        <v>19482.0</v>
      </c>
      <c r="AB292" s="5">
        <v>11273.0</v>
      </c>
      <c r="AC292" s="5">
        <v>12.0</v>
      </c>
      <c r="AD292" s="5">
        <v>12.0</v>
      </c>
      <c r="AE292" s="9" t="b">
        <v>1</v>
      </c>
      <c r="AF292" s="9" t="b">
        <v>1</v>
      </c>
      <c r="AG292" s="5">
        <v>6.586750773897934</v>
      </c>
      <c r="AH292" s="5">
        <v>11.383223505462569</v>
      </c>
      <c r="AI292" s="5">
        <v>10052.0</v>
      </c>
      <c r="AJ292" s="5">
        <v>3042.0</v>
      </c>
      <c r="AK292" s="5">
        <v>6.0</v>
      </c>
      <c r="AL292" s="5">
        <v>6.0</v>
      </c>
      <c r="AM292" s="5">
        <v>-75.65036420395421</v>
      </c>
      <c r="AN292" s="5">
        <v>11.108654802697027</v>
      </c>
    </row>
    <row r="293" ht="15.75" customHeight="1">
      <c r="A293" s="5">
        <v>14.0</v>
      </c>
      <c r="B293" s="5">
        <v>2010.0</v>
      </c>
      <c r="C293" s="5">
        <v>4694.47</v>
      </c>
      <c r="D293" s="5">
        <v>1696569.0</v>
      </c>
      <c r="E293" s="5">
        <v>7881.96766764096</v>
      </c>
      <c r="F293" s="5">
        <v>7779.847394804838</v>
      </c>
      <c r="G293" s="5">
        <v>4.0</v>
      </c>
      <c r="H293" s="5">
        <v>4.0</v>
      </c>
      <c r="I293" s="5">
        <v>0.5955962010949273</v>
      </c>
      <c r="J293" s="5">
        <v>4.159546183021878</v>
      </c>
      <c r="K293" s="5">
        <v>-2.0911422917461397</v>
      </c>
      <c r="L293" s="5">
        <v>0.6034141496316283</v>
      </c>
      <c r="M293" s="5">
        <v>2.076848406800069</v>
      </c>
      <c r="N293" s="5">
        <v>-0.09348500310463193</v>
      </c>
      <c r="O293" s="5">
        <v>1.9814218618978696</v>
      </c>
      <c r="P293" s="5">
        <v>9868.0</v>
      </c>
      <c r="Q293" s="5">
        <v>4.0</v>
      </c>
      <c r="R293" s="5">
        <v>9868.0</v>
      </c>
      <c r="S293" s="5">
        <v>4.0</v>
      </c>
      <c r="T293" s="5">
        <v>564061.6000000001</v>
      </c>
      <c r="U293" s="5">
        <v>4.0</v>
      </c>
      <c r="V293" s="5">
        <v>57.16068098905554</v>
      </c>
      <c r="W293" s="9" t="b">
        <v>1</v>
      </c>
      <c r="X293" s="9" t="b">
        <v>1</v>
      </c>
      <c r="Y293" s="5">
        <v>5.816444836608473</v>
      </c>
      <c r="Z293" s="5">
        <v>5.816444836608473</v>
      </c>
      <c r="AA293" s="5">
        <v>12462.0</v>
      </c>
      <c r="AB293" s="5">
        <v>13855.0</v>
      </c>
      <c r="AC293" s="5">
        <v>12.0</v>
      </c>
      <c r="AD293" s="5">
        <v>12.0</v>
      </c>
      <c r="AE293" s="9" t="b">
        <v>1</v>
      </c>
      <c r="AF293" s="9" t="b">
        <v>1</v>
      </c>
      <c r="AG293" s="5">
        <v>8.16648188196295</v>
      </c>
      <c r="AH293" s="5">
        <v>7.345413007074867</v>
      </c>
      <c r="AI293" s="5">
        <v>5631.0</v>
      </c>
      <c r="AJ293" s="5">
        <v>8130.0</v>
      </c>
      <c r="AK293" s="5">
        <v>6.0</v>
      </c>
      <c r="AL293" s="5">
        <v>6.0</v>
      </c>
      <c r="AM293" s="5">
        <v>167.25838264299804</v>
      </c>
      <c r="AN293" s="5">
        <v>-43.98129725427775</v>
      </c>
    </row>
    <row r="294" ht="15.75" customHeight="1">
      <c r="A294" s="5">
        <v>14.0</v>
      </c>
      <c r="B294" s="5">
        <v>2011.0</v>
      </c>
      <c r="C294" s="5">
        <v>4936.36</v>
      </c>
      <c r="D294" s="5">
        <v>1703163.0</v>
      </c>
      <c r="E294" s="5">
        <v>7553.0502174237645</v>
      </c>
      <c r="F294" s="5">
        <v>7821.820598137618</v>
      </c>
      <c r="G294" s="5">
        <v>4.0</v>
      </c>
      <c r="H294" s="5">
        <v>4.0</v>
      </c>
      <c r="I294" s="5">
        <v>0.653558477423141</v>
      </c>
      <c r="J294" s="5">
        <v>-4.173037293308757</v>
      </c>
      <c r="K294" s="5">
        <v>9.731807594080944</v>
      </c>
      <c r="L294" s="5">
        <v>0.6311011532500952</v>
      </c>
      <c r="M294" s="5">
        <v>0.539511910745305</v>
      </c>
      <c r="N294" s="5">
        <v>4.588391511098844</v>
      </c>
      <c r="O294" s="5">
        <v>5.152658340558136</v>
      </c>
      <c r="P294" s="5">
        <v>10801.0</v>
      </c>
      <c r="Q294" s="5">
        <v>4.0</v>
      </c>
      <c r="R294" s="5">
        <v>10799.0</v>
      </c>
      <c r="S294" s="5">
        <v>4.0</v>
      </c>
      <c r="T294" s="5">
        <v>615894.6</v>
      </c>
      <c r="U294" s="5">
        <v>4.0</v>
      </c>
      <c r="V294" s="5">
        <v>57.03255857023798</v>
      </c>
      <c r="W294" s="9" t="b">
        <v>1</v>
      </c>
      <c r="X294" s="9" t="b">
        <v>1</v>
      </c>
      <c r="Y294" s="5">
        <v>6.3417300634173</v>
      </c>
      <c r="Z294" s="5">
        <v>6.3405557776912715</v>
      </c>
      <c r="AA294" s="5">
        <v>9356.0</v>
      </c>
      <c r="AB294" s="5">
        <v>14737.0</v>
      </c>
      <c r="AC294" s="5">
        <v>12.0</v>
      </c>
      <c r="AD294" s="5">
        <v>12.0</v>
      </c>
      <c r="AE294" s="9" t="b">
        <v>1</v>
      </c>
      <c r="AF294" s="9" t="b">
        <v>1</v>
      </c>
      <c r="AG294" s="5">
        <v>8.65272437224153</v>
      </c>
      <c r="AH294" s="5">
        <v>5.4933086263616575</v>
      </c>
      <c r="AI294" s="5">
        <v>3008.0</v>
      </c>
      <c r="AJ294" s="5">
        <v>5955.0</v>
      </c>
      <c r="AK294" s="5">
        <v>6.0</v>
      </c>
      <c r="AL294" s="5">
        <v>6.0</v>
      </c>
      <c r="AM294" s="5">
        <v>-26.75276752767528</v>
      </c>
      <c r="AN294" s="5">
        <v>-46.58142425856864</v>
      </c>
    </row>
    <row r="295" ht="15.75" customHeight="1">
      <c r="A295" s="5">
        <v>14.0</v>
      </c>
      <c r="B295" s="5">
        <v>2012.0</v>
      </c>
      <c r="C295" s="5">
        <v>5077.53</v>
      </c>
      <c r="D295" s="5">
        <v>1711324.0</v>
      </c>
      <c r="E295" s="5">
        <v>6808.112982812018</v>
      </c>
      <c r="F295" s="5">
        <v>7533.085058572175</v>
      </c>
      <c r="G295" s="5">
        <v>4.0</v>
      </c>
      <c r="H295" s="5">
        <v>4.0</v>
      </c>
      <c r="I295" s="5">
        <v>0.7458057780208548</v>
      </c>
      <c r="J295" s="5">
        <v>-9.86273377202348</v>
      </c>
      <c r="K295" s="5">
        <v>14.114620769885455</v>
      </c>
      <c r="L295" s="5">
        <v>0.6740306209900141</v>
      </c>
      <c r="M295" s="5">
        <v>-3.6914109182482613</v>
      </c>
      <c r="N295" s="5">
        <v>6.802311724330923</v>
      </c>
      <c r="O295" s="5">
        <v>2.8597995283974553</v>
      </c>
      <c r="P295" s="5">
        <v>10604.0</v>
      </c>
      <c r="Q295" s="5">
        <v>4.0</v>
      </c>
      <c r="R295" s="5">
        <v>10604.0</v>
      </c>
      <c r="S295" s="5">
        <v>4.0</v>
      </c>
      <c r="T295" s="5">
        <v>618087.2</v>
      </c>
      <c r="U295" s="5">
        <v>4.0</v>
      </c>
      <c r="V295" s="5">
        <v>58.288117691437186</v>
      </c>
      <c r="W295" s="9" t="b">
        <v>1</v>
      </c>
      <c r="X295" s="9" t="b">
        <v>1</v>
      </c>
      <c r="Y295" s="5">
        <v>6.196371931907692</v>
      </c>
      <c r="Z295" s="5">
        <v>6.196371931907692</v>
      </c>
      <c r="AA295" s="5">
        <v>13496.0</v>
      </c>
      <c r="AB295" s="5">
        <v>11797.0</v>
      </c>
      <c r="AC295" s="5">
        <v>12.0</v>
      </c>
      <c r="AD295" s="5">
        <v>12.0</v>
      </c>
      <c r="AE295" s="9" t="b">
        <v>1</v>
      </c>
      <c r="AF295" s="9" t="b">
        <v>1</v>
      </c>
      <c r="AG295" s="5">
        <v>6.893492991391461</v>
      </c>
      <c r="AH295" s="5">
        <v>7.8862915497007</v>
      </c>
      <c r="AI295" s="5">
        <v>6043.0</v>
      </c>
      <c r="AJ295" s="5">
        <v>8574.0</v>
      </c>
      <c r="AK295" s="5">
        <v>6.0</v>
      </c>
      <c r="AL295" s="5">
        <v>6.0</v>
      </c>
      <c r="AM295" s="5">
        <v>43.97984886649875</v>
      </c>
      <c r="AN295" s="5">
        <v>100.89760638297874</v>
      </c>
    </row>
    <row r="296" ht="15.75" customHeight="1">
      <c r="A296" s="5">
        <v>14.0</v>
      </c>
      <c r="B296" s="5">
        <v>2013.0</v>
      </c>
      <c r="C296" s="5">
        <v>5226.05</v>
      </c>
      <c r="D296" s="5">
        <v>1718219.0</v>
      </c>
      <c r="E296" s="5">
        <v>7151.993099338068</v>
      </c>
      <c r="F296" s="5">
        <v>7006.278971603712</v>
      </c>
      <c r="G296" s="5">
        <v>4.0</v>
      </c>
      <c r="H296" s="5">
        <v>4.0</v>
      </c>
      <c r="I296" s="5">
        <v>0.7307123940714767</v>
      </c>
      <c r="J296" s="5">
        <v>5.051034220410555</v>
      </c>
      <c r="K296" s="5">
        <v>-2.0237687068383137</v>
      </c>
      <c r="L296" s="5">
        <v>0.7459094936386433</v>
      </c>
      <c r="M296" s="5">
        <v>-6.993231629171504</v>
      </c>
      <c r="N296" s="5">
        <v>10.664036678786747</v>
      </c>
      <c r="O296" s="5">
        <v>2.92504426364788</v>
      </c>
      <c r="P296" s="5">
        <v>12948.0</v>
      </c>
      <c r="Q296" s="5">
        <v>4.0</v>
      </c>
      <c r="R296" s="5">
        <v>12947.0</v>
      </c>
      <c r="S296" s="5">
        <v>4.0</v>
      </c>
      <c r="T296" s="5">
        <v>757067.1000000001</v>
      </c>
      <c r="U296" s="5">
        <v>4.0</v>
      </c>
      <c r="V296" s="5">
        <v>58.47432609871014</v>
      </c>
      <c r="W296" s="9" t="b">
        <v>1</v>
      </c>
      <c r="X296" s="9" t="b">
        <v>1</v>
      </c>
      <c r="Y296" s="5">
        <v>7.535709941515022</v>
      </c>
      <c r="Z296" s="5">
        <v>7.535127943527571</v>
      </c>
      <c r="AA296" s="5">
        <v>13128.0</v>
      </c>
      <c r="AB296" s="5">
        <v>10475.0</v>
      </c>
      <c r="AC296" s="5">
        <v>12.0</v>
      </c>
      <c r="AD296" s="5">
        <v>12.0</v>
      </c>
      <c r="AE296" s="9" t="b">
        <v>1</v>
      </c>
      <c r="AF296" s="9" t="b">
        <v>1</v>
      </c>
      <c r="AG296" s="5">
        <v>6.096428918548799</v>
      </c>
      <c r="AH296" s="5">
        <v>7.6404695792561945</v>
      </c>
      <c r="AI296" s="5">
        <v>5525.0</v>
      </c>
      <c r="AJ296" s="5">
        <v>5195.0</v>
      </c>
      <c r="AK296" s="5">
        <v>6.0</v>
      </c>
      <c r="AL296" s="5">
        <v>6.0</v>
      </c>
      <c r="AM296" s="5">
        <v>-39.409843713552604</v>
      </c>
      <c r="AN296" s="5">
        <v>-8.571901373489988</v>
      </c>
    </row>
    <row r="297" ht="15.75" customHeight="1">
      <c r="A297" s="5">
        <v>14.0</v>
      </c>
      <c r="B297" s="5">
        <v>2014.0</v>
      </c>
      <c r="C297" s="5">
        <v>5385.8</v>
      </c>
      <c r="D297" s="5">
        <v>1729119.0</v>
      </c>
      <c r="E297" s="5">
        <v>7343.546008924126</v>
      </c>
      <c r="F297" s="5">
        <v>7265.611428506802</v>
      </c>
      <c r="G297" s="5">
        <v>4.0</v>
      </c>
      <c r="H297" s="5">
        <v>4.0</v>
      </c>
      <c r="I297" s="5">
        <v>0.7334059041034118</v>
      </c>
      <c r="J297" s="5">
        <v>2.678315078405036</v>
      </c>
      <c r="K297" s="5">
        <v>0.3686142528563252</v>
      </c>
      <c r="L297" s="5">
        <v>0.7412727824761841</v>
      </c>
      <c r="M297" s="5">
        <v>3.701429217337182</v>
      </c>
      <c r="N297" s="5">
        <v>-0.621618467388152</v>
      </c>
      <c r="O297" s="5">
        <v>3.0568019823767445</v>
      </c>
      <c r="P297" s="5">
        <v>13933.0</v>
      </c>
      <c r="Q297" s="5">
        <v>4.0</v>
      </c>
      <c r="R297" s="5">
        <v>13937.0</v>
      </c>
      <c r="S297" s="5">
        <v>4.0</v>
      </c>
      <c r="T297" s="5">
        <v>818502.5</v>
      </c>
      <c r="U297" s="5">
        <v>4.0</v>
      </c>
      <c r="V297" s="5">
        <v>58.728743632058546</v>
      </c>
      <c r="W297" s="9" t="b">
        <v>1</v>
      </c>
      <c r="X297" s="9" t="b">
        <v>1</v>
      </c>
      <c r="Y297" s="5">
        <v>8.057860679340173</v>
      </c>
      <c r="Z297" s="5">
        <v>8.060173996121724</v>
      </c>
      <c r="AA297" s="5">
        <v>14964.0</v>
      </c>
      <c r="AB297" s="5">
        <v>18340.0</v>
      </c>
      <c r="AC297" s="5">
        <v>12.0</v>
      </c>
      <c r="AD297" s="5">
        <v>12.0</v>
      </c>
      <c r="AE297" s="9" t="b">
        <v>1</v>
      </c>
      <c r="AF297" s="9" t="b">
        <v>1</v>
      </c>
      <c r="AG297" s="5">
        <v>10.606557443414827</v>
      </c>
      <c r="AH297" s="5">
        <v>8.654118079785139</v>
      </c>
      <c r="AI297" s="5">
        <v>6971.0</v>
      </c>
      <c r="AJ297" s="5">
        <v>8088.0</v>
      </c>
      <c r="AK297" s="5">
        <v>6.0</v>
      </c>
      <c r="AL297" s="5">
        <v>6.0</v>
      </c>
      <c r="AM297" s="5">
        <v>55.688161693936465</v>
      </c>
      <c r="AN297" s="5">
        <v>26.17194570135746</v>
      </c>
    </row>
    <row r="298" ht="15.75" customHeight="1">
      <c r="A298" s="5">
        <v>14.0</v>
      </c>
      <c r="B298" s="5">
        <v>2015.0</v>
      </c>
      <c r="C298" s="5">
        <v>5591.46</v>
      </c>
      <c r="D298" s="5">
        <v>1739586.0</v>
      </c>
      <c r="E298" s="5">
        <v>7481.13280363512</v>
      </c>
      <c r="F298" s="5">
        <v>7316.876341126843</v>
      </c>
      <c r="G298" s="5">
        <v>4.0</v>
      </c>
      <c r="H298" s="5">
        <v>4.0</v>
      </c>
      <c r="I298" s="5">
        <v>0.747408199635633</v>
      </c>
      <c r="J298" s="5">
        <v>1.8735743541852035</v>
      </c>
      <c r="K298" s="5">
        <v>1.909215000026343</v>
      </c>
      <c r="L298" s="5">
        <v>0.7641867566589053</v>
      </c>
      <c r="M298" s="5">
        <v>0.7055829110114598</v>
      </c>
      <c r="N298" s="5">
        <v>3.09116626489081</v>
      </c>
      <c r="O298" s="5">
        <v>3.818559916818298</v>
      </c>
      <c r="P298" s="5">
        <v>21919.0</v>
      </c>
      <c r="Q298" s="5">
        <v>4.0</v>
      </c>
      <c r="R298" s="5">
        <v>21912.0</v>
      </c>
      <c r="S298" s="5">
        <v>4.0</v>
      </c>
      <c r="T298" s="5">
        <v>1241074.8</v>
      </c>
      <c r="U298" s="5">
        <v>4.0</v>
      </c>
      <c r="V298" s="5">
        <v>56.639047097480834</v>
      </c>
      <c r="W298" s="9" t="b">
        <v>1</v>
      </c>
      <c r="X298" s="9" t="b">
        <v>1</v>
      </c>
      <c r="Y298" s="5">
        <v>12.600124397414097</v>
      </c>
      <c r="Z298" s="5">
        <v>12.596100451486732</v>
      </c>
      <c r="AA298" s="5">
        <v>13306.0</v>
      </c>
      <c r="AB298" s="5">
        <v>20156.0</v>
      </c>
      <c r="AC298" s="5">
        <v>12.0</v>
      </c>
      <c r="AD298" s="5">
        <v>12.0</v>
      </c>
      <c r="AE298" s="9" t="b">
        <v>1</v>
      </c>
      <c r="AF298" s="9" t="b">
        <v>1</v>
      </c>
      <c r="AG298" s="5">
        <v>11.586664873136481</v>
      </c>
      <c r="AH298" s="5">
        <v>7.64894635850139</v>
      </c>
      <c r="AI298" s="5">
        <v>5717.0</v>
      </c>
      <c r="AJ298" s="5">
        <v>8178.0</v>
      </c>
      <c r="AK298" s="5">
        <v>6.0</v>
      </c>
      <c r="AL298" s="5">
        <v>6.0</v>
      </c>
      <c r="AM298" s="5">
        <v>1.1127596439169052</v>
      </c>
      <c r="AN298" s="5">
        <v>-17.988810787548417</v>
      </c>
    </row>
    <row r="299" ht="15.75" customHeight="1">
      <c r="A299" s="5">
        <v>14.0</v>
      </c>
      <c r="B299" s="5">
        <v>2016.0</v>
      </c>
      <c r="C299" s="5">
        <v>5739.61</v>
      </c>
      <c r="D299" s="5">
        <v>1748916.0</v>
      </c>
      <c r="E299" s="5">
        <v>7651.100429905128</v>
      </c>
      <c r="F299" s="5">
        <v>7470.610265318377</v>
      </c>
      <c r="G299" s="5">
        <v>4.0</v>
      </c>
      <c r="H299" s="5">
        <v>4.0</v>
      </c>
      <c r="I299" s="5">
        <v>0.7501679075556416</v>
      </c>
      <c r="J299" s="5">
        <v>2.2719503948308573</v>
      </c>
      <c r="K299" s="5">
        <v>0.3692370409307699</v>
      </c>
      <c r="L299" s="5">
        <v>0.7682919863515854</v>
      </c>
      <c r="M299" s="5">
        <v>2.1010868166163155</v>
      </c>
      <c r="N299" s="5">
        <v>0.5372024124872921</v>
      </c>
      <c r="O299" s="5">
        <v>2.6495763181709098</v>
      </c>
      <c r="P299" s="5">
        <v>24734.0</v>
      </c>
      <c r="Q299" s="5">
        <v>4.0</v>
      </c>
      <c r="R299" s="5">
        <v>24731.0</v>
      </c>
      <c r="S299" s="5">
        <v>4.0</v>
      </c>
      <c r="T299" s="5">
        <v>1375351.3000000003</v>
      </c>
      <c r="U299" s="5">
        <v>4.0</v>
      </c>
      <c r="V299" s="5">
        <v>55.612441874570386</v>
      </c>
      <c r="W299" s="9" t="b">
        <v>1</v>
      </c>
      <c r="X299" s="9" t="b">
        <v>1</v>
      </c>
      <c r="Y299" s="5">
        <v>14.142474538514142</v>
      </c>
      <c r="Z299" s="5">
        <v>14.140759190264141</v>
      </c>
      <c r="AA299" s="5">
        <v>20119.0</v>
      </c>
      <c r="AB299" s="5">
        <v>21992.0</v>
      </c>
      <c r="AC299" s="5">
        <v>12.0</v>
      </c>
      <c r="AD299" s="5">
        <v>12.0</v>
      </c>
      <c r="AE299" s="9" t="b">
        <v>1</v>
      </c>
      <c r="AF299" s="9" t="b">
        <v>1</v>
      </c>
      <c r="AG299" s="5">
        <v>12.574646238012575</v>
      </c>
      <c r="AH299" s="5">
        <v>11.503697147261503</v>
      </c>
      <c r="AI299" s="5">
        <v>9702.0</v>
      </c>
      <c r="AJ299" s="5">
        <v>10467.0</v>
      </c>
      <c r="AK299" s="5">
        <v>6.0</v>
      </c>
      <c r="AL299" s="5">
        <v>6.0</v>
      </c>
      <c r="AM299" s="5">
        <v>27.989728539985336</v>
      </c>
      <c r="AN299" s="5">
        <v>69.7043904145531</v>
      </c>
    </row>
    <row r="300" ht="15.75" customHeight="1">
      <c r="A300" s="5">
        <v>14.0</v>
      </c>
      <c r="B300" s="5">
        <v>2017.0</v>
      </c>
      <c r="C300" s="5">
        <v>6059.04</v>
      </c>
      <c r="D300" s="5">
        <v>1758143.0</v>
      </c>
      <c r="E300" s="5">
        <v>7703.8566597234485</v>
      </c>
      <c r="F300" s="5">
        <v>7863.855674084382</v>
      </c>
      <c r="G300" s="5">
        <v>4.0</v>
      </c>
      <c r="H300" s="5">
        <v>4.0</v>
      </c>
      <c r="I300" s="5">
        <v>0.786494384257859</v>
      </c>
      <c r="J300" s="5">
        <v>0.6895247330974463</v>
      </c>
      <c r="K300" s="5">
        <v>4.842446115908139</v>
      </c>
      <c r="L300" s="5">
        <v>0.7704922688202154</v>
      </c>
      <c r="M300" s="5">
        <v>5.2638993977722315</v>
      </c>
      <c r="N300" s="5">
        <v>0.2863862317604715</v>
      </c>
      <c r="O300" s="5">
        <v>5.565360712661671</v>
      </c>
      <c r="P300" s="5">
        <v>22997.0</v>
      </c>
      <c r="Q300" s="5">
        <v>4.0</v>
      </c>
      <c r="R300" s="5">
        <v>23289.0</v>
      </c>
      <c r="S300" s="5">
        <v>4.0</v>
      </c>
      <c r="T300" s="5">
        <v>1287772.0</v>
      </c>
      <c r="U300" s="5">
        <v>4.0</v>
      </c>
      <c r="V300" s="5">
        <v>55.29528962170982</v>
      </c>
      <c r="W300" s="9" t="b">
        <v>1</v>
      </c>
      <c r="X300" s="9" t="b">
        <v>1</v>
      </c>
      <c r="Y300" s="5">
        <v>13.08027845289035</v>
      </c>
      <c r="Z300" s="5">
        <v>13.24636278163949</v>
      </c>
      <c r="AA300" s="5">
        <v>20331.0</v>
      </c>
      <c r="AB300" s="5">
        <v>22770.0</v>
      </c>
      <c r="AC300" s="5">
        <v>12.0</v>
      </c>
      <c r="AD300" s="5">
        <v>12.0</v>
      </c>
      <c r="AE300" s="9" t="b">
        <v>1</v>
      </c>
      <c r="AF300" s="9" t="b">
        <v>1</v>
      </c>
      <c r="AG300" s="5">
        <v>12.951164950746326</v>
      </c>
      <c r="AH300" s="5">
        <v>11.563905780132787</v>
      </c>
      <c r="AI300" s="5">
        <v>7692.0</v>
      </c>
      <c r="AJ300" s="5">
        <v>10361.0</v>
      </c>
      <c r="AK300" s="5">
        <v>6.0</v>
      </c>
      <c r="AL300" s="5">
        <v>6.0</v>
      </c>
      <c r="AM300" s="5">
        <v>-1.012706601700586</v>
      </c>
      <c r="AN300" s="5">
        <v>-20.717377860234997</v>
      </c>
    </row>
    <row r="301" ht="15.75" customHeight="1">
      <c r="A301" s="5">
        <v>14.0</v>
      </c>
      <c r="B301" s="5">
        <v>2018.0</v>
      </c>
      <c r="C301" s="5">
        <v>6432.78</v>
      </c>
      <c r="D301" s="5">
        <v>1769529.0</v>
      </c>
      <c r="E301" s="5">
        <v>8312.376988893404</v>
      </c>
      <c r="F301" s="5">
        <v>8409.93232442925</v>
      </c>
      <c r="G301" s="5">
        <v>4.0</v>
      </c>
      <c r="H301" s="5">
        <v>4.0</v>
      </c>
      <c r="I301" s="5">
        <v>0.7738797228031368</v>
      </c>
      <c r="J301" s="5">
        <v>7.898905133468559</v>
      </c>
      <c r="K301" s="5">
        <v>-1.6039099206824559</v>
      </c>
      <c r="L301" s="5">
        <v>0.7649027069235742</v>
      </c>
      <c r="M301" s="5">
        <v>6.944133679163045</v>
      </c>
      <c r="N301" s="5">
        <v>-0.7254533397460294</v>
      </c>
      <c r="O301" s="5">
        <v>6.168303889725091</v>
      </c>
      <c r="P301" s="5">
        <v>22977.0</v>
      </c>
      <c r="Q301" s="5">
        <v>4.0</v>
      </c>
      <c r="R301" s="5">
        <v>23192.0</v>
      </c>
      <c r="S301" s="5">
        <v>4.0</v>
      </c>
      <c r="T301" s="5">
        <v>1317641.7</v>
      </c>
      <c r="U301" s="5">
        <v>4.0</v>
      </c>
      <c r="V301" s="5">
        <v>56.81449206622973</v>
      </c>
      <c r="W301" s="9" t="b">
        <v>1</v>
      </c>
      <c r="X301" s="9" t="b">
        <v>1</v>
      </c>
      <c r="Y301" s="5">
        <v>12.984811212475185</v>
      </c>
      <c r="Z301" s="5">
        <v>13.10631247071961</v>
      </c>
      <c r="AA301" s="5">
        <v>23430.0</v>
      </c>
      <c r="AB301" s="5">
        <v>24245.0</v>
      </c>
      <c r="AC301" s="5">
        <v>12.0</v>
      </c>
      <c r="AD301" s="5">
        <v>12.0</v>
      </c>
      <c r="AE301" s="9" t="b">
        <v>1</v>
      </c>
      <c r="AF301" s="9" t="b">
        <v>1</v>
      </c>
      <c r="AG301" s="5">
        <v>13.70138607505161</v>
      </c>
      <c r="AH301" s="5">
        <v>13.24081153798553</v>
      </c>
      <c r="AI301" s="5">
        <v>9952.0</v>
      </c>
      <c r="AJ301" s="5">
        <v>13259.0</v>
      </c>
      <c r="AK301" s="5">
        <v>6.0</v>
      </c>
      <c r="AL301" s="5">
        <v>6.0</v>
      </c>
      <c r="AM301" s="5">
        <v>27.970273139658342</v>
      </c>
      <c r="AN301" s="5">
        <v>29.38117524700987</v>
      </c>
    </row>
    <row r="302" ht="15.75" customHeight="1">
      <c r="A302" s="5">
        <v>14.0</v>
      </c>
      <c r="B302" s="5">
        <v>2019.0</v>
      </c>
      <c r="C302" s="5">
        <v>6802.6</v>
      </c>
      <c r="D302" s="5">
        <v>1783321.0</v>
      </c>
      <c r="E302" s="5">
        <v>9091.871016886074</v>
      </c>
      <c r="F302" s="5">
        <v>9333.941389949907</v>
      </c>
      <c r="G302" s="5">
        <v>4.0</v>
      </c>
      <c r="H302" s="5">
        <v>4.0</v>
      </c>
      <c r="I302" s="5">
        <v>0.7482068308454579</v>
      </c>
      <c r="J302" s="5">
        <v>9.377510536807865</v>
      </c>
      <c r="K302" s="5">
        <v>-3.3174266234405114</v>
      </c>
      <c r="L302" s="5">
        <v>0.728802519300639</v>
      </c>
      <c r="M302" s="5">
        <v>10.987116541194819</v>
      </c>
      <c r="N302" s="5">
        <v>-4.7195790126210335</v>
      </c>
      <c r="O302" s="5">
        <v>5.748991882203347</v>
      </c>
      <c r="P302" s="5">
        <v>22509.0</v>
      </c>
      <c r="Q302" s="5">
        <v>4.0</v>
      </c>
      <c r="R302" s="5">
        <v>22916.0</v>
      </c>
      <c r="S302" s="5">
        <v>4.0</v>
      </c>
      <c r="T302" s="5">
        <v>1311122.4</v>
      </c>
      <c r="U302" s="5">
        <v>4.0</v>
      </c>
      <c r="V302" s="5">
        <v>57.21427823354861</v>
      </c>
      <c r="W302" s="9" t="b">
        <v>1</v>
      </c>
      <c r="X302" s="9" t="b">
        <v>1</v>
      </c>
      <c r="Y302" s="5">
        <v>12.621956450913773</v>
      </c>
      <c r="Z302" s="5">
        <v>12.850182328363767</v>
      </c>
      <c r="AA302" s="5">
        <v>21599.0</v>
      </c>
      <c r="AB302" s="5">
        <v>22259.0</v>
      </c>
      <c r="AC302" s="5">
        <v>12.0</v>
      </c>
      <c r="AD302" s="5">
        <v>12.0</v>
      </c>
      <c r="AE302" s="9" t="b">
        <v>1</v>
      </c>
      <c r="AF302" s="9" t="b">
        <v>1</v>
      </c>
      <c r="AG302" s="5">
        <v>12.481768565502229</v>
      </c>
      <c r="AH302" s="5">
        <v>12.111672548015752</v>
      </c>
      <c r="AI302" s="5">
        <v>9414.0</v>
      </c>
      <c r="AJ302" s="5">
        <v>9566.0</v>
      </c>
      <c r="AK302" s="5">
        <v>6.0</v>
      </c>
      <c r="AL302" s="5">
        <v>6.0</v>
      </c>
      <c r="AM302" s="5">
        <v>-27.852779244286896</v>
      </c>
      <c r="AN302" s="5">
        <v>-5.405948553054662</v>
      </c>
    </row>
    <row r="303" ht="15.75" customHeight="1">
      <c r="A303" s="5">
        <v>14.0</v>
      </c>
      <c r="B303" s="5">
        <v>2020.0</v>
      </c>
      <c r="C303" s="5">
        <v>7147.46</v>
      </c>
      <c r="D303" s="5">
        <v>1861187.0</v>
      </c>
      <c r="E303" s="5">
        <v>9919.943870483956</v>
      </c>
      <c r="F303" s="5">
        <v>10330.949688118842</v>
      </c>
      <c r="G303" s="5">
        <v>4.0</v>
      </c>
      <c r="H303" s="5">
        <v>4.0</v>
      </c>
      <c r="I303" s="5">
        <v>0.7205141574708631</v>
      </c>
      <c r="J303" s="5">
        <v>9.107837672355057</v>
      </c>
      <c r="K303" s="5">
        <v>-3.7012056336484744</v>
      </c>
      <c r="L303" s="5">
        <v>0.6918492699872472</v>
      </c>
      <c r="M303" s="5">
        <v>10.681535875535285</v>
      </c>
      <c r="N303" s="5">
        <v>-5.070406363146529</v>
      </c>
      <c r="O303" s="5">
        <v>5.069532237673835</v>
      </c>
      <c r="P303" s="5">
        <v>21481.0</v>
      </c>
      <c r="Q303" s="5">
        <v>4.0</v>
      </c>
      <c r="R303" s="5">
        <v>21691.0</v>
      </c>
      <c r="S303" s="5">
        <v>4.0</v>
      </c>
      <c r="T303" s="5">
        <v>1220509.9</v>
      </c>
      <c r="U303" s="5">
        <v>4.0</v>
      </c>
      <c r="V303" s="5">
        <v>56.268032824673824</v>
      </c>
      <c r="W303" s="9" t="b">
        <v>1</v>
      </c>
      <c r="X303" s="9" t="b">
        <v>1</v>
      </c>
      <c r="Y303" s="5">
        <v>11.541559230748978</v>
      </c>
      <c r="Z303" s="5">
        <v>11.654390450825199</v>
      </c>
      <c r="AA303" s="5">
        <v>23543.0</v>
      </c>
      <c r="AB303" s="5">
        <v>15254.0</v>
      </c>
      <c r="AC303" s="5">
        <v>12.0</v>
      </c>
      <c r="AD303" s="5">
        <v>12.0</v>
      </c>
      <c r="AE303" s="9" t="b">
        <v>1</v>
      </c>
      <c r="AF303" s="9" t="b">
        <v>1</v>
      </c>
      <c r="AG303" s="5">
        <v>8.195844909726965</v>
      </c>
      <c r="AH303" s="5">
        <v>12.649454353592626</v>
      </c>
      <c r="AI303" s="5">
        <v>8956.0</v>
      </c>
      <c r="AJ303" s="5">
        <v>6207.0</v>
      </c>
      <c r="AK303" s="5">
        <v>6.0</v>
      </c>
      <c r="AL303" s="5">
        <v>6.0</v>
      </c>
      <c r="AM303" s="5">
        <v>-35.1139452226636</v>
      </c>
      <c r="AN303" s="5">
        <v>-4.865094540046744</v>
      </c>
    </row>
    <row r="304" ht="15.75" customHeight="1">
      <c r="A304" s="5">
        <v>14.0</v>
      </c>
      <c r="B304" s="5">
        <v>2021.0</v>
      </c>
      <c r="C304" s="5">
        <v>7687.58</v>
      </c>
      <c r="D304" s="5">
        <v>1860205.0</v>
      </c>
      <c r="E304" s="5">
        <v>10996.804157088856</v>
      </c>
      <c r="F304" s="5">
        <v>11166.46651199626</v>
      </c>
      <c r="G304" s="5">
        <v>4.0</v>
      </c>
      <c r="H304" s="5">
        <v>4.0</v>
      </c>
      <c r="I304" s="5">
        <v>0.6990740118841131</v>
      </c>
      <c r="J304" s="5">
        <v>10.855507860372239</v>
      </c>
      <c r="K304" s="5">
        <v>-2.9756730474261417</v>
      </c>
      <c r="L304" s="5">
        <v>0.6884523400254814</v>
      </c>
      <c r="M304" s="5">
        <v>8.087512272354846</v>
      </c>
      <c r="N304" s="5">
        <v>-0.49099277965970467</v>
      </c>
      <c r="O304" s="5">
        <v>7.556810391383784</v>
      </c>
      <c r="P304" s="5">
        <v>21089.0</v>
      </c>
      <c r="Q304" s="5">
        <v>4.0</v>
      </c>
      <c r="R304" s="5">
        <v>21286.0</v>
      </c>
      <c r="S304" s="5">
        <v>4.0</v>
      </c>
      <c r="T304" s="5">
        <v>1232689.9</v>
      </c>
      <c r="U304" s="5">
        <v>4.0</v>
      </c>
      <c r="V304" s="5">
        <v>57.91082871370854</v>
      </c>
      <c r="W304" s="9" t="b">
        <v>1</v>
      </c>
      <c r="X304" s="9" t="b">
        <v>1</v>
      </c>
      <c r="Y304" s="5">
        <v>11.33692254348311</v>
      </c>
      <c r="Z304" s="5">
        <v>11.442824849949334</v>
      </c>
      <c r="AA304" s="5">
        <v>18528.0</v>
      </c>
      <c r="AB304" s="5">
        <v>18020.0</v>
      </c>
      <c r="AC304" s="5">
        <v>12.0</v>
      </c>
      <c r="AD304" s="5">
        <v>12.0</v>
      </c>
      <c r="AE304" s="9" t="b">
        <v>1</v>
      </c>
      <c r="AF304" s="9" t="b">
        <v>1</v>
      </c>
      <c r="AG304" s="5">
        <v>9.687104378280887</v>
      </c>
      <c r="AH304" s="5">
        <v>9.960192559422214</v>
      </c>
      <c r="AI304" s="5">
        <v>7624.0</v>
      </c>
      <c r="AJ304" s="5">
        <v>8045.0</v>
      </c>
      <c r="AK304" s="5">
        <v>6.0</v>
      </c>
      <c r="AL304" s="5">
        <v>6.0</v>
      </c>
      <c r="AM304" s="5">
        <v>29.611728693410665</v>
      </c>
      <c r="AN304" s="5">
        <v>-14.872711031710583</v>
      </c>
    </row>
    <row r="305" ht="15.75" customHeight="1">
      <c r="A305" s="5">
        <v>14.0</v>
      </c>
      <c r="B305" s="5">
        <v>2022.0</v>
      </c>
      <c r="C305" s="5">
        <v>8540.11</v>
      </c>
      <c r="D305" s="5">
        <v>1862345.0</v>
      </c>
      <c r="E305" s="5">
        <v>12571.637857339494</v>
      </c>
      <c r="F305" s="5">
        <v>12523.406227838806</v>
      </c>
      <c r="G305" s="5">
        <v>4.0</v>
      </c>
      <c r="H305" s="5">
        <v>4.0</v>
      </c>
      <c r="I305" s="5">
        <v>0.6793156227463367</v>
      </c>
      <c r="J305" s="5">
        <v>14.320830650016214</v>
      </c>
      <c r="K305" s="5">
        <v>-2.8263658499512068</v>
      </c>
      <c r="L305" s="5">
        <v>0.6819318837566597</v>
      </c>
      <c r="M305" s="5">
        <v>12.15191676243126</v>
      </c>
      <c r="N305" s="5">
        <v>-0.9471180341373175</v>
      </c>
      <c r="O305" s="5">
        <v>11.089705733143607</v>
      </c>
      <c r="P305" s="5">
        <v>22565.0</v>
      </c>
      <c r="Q305" s="5">
        <v>4.0</v>
      </c>
      <c r="R305" s="5">
        <v>22754.0</v>
      </c>
      <c r="S305" s="5">
        <v>4.0</v>
      </c>
      <c r="T305" s="5">
        <v>1303203.0</v>
      </c>
      <c r="U305" s="5">
        <v>4.0</v>
      </c>
      <c r="V305" s="5">
        <v>57.27357827195218</v>
      </c>
      <c r="W305" s="9" t="b">
        <v>1</v>
      </c>
      <c r="X305" s="9" t="b">
        <v>1</v>
      </c>
      <c r="Y305" s="5">
        <v>12.116444590019572</v>
      </c>
      <c r="Z305" s="5">
        <v>12.21792954581455</v>
      </c>
      <c r="AA305" s="5">
        <v>15465.0</v>
      </c>
      <c r="AB305" s="5">
        <v>13468.0</v>
      </c>
      <c r="AC305" s="5">
        <v>12.0</v>
      </c>
      <c r="AD305" s="5">
        <v>12.0</v>
      </c>
      <c r="AE305" s="9" t="b">
        <v>1</v>
      </c>
      <c r="AF305" s="9" t="b">
        <v>1</v>
      </c>
      <c r="AG305" s="5">
        <v>7.2317427759088675</v>
      </c>
      <c r="AH305" s="5">
        <v>8.304046779732005</v>
      </c>
      <c r="AI305" s="5">
        <v>5284.0</v>
      </c>
      <c r="AJ305" s="5">
        <v>7858.0</v>
      </c>
      <c r="AK305" s="5">
        <v>6.0</v>
      </c>
      <c r="AL305" s="5">
        <v>6.0</v>
      </c>
      <c r="AM305" s="5">
        <v>-2.324425108763206</v>
      </c>
      <c r="AN305" s="5">
        <v>-30.69254984260231</v>
      </c>
    </row>
    <row r="306" ht="15.75" customHeight="1">
      <c r="A306" s="5">
        <v>14.0</v>
      </c>
      <c r="B306" s="5">
        <v>2023.0</v>
      </c>
      <c r="C306" s="5">
        <v>9625.74</v>
      </c>
      <c r="D306" s="5">
        <v>1861644.0</v>
      </c>
      <c r="E306" s="5">
        <v>13736.17533973361</v>
      </c>
      <c r="F306" s="5">
        <v>13422.407955905697</v>
      </c>
      <c r="G306" s="5">
        <v>4.0</v>
      </c>
      <c r="H306" s="5">
        <v>4.0</v>
      </c>
      <c r="I306" s="5">
        <v>0.7007583815675633</v>
      </c>
      <c r="J306" s="5">
        <v>9.263212125651886</v>
      </c>
      <c r="K306" s="5">
        <v>3.1565237281806935</v>
      </c>
      <c r="L306" s="5">
        <v>0.7171395796955188</v>
      </c>
      <c r="M306" s="5">
        <v>7.178571961264524</v>
      </c>
      <c r="N306" s="5">
        <v>5.162934418743581</v>
      </c>
      <c r="O306" s="5">
        <v>12.71213134257052</v>
      </c>
      <c r="Q306" s="5">
        <v>1.0</v>
      </c>
      <c r="R306" s="5">
        <v>23564.0</v>
      </c>
      <c r="S306" s="5">
        <v>4.0</v>
      </c>
      <c r="T306" s="5">
        <v>1317538.0</v>
      </c>
      <c r="U306" s="5">
        <v>4.0</v>
      </c>
      <c r="V306" s="5">
        <v>55.91317263622475</v>
      </c>
      <c r="W306" s="9" t="b">
        <v>0</v>
      </c>
      <c r="X306" s="9" t="b">
        <v>1</v>
      </c>
      <c r="Z306" s="5">
        <v>12.657629493071715</v>
      </c>
      <c r="AA306" s="5">
        <v>16092.0</v>
      </c>
      <c r="AB306" s="5">
        <v>15465.0</v>
      </c>
      <c r="AC306" s="5">
        <v>12.0</v>
      </c>
      <c r="AD306" s="5">
        <v>12.0</v>
      </c>
      <c r="AE306" s="9" t="b">
        <v>1</v>
      </c>
      <c r="AF306" s="9" t="b">
        <v>1</v>
      </c>
      <c r="AG306" s="5">
        <v>8.307173659410715</v>
      </c>
      <c r="AH306" s="5">
        <v>8.643972746669073</v>
      </c>
      <c r="AI306" s="5">
        <v>8107.0</v>
      </c>
      <c r="AJ306" s="5">
        <v>7748.0</v>
      </c>
      <c r="AK306" s="5">
        <v>6.0</v>
      </c>
      <c r="AL306" s="5">
        <v>6.0</v>
      </c>
      <c r="AM306" s="5">
        <v>-1.3998472893866132</v>
      </c>
      <c r="AN306" s="5">
        <v>53.425435276305834</v>
      </c>
    </row>
    <row r="307" ht="15.75" customHeight="1">
      <c r="A307" s="5">
        <v>14.0</v>
      </c>
      <c r="B307" s="5">
        <v>2024.0</v>
      </c>
      <c r="C307" s="5">
        <v>10714.99</v>
      </c>
      <c r="D307" s="5">
        <v>1862402.0</v>
      </c>
      <c r="E307" s="5">
        <v>16186.920849007482</v>
      </c>
      <c r="F307" s="5">
        <v>16333.40976754156</v>
      </c>
      <c r="G307" s="5">
        <v>4.0</v>
      </c>
      <c r="H307" s="5">
        <v>4.0</v>
      </c>
      <c r="I307" s="5">
        <v>0.6619535673245107</v>
      </c>
      <c r="J307" s="5">
        <v>17.841542122608047</v>
      </c>
      <c r="K307" s="5">
        <v>-5.537545502666418</v>
      </c>
      <c r="L307" s="5">
        <v>0.6560167259927122</v>
      </c>
      <c r="M307" s="5">
        <v>21.68762729607736</v>
      </c>
      <c r="N307" s="5">
        <v>-8.523146042051943</v>
      </c>
      <c r="O307" s="5">
        <v>11.316013106524792</v>
      </c>
      <c r="P307" s="5">
        <v>24405.0</v>
      </c>
      <c r="Q307" s="5">
        <v>4.0</v>
      </c>
      <c r="R307" s="5">
        <v>24395.0</v>
      </c>
      <c r="S307" s="5">
        <v>4.0</v>
      </c>
      <c r="T307" s="5">
        <v>1391185.0</v>
      </c>
      <c r="U307" s="5">
        <v>4.0</v>
      </c>
      <c r="V307" s="5">
        <v>57.02746464439434</v>
      </c>
      <c r="W307" s="9" t="b">
        <v>1</v>
      </c>
      <c r="X307" s="9" t="b">
        <v>1</v>
      </c>
      <c r="Y307" s="5">
        <v>13.104045206137021</v>
      </c>
      <c r="Z307" s="5">
        <v>13.098675796095579</v>
      </c>
      <c r="AA307" s="5">
        <v>14873.0</v>
      </c>
      <c r="AB307" s="5">
        <v>16170.0</v>
      </c>
      <c r="AC307" s="5">
        <v>12.0</v>
      </c>
      <c r="AD307" s="5">
        <v>12.0</v>
      </c>
      <c r="AE307" s="9" t="b">
        <v>1</v>
      </c>
      <c r="AF307" s="9" t="b">
        <v>1</v>
      </c>
      <c r="AG307" s="5">
        <v>8.682336037010268</v>
      </c>
      <c r="AH307" s="5">
        <v>7.985923554635358</v>
      </c>
      <c r="AI307" s="5">
        <v>6211.0</v>
      </c>
      <c r="AJ307" s="5">
        <v>8449.0</v>
      </c>
      <c r="AK307" s="5">
        <v>6.0</v>
      </c>
      <c r="AL307" s="5">
        <v>6.0</v>
      </c>
      <c r="AM307" s="5">
        <v>9.047496128033039</v>
      </c>
      <c r="AN307" s="5">
        <v>-23.387196250154187</v>
      </c>
    </row>
    <row r="308" ht="15.75" customHeight="1">
      <c r="A308" s="5">
        <v>14.0</v>
      </c>
      <c r="B308" s="5">
        <v>2025.0</v>
      </c>
      <c r="C308" s="5">
        <v>11687.95</v>
      </c>
      <c r="D308" s="5">
        <v>1864035.0</v>
      </c>
      <c r="E308" s="5">
        <v>16422.88993069854</v>
      </c>
      <c r="F308" s="5">
        <v>16598.227852904445</v>
      </c>
      <c r="G308" s="5">
        <v>4.0</v>
      </c>
      <c r="H308" s="5">
        <v>4.0</v>
      </c>
      <c r="I308" s="5">
        <v>0.7116865575620928</v>
      </c>
      <c r="J308" s="5">
        <v>1.4577762126113614</v>
      </c>
      <c r="K308" s="5">
        <v>7.5130632558705335</v>
      </c>
      <c r="L308" s="5">
        <v>0.7041685476052061</v>
      </c>
      <c r="M308" s="5">
        <v>1.621327629269076</v>
      </c>
      <c r="N308" s="5">
        <v>7.340029560927497</v>
      </c>
      <c r="O308" s="5">
        <v>9.08036311746443</v>
      </c>
      <c r="AA308" s="5">
        <v>19844.0</v>
      </c>
      <c r="AB308" s="5">
        <v>14399.0</v>
      </c>
      <c r="AC308" s="5">
        <v>12.0</v>
      </c>
      <c r="AD308" s="5">
        <v>12.0</v>
      </c>
      <c r="AE308" s="9" t="b">
        <v>1</v>
      </c>
      <c r="AF308" s="9" t="b">
        <v>1</v>
      </c>
      <c r="AG308" s="5">
        <v>7.724640363512488</v>
      </c>
      <c r="AH308" s="5">
        <v>10.64572285391637</v>
      </c>
      <c r="AI308" s="5">
        <v>8300.0</v>
      </c>
      <c r="AJ308" s="5">
        <v>7003.0</v>
      </c>
      <c r="AK308" s="5">
        <v>6.0</v>
      </c>
      <c r="AL308" s="5">
        <v>6.0</v>
      </c>
      <c r="AM308" s="5">
        <v>-17.11445141436856</v>
      </c>
      <c r="AN308" s="5">
        <v>33.633875382386094</v>
      </c>
    </row>
    <row r="309" ht="15.75" customHeight="1">
      <c r="A309" s="5">
        <v>14.0</v>
      </c>
      <c r="B309" s="5">
        <v>2026.0</v>
      </c>
      <c r="AI309" s="5">
        <v>6867.0</v>
      </c>
      <c r="AJ309" s="5">
        <v>6528.0</v>
      </c>
      <c r="AK309" s="5">
        <v>6.0</v>
      </c>
      <c r="AL309" s="5">
        <v>6.0</v>
      </c>
      <c r="AM309" s="5">
        <v>-6.782807368270738</v>
      </c>
      <c r="AN309" s="5">
        <v>-17.26506024096386</v>
      </c>
    </row>
    <row r="310" ht="15.75" customHeight="1">
      <c r="A310" s="5">
        <v>15.0</v>
      </c>
      <c r="B310" s="5">
        <v>2005.0</v>
      </c>
      <c r="C310" s="5">
        <v>2649.62</v>
      </c>
      <c r="D310" s="5">
        <v>636095.0</v>
      </c>
      <c r="AA310" s="5">
        <v>1979.0</v>
      </c>
      <c r="AB310" s="5">
        <v>1351.0</v>
      </c>
      <c r="AC310" s="5">
        <v>12.0</v>
      </c>
      <c r="AD310" s="5">
        <v>12.0</v>
      </c>
      <c r="AE310" s="9" t="b">
        <v>1</v>
      </c>
      <c r="AF310" s="9" t="b">
        <v>1</v>
      </c>
      <c r="AG310" s="5">
        <v>2.1238965877738387</v>
      </c>
      <c r="AH310" s="5">
        <v>3.111170501261604</v>
      </c>
      <c r="AI310" s="5">
        <v>899.0</v>
      </c>
      <c r="AJ310" s="5">
        <v>899.0</v>
      </c>
      <c r="AK310" s="5">
        <v>6.0</v>
      </c>
      <c r="AL310" s="5">
        <v>6.0</v>
      </c>
    </row>
    <row r="311" ht="15.75" customHeight="1">
      <c r="A311" s="5">
        <v>15.0</v>
      </c>
      <c r="B311" s="5">
        <v>2006.0</v>
      </c>
      <c r="C311" s="5">
        <v>2797.71</v>
      </c>
      <c r="D311" s="5">
        <v>635280.0</v>
      </c>
      <c r="AA311" s="5">
        <v>4379.0</v>
      </c>
      <c r="AB311" s="5">
        <v>3984.0</v>
      </c>
      <c r="AC311" s="5">
        <v>12.0</v>
      </c>
      <c r="AD311" s="5">
        <v>12.0</v>
      </c>
      <c r="AE311" s="9" t="b">
        <v>1</v>
      </c>
      <c r="AF311" s="9" t="b">
        <v>1</v>
      </c>
      <c r="AG311" s="5">
        <v>6.271250472232716</v>
      </c>
      <c r="AH311" s="5">
        <v>6.893023548671452</v>
      </c>
      <c r="AI311" s="5">
        <v>1756.0</v>
      </c>
      <c r="AJ311" s="5">
        <v>459.0</v>
      </c>
      <c r="AK311" s="5">
        <v>6.0</v>
      </c>
      <c r="AL311" s="5">
        <v>6.0</v>
      </c>
      <c r="AM311" s="5">
        <v>-48.94327030033371</v>
      </c>
      <c r="AN311" s="5">
        <v>95.32814238042269</v>
      </c>
    </row>
    <row r="312" ht="15.75" customHeight="1">
      <c r="A312" s="5">
        <v>15.0</v>
      </c>
      <c r="B312" s="5">
        <v>2007.0</v>
      </c>
      <c r="C312" s="5">
        <v>3048.98</v>
      </c>
      <c r="D312" s="5">
        <v>633950.0</v>
      </c>
      <c r="E312" s="5">
        <v>5953.1664068645005</v>
      </c>
      <c r="F312" s="5">
        <v>6132.718906802006</v>
      </c>
      <c r="G312" s="5">
        <v>4.0</v>
      </c>
      <c r="H312" s="5">
        <v>4.0</v>
      </c>
      <c r="I312" s="5">
        <v>0.5121610570946362</v>
      </c>
      <c r="L312" s="5">
        <v>0.49716610957307583</v>
      </c>
      <c r="AA312" s="5">
        <v>3327.0</v>
      </c>
      <c r="AB312" s="5">
        <v>424.0</v>
      </c>
      <c r="AC312" s="5">
        <v>12.0</v>
      </c>
      <c r="AD312" s="5">
        <v>12.0</v>
      </c>
      <c r="AE312" s="9" t="b">
        <v>1</v>
      </c>
      <c r="AF312" s="9" t="b">
        <v>1</v>
      </c>
      <c r="AG312" s="5">
        <v>0.6688224623393012</v>
      </c>
      <c r="AH312" s="5">
        <v>5.248047953308621</v>
      </c>
      <c r="AI312" s="5">
        <v>858.0</v>
      </c>
      <c r="AJ312" s="5">
        <v>212.0</v>
      </c>
      <c r="AK312" s="5">
        <v>6.0</v>
      </c>
      <c r="AL312" s="5">
        <v>6.0</v>
      </c>
      <c r="AM312" s="5">
        <v>-53.812636165577345</v>
      </c>
      <c r="AN312" s="5">
        <v>-51.13895216400911</v>
      </c>
    </row>
    <row r="313" ht="15.75" customHeight="1">
      <c r="A313" s="5">
        <v>15.0</v>
      </c>
      <c r="B313" s="5">
        <v>2008.0</v>
      </c>
      <c r="C313" s="5">
        <v>3415.39</v>
      </c>
      <c r="D313" s="5">
        <v>632803.0</v>
      </c>
      <c r="E313" s="5">
        <v>5505.25</v>
      </c>
      <c r="F313" s="5">
        <v>5985.836704438449</v>
      </c>
      <c r="G313" s="5">
        <v>4.0</v>
      </c>
      <c r="H313" s="5">
        <v>4.0</v>
      </c>
      <c r="I313" s="5">
        <v>0.620387811634349</v>
      </c>
      <c r="J313" s="5">
        <v>-7.524002795352991</v>
      </c>
      <c r="K313" s="5">
        <v>21.131390807738583</v>
      </c>
      <c r="L313" s="5">
        <v>0.5705785454300009</v>
      </c>
      <c r="M313" s="5">
        <v>-2.3950584495344374</v>
      </c>
      <c r="N313" s="5">
        <v>14.766178635942296</v>
      </c>
      <c r="O313" s="5">
        <v>12.017461577314382</v>
      </c>
      <c r="AA313" s="5">
        <v>5287.0</v>
      </c>
      <c r="AB313" s="5">
        <v>5430.0</v>
      </c>
      <c r="AC313" s="5">
        <v>12.0</v>
      </c>
      <c r="AD313" s="5">
        <v>12.0</v>
      </c>
      <c r="AE313" s="9" t="b">
        <v>1</v>
      </c>
      <c r="AF313" s="9" t="b">
        <v>1</v>
      </c>
      <c r="AG313" s="5">
        <v>8.580869559720798</v>
      </c>
      <c r="AH313" s="5">
        <v>8.354890858608446</v>
      </c>
      <c r="AI313" s="5">
        <v>2264.0</v>
      </c>
      <c r="AJ313" s="5">
        <v>3114.0</v>
      </c>
      <c r="AK313" s="5">
        <v>6.0</v>
      </c>
      <c r="AL313" s="5">
        <v>6.0</v>
      </c>
      <c r="AM313" s="5">
        <v>1368.867924528302</v>
      </c>
      <c r="AN313" s="5">
        <v>163.86946386946386</v>
      </c>
    </row>
    <row r="314" ht="15.75" customHeight="1">
      <c r="A314" s="5">
        <v>15.0</v>
      </c>
      <c r="B314" s="5">
        <v>2009.0</v>
      </c>
      <c r="C314" s="5">
        <v>3556.1</v>
      </c>
      <c r="D314" s="5">
        <v>632240.0</v>
      </c>
      <c r="E314" s="5">
        <v>5222.5</v>
      </c>
      <c r="F314" s="5">
        <v>5740.810949017284</v>
      </c>
      <c r="G314" s="5">
        <v>4.0</v>
      </c>
      <c r="H314" s="5">
        <v>4.0</v>
      </c>
      <c r="I314" s="5">
        <v>0.6809191000478698</v>
      </c>
      <c r="J314" s="5">
        <v>-5.136006539212568</v>
      </c>
      <c r="K314" s="5">
        <v>9.757008000214773</v>
      </c>
      <c r="L314" s="5">
        <v>0.6194421017484882</v>
      </c>
      <c r="M314" s="5">
        <v>-4.093425322469624</v>
      </c>
      <c r="N314" s="5">
        <v>8.563861489334945</v>
      </c>
      <c r="O314" s="5">
        <v>4.119880892079686</v>
      </c>
      <c r="AA314" s="5">
        <v>5889.0</v>
      </c>
      <c r="AB314" s="5">
        <v>1986.0</v>
      </c>
      <c r="AC314" s="5">
        <v>12.0</v>
      </c>
      <c r="AD314" s="5">
        <v>12.0</v>
      </c>
      <c r="AE314" s="9" t="b">
        <v>1</v>
      </c>
      <c r="AF314" s="9" t="b">
        <v>1</v>
      </c>
      <c r="AG314" s="5">
        <v>3.1412121978995318</v>
      </c>
      <c r="AH314" s="5">
        <v>9.314500822472478</v>
      </c>
      <c r="AI314" s="5">
        <v>4105.0</v>
      </c>
      <c r="AJ314" s="5">
        <v>1128.0</v>
      </c>
      <c r="AK314" s="5">
        <v>6.0</v>
      </c>
      <c r="AL314" s="5">
        <v>6.0</v>
      </c>
      <c r="AM314" s="5">
        <v>-63.77649325626204</v>
      </c>
      <c r="AN314" s="5">
        <v>81.31625441696113</v>
      </c>
    </row>
    <row r="315" ht="15.75" customHeight="1">
      <c r="A315" s="5">
        <v>15.0</v>
      </c>
      <c r="B315" s="5">
        <v>2010.0</v>
      </c>
      <c r="C315" s="5">
        <v>3675.85</v>
      </c>
      <c r="D315" s="5">
        <v>630256.0</v>
      </c>
      <c r="E315" s="5">
        <v>5728.75</v>
      </c>
      <c r="F315" s="5">
        <v>5754.7391050931055</v>
      </c>
      <c r="G315" s="5">
        <v>4.0</v>
      </c>
      <c r="H315" s="5">
        <v>4.0</v>
      </c>
      <c r="I315" s="5">
        <v>0.6416495745145101</v>
      </c>
      <c r="J315" s="5">
        <v>9.693633317376737</v>
      </c>
      <c r="K315" s="5">
        <v>-5.767135263293244</v>
      </c>
      <c r="L315" s="5">
        <v>0.638751806619134</v>
      </c>
      <c r="M315" s="5">
        <v>0.24261652577508563</v>
      </c>
      <c r="N315" s="5">
        <v>3.117273562152234</v>
      </c>
      <c r="O315" s="5">
        <v>3.367453108742713</v>
      </c>
      <c r="P315" s="5">
        <v>9521.0</v>
      </c>
      <c r="Q315" s="5">
        <v>4.0</v>
      </c>
      <c r="R315" s="5">
        <v>7677.0</v>
      </c>
      <c r="S315" s="5">
        <v>4.0</v>
      </c>
      <c r="T315" s="5">
        <v>425486.4</v>
      </c>
      <c r="U315" s="5">
        <v>4.0</v>
      </c>
      <c r="V315" s="5">
        <v>55.42352481438062</v>
      </c>
      <c r="W315" s="9" t="b">
        <v>1</v>
      </c>
      <c r="X315" s="9" t="b">
        <v>1</v>
      </c>
      <c r="Y315" s="5">
        <v>15.106559874082912</v>
      </c>
      <c r="Z315" s="5">
        <v>12.180764641669418</v>
      </c>
      <c r="AA315" s="5">
        <v>4666.0</v>
      </c>
      <c r="AB315" s="5">
        <v>4724.0</v>
      </c>
      <c r="AC315" s="5">
        <v>12.0</v>
      </c>
      <c r="AD315" s="5">
        <v>12.0</v>
      </c>
      <c r="AE315" s="9" t="b">
        <v>1</v>
      </c>
      <c r="AF315" s="9" t="b">
        <v>1</v>
      </c>
      <c r="AG315" s="5">
        <v>7.495366961996394</v>
      </c>
      <c r="AH315" s="5">
        <v>7.403340864664518</v>
      </c>
      <c r="AI315" s="5">
        <v>2454.0</v>
      </c>
      <c r="AJ315" s="5">
        <v>2276.0</v>
      </c>
      <c r="AK315" s="5">
        <v>6.0</v>
      </c>
      <c r="AL315" s="5">
        <v>6.0</v>
      </c>
      <c r="AM315" s="5">
        <v>101.77304964539009</v>
      </c>
      <c r="AN315" s="5">
        <v>-40.21924482338611</v>
      </c>
    </row>
    <row r="316" ht="15.75" customHeight="1">
      <c r="A316" s="5">
        <v>15.0</v>
      </c>
      <c r="B316" s="5">
        <v>2011.0</v>
      </c>
      <c r="C316" s="5">
        <v>3827.68</v>
      </c>
      <c r="D316" s="5">
        <v>630583.0</v>
      </c>
      <c r="E316" s="5">
        <v>5918.0</v>
      </c>
      <c r="F316" s="5">
        <v>5754.914135237967</v>
      </c>
      <c r="G316" s="5">
        <v>4.0</v>
      </c>
      <c r="H316" s="5">
        <v>4.0</v>
      </c>
      <c r="I316" s="5">
        <v>0.6467860763771545</v>
      </c>
      <c r="J316" s="5">
        <v>3.303512982762391</v>
      </c>
      <c r="K316" s="5">
        <v>0.800515120193257</v>
      </c>
      <c r="L316" s="5">
        <v>0.6651150495126761</v>
      </c>
      <c r="M316" s="5">
        <v>0.0030414957422841837</v>
      </c>
      <c r="N316" s="5">
        <v>4.127306196295666</v>
      </c>
      <c r="O316" s="5">
        <v>4.130473223880182</v>
      </c>
      <c r="P316" s="5">
        <v>9001.0</v>
      </c>
      <c r="Q316" s="5">
        <v>4.0</v>
      </c>
      <c r="R316" s="5">
        <v>7305.0</v>
      </c>
      <c r="S316" s="5">
        <v>4.0</v>
      </c>
      <c r="T316" s="5">
        <v>401319.6</v>
      </c>
      <c r="U316" s="5">
        <v>4.0</v>
      </c>
      <c r="V316" s="5">
        <v>54.937659137577</v>
      </c>
      <c r="W316" s="9" t="b">
        <v>1</v>
      </c>
      <c r="X316" s="9" t="b">
        <v>1</v>
      </c>
      <c r="Y316" s="5">
        <v>14.274092387520755</v>
      </c>
      <c r="Z316" s="5">
        <v>11.584517819224432</v>
      </c>
      <c r="AA316" s="5">
        <v>3752.0</v>
      </c>
      <c r="AB316" s="5">
        <v>7364.0</v>
      </c>
      <c r="AC316" s="5">
        <v>12.0</v>
      </c>
      <c r="AD316" s="5">
        <v>12.0</v>
      </c>
      <c r="AE316" s="9" t="b">
        <v>1</v>
      </c>
      <c r="AF316" s="9" t="b">
        <v>1</v>
      </c>
      <c r="AG316" s="5">
        <v>11.678082028852664</v>
      </c>
      <c r="AH316" s="5">
        <v>5.950049398731016</v>
      </c>
      <c r="AI316" s="5">
        <v>1676.0</v>
      </c>
      <c r="AJ316" s="5">
        <v>2943.0</v>
      </c>
      <c r="AK316" s="5">
        <v>6.0</v>
      </c>
      <c r="AL316" s="5">
        <v>6.0</v>
      </c>
      <c r="AM316" s="5">
        <v>29.30579964850615</v>
      </c>
      <c r="AN316" s="5">
        <v>-31.70334148329258</v>
      </c>
    </row>
    <row r="317" ht="15.75" customHeight="1">
      <c r="A317" s="5">
        <v>15.0</v>
      </c>
      <c r="B317" s="5">
        <v>2012.0</v>
      </c>
      <c r="C317" s="5">
        <v>3923.93</v>
      </c>
      <c r="D317" s="5">
        <v>631377.0</v>
      </c>
      <c r="E317" s="5">
        <v>5632.0</v>
      </c>
      <c r="F317" s="5">
        <v>5389.731384709952</v>
      </c>
      <c r="G317" s="5">
        <v>4.0</v>
      </c>
      <c r="H317" s="5">
        <v>4.0</v>
      </c>
      <c r="I317" s="5">
        <v>0.6967205255681818</v>
      </c>
      <c r="J317" s="5">
        <v>-4.832713754646845</v>
      </c>
      <c r="K317" s="5">
        <v>7.720396436287769</v>
      </c>
      <c r="L317" s="5">
        <v>0.7280381376949021</v>
      </c>
      <c r="M317" s="5">
        <v>-6.345581218874507</v>
      </c>
      <c r="N317" s="5">
        <v>9.460481796093667</v>
      </c>
      <c r="O317" s="5">
        <v>2.5145780211512037</v>
      </c>
      <c r="P317" s="5">
        <v>8819.0</v>
      </c>
      <c r="Q317" s="5">
        <v>4.0</v>
      </c>
      <c r="R317" s="5">
        <v>7252.0</v>
      </c>
      <c r="S317" s="5">
        <v>4.0</v>
      </c>
      <c r="T317" s="5">
        <v>401975.60000000003</v>
      </c>
      <c r="U317" s="5">
        <v>4.0</v>
      </c>
      <c r="V317" s="5">
        <v>55.429619415333704</v>
      </c>
      <c r="W317" s="9" t="b">
        <v>1</v>
      </c>
      <c r="X317" s="9" t="b">
        <v>1</v>
      </c>
      <c r="Y317" s="5">
        <v>13.967882897223054</v>
      </c>
      <c r="Z317" s="5">
        <v>11.486005983746637</v>
      </c>
      <c r="AA317" s="5">
        <v>6676.0</v>
      </c>
      <c r="AB317" s="5">
        <v>4425.0</v>
      </c>
      <c r="AC317" s="5">
        <v>12.0</v>
      </c>
      <c r="AD317" s="5">
        <v>12.0</v>
      </c>
      <c r="AE317" s="9" t="b">
        <v>1</v>
      </c>
      <c r="AF317" s="9" t="b">
        <v>1</v>
      </c>
      <c r="AG317" s="5">
        <v>7.008490964986055</v>
      </c>
      <c r="AH317" s="5">
        <v>10.573714278473876</v>
      </c>
      <c r="AI317" s="5">
        <v>3428.0</v>
      </c>
      <c r="AJ317" s="5">
        <v>2513.0</v>
      </c>
      <c r="AK317" s="5">
        <v>6.0</v>
      </c>
      <c r="AL317" s="5">
        <v>6.0</v>
      </c>
      <c r="AM317" s="5">
        <v>-14.610941216445806</v>
      </c>
      <c r="AN317" s="5">
        <v>104.53460620525061</v>
      </c>
    </row>
    <row r="318" ht="15.75" customHeight="1">
      <c r="A318" s="5">
        <v>15.0</v>
      </c>
      <c r="B318" s="5">
        <v>2013.0</v>
      </c>
      <c r="C318" s="5">
        <v>4129.56</v>
      </c>
      <c r="D318" s="5">
        <v>631263.0</v>
      </c>
      <c r="E318" s="5">
        <v>5582.75</v>
      </c>
      <c r="F318" s="5">
        <v>5036.201025764709</v>
      </c>
      <c r="G318" s="5">
        <v>4.0</v>
      </c>
      <c r="H318" s="5">
        <v>4.0</v>
      </c>
      <c r="I318" s="5">
        <v>0.7396999686534415</v>
      </c>
      <c r="J318" s="5">
        <v>-0.8744673295454586</v>
      </c>
      <c r="K318" s="5">
        <v>6.168821142481717</v>
      </c>
      <c r="L318" s="5">
        <v>0.8199752112502217</v>
      </c>
      <c r="M318" s="5">
        <v>-6.559331694120574</v>
      </c>
      <c r="N318" s="5">
        <v>12.628057349633991</v>
      </c>
      <c r="O318" s="5">
        <v>5.240409487427167</v>
      </c>
      <c r="P318" s="5">
        <v>11730.0</v>
      </c>
      <c r="Q318" s="5">
        <v>4.0</v>
      </c>
      <c r="R318" s="5">
        <v>10251.0</v>
      </c>
      <c r="S318" s="5">
        <v>4.0</v>
      </c>
      <c r="T318" s="5">
        <v>563782.6</v>
      </c>
      <c r="U318" s="5">
        <v>4.0</v>
      </c>
      <c r="V318" s="5">
        <v>54.997814847331966</v>
      </c>
      <c r="W318" s="9" t="b">
        <v>1</v>
      </c>
      <c r="X318" s="9" t="b">
        <v>1</v>
      </c>
      <c r="Y318" s="5">
        <v>18.581795543220494</v>
      </c>
      <c r="Z318" s="5">
        <v>16.23887349646661</v>
      </c>
      <c r="AA318" s="5">
        <v>7839.0</v>
      </c>
      <c r="AB318" s="5">
        <v>5242.0</v>
      </c>
      <c r="AC318" s="5">
        <v>12.0</v>
      </c>
      <c r="AD318" s="5">
        <v>12.0</v>
      </c>
      <c r="AE318" s="9" t="b">
        <v>1</v>
      </c>
      <c r="AF318" s="9" t="b">
        <v>1</v>
      </c>
      <c r="AG318" s="5">
        <v>8.3039874030317</v>
      </c>
      <c r="AH318" s="5">
        <v>12.417962085533288</v>
      </c>
      <c r="AI318" s="5">
        <v>4080.0</v>
      </c>
      <c r="AJ318" s="5">
        <v>1359.0</v>
      </c>
      <c r="AK318" s="5">
        <v>6.0</v>
      </c>
      <c r="AL318" s="5">
        <v>6.0</v>
      </c>
      <c r="AM318" s="5">
        <v>-45.92120970951055</v>
      </c>
      <c r="AN318" s="5">
        <v>19.019836639439912</v>
      </c>
    </row>
    <row r="319" ht="15.75" customHeight="1">
      <c r="A319" s="5">
        <v>15.0</v>
      </c>
      <c r="B319" s="5">
        <v>2014.0</v>
      </c>
      <c r="C319" s="5">
        <v>4337.99</v>
      </c>
      <c r="D319" s="5">
        <v>633105.0</v>
      </c>
      <c r="E319" s="5">
        <v>5810.5</v>
      </c>
      <c r="F319" s="5">
        <v>5131.565490239359</v>
      </c>
      <c r="G319" s="5">
        <v>4.0</v>
      </c>
      <c r="H319" s="5">
        <v>4.0</v>
      </c>
      <c r="I319" s="5">
        <v>0.746577747181826</v>
      </c>
      <c r="J319" s="5">
        <v>4.079530697237033</v>
      </c>
      <c r="K319" s="5">
        <v>0.9298065188382942</v>
      </c>
      <c r="L319" s="5">
        <v>0.8453541143051175</v>
      </c>
      <c r="M319" s="5">
        <v>1.8935793862630668</v>
      </c>
      <c r="N319" s="5">
        <v>3.095081742312744</v>
      </c>
      <c r="O319" s="5">
        <v>5.047268958436235</v>
      </c>
      <c r="P319" s="5">
        <v>9449.0</v>
      </c>
      <c r="Q319" s="5">
        <v>4.0</v>
      </c>
      <c r="R319" s="5">
        <v>8441.0</v>
      </c>
      <c r="S319" s="5">
        <v>4.0</v>
      </c>
      <c r="T319" s="5">
        <v>468124.30000000005</v>
      </c>
      <c r="U319" s="5">
        <v>4.0</v>
      </c>
      <c r="V319" s="5">
        <v>55.45839355526597</v>
      </c>
      <c r="W319" s="9" t="b">
        <v>1</v>
      </c>
      <c r="X319" s="9" t="b">
        <v>1</v>
      </c>
      <c r="Y319" s="5">
        <v>14.924854487012423</v>
      </c>
      <c r="Z319" s="5">
        <v>13.332701526603012</v>
      </c>
      <c r="AA319" s="5">
        <v>5935.0</v>
      </c>
      <c r="AB319" s="5">
        <v>6191.0</v>
      </c>
      <c r="AC319" s="5">
        <v>12.0</v>
      </c>
      <c r="AD319" s="5">
        <v>12.0</v>
      </c>
      <c r="AE319" s="9" t="b">
        <v>1</v>
      </c>
      <c r="AF319" s="9" t="b">
        <v>1</v>
      </c>
      <c r="AG319" s="5">
        <v>9.77878866854629</v>
      </c>
      <c r="AH319" s="5">
        <v>9.374432361140727</v>
      </c>
      <c r="AI319" s="5">
        <v>2833.0</v>
      </c>
      <c r="AJ319" s="5">
        <v>2810.0</v>
      </c>
      <c r="AK319" s="5">
        <v>6.0</v>
      </c>
      <c r="AL319" s="5">
        <v>6.0</v>
      </c>
      <c r="AM319" s="5">
        <v>106.76968359087566</v>
      </c>
      <c r="AN319" s="5">
        <v>-30.56372549019608</v>
      </c>
    </row>
    <row r="320" ht="15.75" customHeight="1">
      <c r="A320" s="5">
        <v>15.0</v>
      </c>
      <c r="B320" s="5">
        <v>2015.0</v>
      </c>
      <c r="C320" s="5">
        <v>4569.88</v>
      </c>
      <c r="D320" s="5">
        <v>634404.0</v>
      </c>
      <c r="E320" s="5">
        <v>6052.25</v>
      </c>
      <c r="F320" s="5">
        <v>5164.62363352395</v>
      </c>
      <c r="G320" s="5">
        <v>4.0</v>
      </c>
      <c r="H320" s="5">
        <v>4.0</v>
      </c>
      <c r="I320" s="5">
        <v>0.7550712544921311</v>
      </c>
      <c r="J320" s="5">
        <v>4.160571379399358</v>
      </c>
      <c r="K320" s="5">
        <v>1.137658782674178</v>
      </c>
      <c r="L320" s="5">
        <v>0.8848427928681143</v>
      </c>
      <c r="M320" s="5">
        <v>0.6442116610899884</v>
      </c>
      <c r="N320" s="5">
        <v>4.67125881269963</v>
      </c>
      <c r="O320" s="5">
        <v>5.345563267780706</v>
      </c>
      <c r="P320" s="5">
        <v>11055.0</v>
      </c>
      <c r="Q320" s="5">
        <v>4.0</v>
      </c>
      <c r="R320" s="5">
        <v>10190.0</v>
      </c>
      <c r="S320" s="5">
        <v>4.0</v>
      </c>
      <c r="T320" s="5">
        <v>556900.5</v>
      </c>
      <c r="U320" s="5">
        <v>4.0</v>
      </c>
      <c r="V320" s="5">
        <v>54.651668302257114</v>
      </c>
      <c r="W320" s="9" t="b">
        <v>1</v>
      </c>
      <c r="X320" s="9" t="b">
        <v>1</v>
      </c>
      <c r="Y320" s="5">
        <v>17.425804377021585</v>
      </c>
      <c r="Z320" s="5">
        <v>16.06231990971053</v>
      </c>
      <c r="AA320" s="5">
        <v>6671.0</v>
      </c>
      <c r="AB320" s="5">
        <v>9422.0</v>
      </c>
      <c r="AC320" s="5">
        <v>12.0</v>
      </c>
      <c r="AD320" s="5">
        <v>12.0</v>
      </c>
      <c r="AE320" s="9" t="b">
        <v>1</v>
      </c>
      <c r="AF320" s="9" t="b">
        <v>1</v>
      </c>
      <c r="AG320" s="5">
        <v>14.851734856652858</v>
      </c>
      <c r="AH320" s="5">
        <v>10.515381365817365</v>
      </c>
      <c r="AI320" s="5">
        <v>2477.0</v>
      </c>
      <c r="AJ320" s="5">
        <v>3721.0</v>
      </c>
      <c r="AK320" s="5">
        <v>6.0</v>
      </c>
      <c r="AL320" s="5">
        <v>6.0</v>
      </c>
      <c r="AM320" s="5">
        <v>32.41992882562277</v>
      </c>
      <c r="AN320" s="5">
        <v>-12.566184256971413</v>
      </c>
    </row>
    <row r="321" ht="15.75" customHeight="1">
      <c r="A321" s="5">
        <v>15.0</v>
      </c>
      <c r="B321" s="5">
        <v>2016.0</v>
      </c>
      <c r="C321" s="5">
        <v>4800.54</v>
      </c>
      <c r="D321" s="5">
        <v>637075.0</v>
      </c>
      <c r="E321" s="5">
        <v>6134.0</v>
      </c>
      <c r="F321" s="5">
        <v>5333.483031296741</v>
      </c>
      <c r="G321" s="5">
        <v>4.0</v>
      </c>
      <c r="H321" s="5">
        <v>4.0</v>
      </c>
      <c r="I321" s="5">
        <v>0.7826116726442778</v>
      </c>
      <c r="J321" s="5">
        <v>1.3507373290924773</v>
      </c>
      <c r="K321" s="5">
        <v>3.647393274250743</v>
      </c>
      <c r="L321" s="5">
        <v>0.9000759863358626</v>
      </c>
      <c r="M321" s="5">
        <v>3.269539268586996</v>
      </c>
      <c r="N321" s="5">
        <v>1.721570610116152</v>
      </c>
      <c r="O321" s="5">
        <v>5.047397305837342</v>
      </c>
      <c r="P321" s="5">
        <v>12792.0</v>
      </c>
      <c r="Q321" s="5">
        <v>4.0</v>
      </c>
      <c r="R321" s="5">
        <v>12143.0</v>
      </c>
      <c r="S321" s="5">
        <v>4.0</v>
      </c>
      <c r="T321" s="5">
        <v>669644.1</v>
      </c>
      <c r="U321" s="5">
        <v>4.0</v>
      </c>
      <c r="V321" s="5">
        <v>55.14651239397183</v>
      </c>
      <c r="W321" s="9" t="b">
        <v>1</v>
      </c>
      <c r="X321" s="9" t="b">
        <v>1</v>
      </c>
      <c r="Y321" s="5">
        <v>20.079268531962484</v>
      </c>
      <c r="Z321" s="5">
        <v>19.060550170702037</v>
      </c>
      <c r="AA321" s="5">
        <v>8475.0</v>
      </c>
      <c r="AB321" s="5">
        <v>9205.0</v>
      </c>
      <c r="AC321" s="5">
        <v>12.0</v>
      </c>
      <c r="AD321" s="5">
        <v>12.0</v>
      </c>
      <c r="AE321" s="9" t="b">
        <v>1</v>
      </c>
      <c r="AF321" s="9" t="b">
        <v>1</v>
      </c>
      <c r="AG321" s="5">
        <v>14.448848251775694</v>
      </c>
      <c r="AH321" s="5">
        <v>13.302986304595219</v>
      </c>
      <c r="AI321" s="5">
        <v>4648.0</v>
      </c>
      <c r="AJ321" s="5">
        <v>4199.0</v>
      </c>
      <c r="AK321" s="5">
        <v>6.0</v>
      </c>
      <c r="AL321" s="5">
        <v>6.0</v>
      </c>
      <c r="AM321" s="5">
        <v>12.846009137328673</v>
      </c>
      <c r="AN321" s="5">
        <v>87.64634638675817</v>
      </c>
    </row>
    <row r="322" ht="15.75" customHeight="1">
      <c r="A322" s="5">
        <v>15.0</v>
      </c>
      <c r="B322" s="5">
        <v>2017.0</v>
      </c>
      <c r="C322" s="5">
        <v>5070.35</v>
      </c>
      <c r="D322" s="5">
        <v>638364.0</v>
      </c>
      <c r="E322" s="5">
        <v>6318.0</v>
      </c>
      <c r="F322" s="5">
        <v>5608.236598303137</v>
      </c>
      <c r="G322" s="5">
        <v>4.0</v>
      </c>
      <c r="H322" s="5">
        <v>4.0</v>
      </c>
      <c r="I322" s="5">
        <v>0.8025245330800886</v>
      </c>
      <c r="J322" s="5">
        <v>2.999673948483861</v>
      </c>
      <c r="K322" s="5">
        <v>2.5444113769131027</v>
      </c>
      <c r="L322" s="5">
        <v>0.9040898883499525</v>
      </c>
      <c r="M322" s="5">
        <v>5.151484787598459</v>
      </c>
      <c r="N322" s="5">
        <v>0.445951461323868</v>
      </c>
      <c r="O322" s="5">
        <v>5.620409370612478</v>
      </c>
      <c r="P322" s="5">
        <v>12575.0</v>
      </c>
      <c r="Q322" s="5">
        <v>4.0</v>
      </c>
      <c r="R322" s="5">
        <v>12045.0</v>
      </c>
      <c r="S322" s="5">
        <v>4.0</v>
      </c>
      <c r="T322" s="5">
        <v>661466.0</v>
      </c>
      <c r="U322" s="5">
        <v>4.0</v>
      </c>
      <c r="V322" s="5">
        <v>54.91623080116231</v>
      </c>
      <c r="W322" s="9" t="b">
        <v>1</v>
      </c>
      <c r="X322" s="9" t="b">
        <v>1</v>
      </c>
      <c r="Y322" s="5">
        <v>19.698792538426353</v>
      </c>
      <c r="Z322" s="5">
        <v>18.86854521871534</v>
      </c>
      <c r="AA322" s="5">
        <v>8844.0</v>
      </c>
      <c r="AB322" s="5">
        <v>10276.0</v>
      </c>
      <c r="AC322" s="5">
        <v>12.0</v>
      </c>
      <c r="AD322" s="5">
        <v>12.0</v>
      </c>
      <c r="AE322" s="9" t="b">
        <v>1</v>
      </c>
      <c r="AF322" s="9" t="b">
        <v>1</v>
      </c>
      <c r="AG322" s="5">
        <v>16.09739897613274</v>
      </c>
      <c r="AH322" s="5">
        <v>13.854164708536196</v>
      </c>
      <c r="AI322" s="5">
        <v>3381.0</v>
      </c>
      <c r="AJ322" s="5">
        <v>5298.0</v>
      </c>
      <c r="AK322" s="5">
        <v>6.0</v>
      </c>
      <c r="AL322" s="5">
        <v>6.0</v>
      </c>
      <c r="AM322" s="5">
        <v>26.172898309121216</v>
      </c>
      <c r="AN322" s="5">
        <v>-27.259036144578307</v>
      </c>
    </row>
    <row r="323" ht="15.75" customHeight="1">
      <c r="A323" s="5">
        <v>15.0</v>
      </c>
      <c r="B323" s="5">
        <v>2018.0</v>
      </c>
      <c r="C323" s="5">
        <v>5338.47</v>
      </c>
      <c r="D323" s="5">
        <v>639258.0</v>
      </c>
      <c r="E323" s="5">
        <v>6703.5</v>
      </c>
      <c r="F323" s="5">
        <v>6159.398781799963</v>
      </c>
      <c r="G323" s="5">
        <v>4.0</v>
      </c>
      <c r="H323" s="5">
        <v>4.0</v>
      </c>
      <c r="I323" s="5">
        <v>0.7963705526963527</v>
      </c>
      <c r="J323" s="5">
        <v>6.101614434947766</v>
      </c>
      <c r="K323" s="5">
        <v>-0.766827695611616</v>
      </c>
      <c r="L323" s="5">
        <v>0.866719332376128</v>
      </c>
      <c r="M323" s="5">
        <v>9.827727019640896</v>
      </c>
      <c r="N323" s="5">
        <v>-4.133500048543759</v>
      </c>
      <c r="O323" s="5">
        <v>5.2879978699695185</v>
      </c>
      <c r="P323" s="5">
        <v>12995.0</v>
      </c>
      <c r="Q323" s="5">
        <v>4.0</v>
      </c>
      <c r="R323" s="5">
        <v>12425.0</v>
      </c>
      <c r="S323" s="5">
        <v>4.0</v>
      </c>
      <c r="T323" s="5">
        <v>697228.1</v>
      </c>
      <c r="U323" s="5">
        <v>4.0</v>
      </c>
      <c r="V323" s="5">
        <v>56.11493762575453</v>
      </c>
      <c r="W323" s="9" t="b">
        <v>1</v>
      </c>
      <c r="X323" s="9" t="b">
        <v>1</v>
      </c>
      <c r="Y323" s="5">
        <v>20.328255571302982</v>
      </c>
      <c r="Z323" s="5">
        <v>19.436596804420123</v>
      </c>
      <c r="AA323" s="5">
        <v>9444.0</v>
      </c>
      <c r="AB323" s="5">
        <v>10997.0</v>
      </c>
      <c r="AC323" s="5">
        <v>12.0</v>
      </c>
      <c r="AD323" s="5">
        <v>12.0</v>
      </c>
      <c r="AE323" s="9" t="b">
        <v>1</v>
      </c>
      <c r="AF323" s="9" t="b">
        <v>1</v>
      </c>
      <c r="AG323" s="5">
        <v>17.202756946334656</v>
      </c>
      <c r="AH323" s="5">
        <v>14.773377884985406</v>
      </c>
      <c r="AI323" s="5">
        <v>4293.0</v>
      </c>
      <c r="AJ323" s="5">
        <v>6013.0</v>
      </c>
      <c r="AK323" s="5">
        <v>6.0</v>
      </c>
      <c r="AL323" s="5">
        <v>6.0</v>
      </c>
      <c r="AM323" s="5">
        <v>13.495658739146844</v>
      </c>
      <c r="AN323" s="5">
        <v>26.974267968056797</v>
      </c>
    </row>
    <row r="324" ht="15.75" customHeight="1">
      <c r="A324" s="5">
        <v>15.0</v>
      </c>
      <c r="B324" s="5">
        <v>2019.0</v>
      </c>
      <c r="C324" s="5">
        <v>5757.54</v>
      </c>
      <c r="D324" s="5">
        <v>641607.0</v>
      </c>
      <c r="E324" s="5">
        <v>7440.517516024908</v>
      </c>
      <c r="F324" s="5">
        <v>6770.232636060594</v>
      </c>
      <c r="G324" s="5">
        <v>4.0</v>
      </c>
      <c r="H324" s="5">
        <v>4.0</v>
      </c>
      <c r="I324" s="5">
        <v>0.7738090781454087</v>
      </c>
      <c r="J324" s="5">
        <v>10.994518028267454</v>
      </c>
      <c r="K324" s="5">
        <v>-2.833037268210803</v>
      </c>
      <c r="L324" s="5">
        <v>0.8504198170877255</v>
      </c>
      <c r="M324" s="5">
        <v>9.917101910425853</v>
      </c>
      <c r="N324" s="5">
        <v>-1.8805990220290836</v>
      </c>
      <c r="O324" s="5">
        <v>7.8500019668556575</v>
      </c>
      <c r="P324" s="5">
        <v>12518.0</v>
      </c>
      <c r="Q324" s="5">
        <v>4.0</v>
      </c>
      <c r="R324" s="5">
        <v>12250.0</v>
      </c>
      <c r="S324" s="5">
        <v>4.0</v>
      </c>
      <c r="T324" s="5">
        <v>669980.7</v>
      </c>
      <c r="U324" s="5">
        <v>4.0</v>
      </c>
      <c r="V324" s="5">
        <v>54.69230204081632</v>
      </c>
      <c r="W324" s="9" t="b">
        <v>1</v>
      </c>
      <c r="X324" s="9" t="b">
        <v>1</v>
      </c>
      <c r="Y324" s="5">
        <v>19.510385641054416</v>
      </c>
      <c r="Z324" s="5">
        <v>19.092684462607174</v>
      </c>
      <c r="AA324" s="5">
        <v>11400.0</v>
      </c>
      <c r="AB324" s="5">
        <v>12107.0</v>
      </c>
      <c r="AC324" s="5">
        <v>12.0</v>
      </c>
      <c r="AD324" s="5">
        <v>12.0</v>
      </c>
      <c r="AE324" s="9" t="b">
        <v>1</v>
      </c>
      <c r="AF324" s="9" t="b">
        <v>1</v>
      </c>
      <c r="AG324" s="5">
        <v>18.86980659500286</v>
      </c>
      <c r="AH324" s="5">
        <v>17.767885948875247</v>
      </c>
      <c r="AI324" s="5">
        <v>4416.0</v>
      </c>
      <c r="AJ324" s="5">
        <v>6225.0</v>
      </c>
      <c r="AK324" s="5">
        <v>6.0</v>
      </c>
      <c r="AL324" s="5">
        <v>6.0</v>
      </c>
      <c r="AM324" s="5">
        <v>3.525694328953932</v>
      </c>
      <c r="AN324" s="5">
        <v>2.8651292802236217</v>
      </c>
    </row>
    <row r="325" ht="15.75" customHeight="1">
      <c r="A325" s="5">
        <v>15.0</v>
      </c>
      <c r="B325" s="5">
        <v>2020.0</v>
      </c>
      <c r="C325" s="5">
        <v>6140.64</v>
      </c>
      <c r="D325" s="5">
        <v>675446.0</v>
      </c>
      <c r="E325" s="5">
        <v>8184.119703790704</v>
      </c>
      <c r="F325" s="5">
        <v>7901.8128571567995</v>
      </c>
      <c r="G325" s="5">
        <v>4.0</v>
      </c>
      <c r="H325" s="5">
        <v>4.0</v>
      </c>
      <c r="I325" s="5">
        <v>0.7503116061652655</v>
      </c>
      <c r="J325" s="5">
        <v>9.993957895593585</v>
      </c>
      <c r="K325" s="5">
        <v>-3.036598127855994</v>
      </c>
      <c r="L325" s="5">
        <v>0.7771178729496642</v>
      </c>
      <c r="M325" s="5">
        <v>16.7140522626803</v>
      </c>
      <c r="N325" s="5">
        <v>-8.619500941203938</v>
      </c>
      <c r="O325" s="5">
        <v>6.653883429381313</v>
      </c>
      <c r="P325" s="5">
        <v>6879.0</v>
      </c>
      <c r="Q325" s="5">
        <v>4.0</v>
      </c>
      <c r="R325" s="5">
        <v>6762.0</v>
      </c>
      <c r="S325" s="5">
        <v>4.0</v>
      </c>
      <c r="T325" s="5">
        <v>364423.30000000005</v>
      </c>
      <c r="U325" s="5">
        <v>4.0</v>
      </c>
      <c r="V325" s="5">
        <v>53.892827565808936</v>
      </c>
      <c r="W325" s="9" t="b">
        <v>1</v>
      </c>
      <c r="X325" s="9" t="b">
        <v>1</v>
      </c>
      <c r="Y325" s="5">
        <v>10.184381875086979</v>
      </c>
      <c r="Z325" s="5">
        <v>10.011162994525098</v>
      </c>
      <c r="AA325" s="5">
        <v>11010.0</v>
      </c>
      <c r="AB325" s="5">
        <v>7605.0</v>
      </c>
      <c r="AC325" s="5">
        <v>12.0</v>
      </c>
      <c r="AD325" s="5">
        <v>12.0</v>
      </c>
      <c r="AE325" s="9" t="b">
        <v>1</v>
      </c>
      <c r="AF325" s="9" t="b">
        <v>1</v>
      </c>
      <c r="AG325" s="5">
        <v>11.25922723652224</v>
      </c>
      <c r="AH325" s="5">
        <v>16.300340811848766</v>
      </c>
      <c r="AI325" s="5">
        <v>5170.0</v>
      </c>
      <c r="AJ325" s="5">
        <v>2763.0</v>
      </c>
      <c r="AK325" s="5">
        <v>6.0</v>
      </c>
      <c r="AL325" s="5">
        <v>6.0</v>
      </c>
      <c r="AM325" s="5">
        <v>-55.6144578313253</v>
      </c>
      <c r="AN325" s="5">
        <v>17.074275362318847</v>
      </c>
    </row>
    <row r="326" ht="15.75" customHeight="1">
      <c r="A326" s="5">
        <v>15.0</v>
      </c>
      <c r="B326" s="5">
        <v>2021.0</v>
      </c>
      <c r="C326" s="5">
        <v>6693.9</v>
      </c>
      <c r="D326" s="5">
        <v>672826.0</v>
      </c>
      <c r="E326" s="5">
        <v>8849.718702494516</v>
      </c>
      <c r="F326" s="5">
        <v>8686.308434218994</v>
      </c>
      <c r="G326" s="5">
        <v>4.0</v>
      </c>
      <c r="H326" s="5">
        <v>4.0</v>
      </c>
      <c r="I326" s="5">
        <v>0.75639692345398</v>
      </c>
      <c r="J326" s="5">
        <v>8.132811136615237</v>
      </c>
      <c r="K326" s="5">
        <v>0.8110386722945284</v>
      </c>
      <c r="L326" s="5">
        <v>0.7706265614089794</v>
      </c>
      <c r="M326" s="5">
        <v>9.928045516183847</v>
      </c>
      <c r="N326" s="5">
        <v>-0.8353059126083417</v>
      </c>
      <c r="O326" s="5">
        <v>9.00981005237238</v>
      </c>
      <c r="P326" s="5">
        <v>16386.0</v>
      </c>
      <c r="Q326" s="5">
        <v>4.0</v>
      </c>
      <c r="R326" s="5">
        <v>16380.0</v>
      </c>
      <c r="S326" s="5">
        <v>4.0</v>
      </c>
      <c r="T326" s="5">
        <v>905336.1</v>
      </c>
      <c r="U326" s="5">
        <v>4.0</v>
      </c>
      <c r="V326" s="5">
        <v>55.270824175824174</v>
      </c>
      <c r="W326" s="9" t="b">
        <v>1</v>
      </c>
      <c r="X326" s="9" t="b">
        <v>1</v>
      </c>
      <c r="Y326" s="5">
        <v>24.35399345447411</v>
      </c>
      <c r="Z326" s="5">
        <v>24.345075844274746</v>
      </c>
      <c r="AA326" s="5">
        <v>11012.0</v>
      </c>
      <c r="AB326" s="5">
        <v>9518.0</v>
      </c>
      <c r="AC326" s="5">
        <v>12.0</v>
      </c>
      <c r="AD326" s="5">
        <v>12.0</v>
      </c>
      <c r="AE326" s="9" t="b">
        <v>1</v>
      </c>
      <c r="AF326" s="9" t="b">
        <v>1</v>
      </c>
      <c r="AG326" s="5">
        <v>14.146302312930832</v>
      </c>
      <c r="AH326" s="5">
        <v>16.366787252573474</v>
      </c>
      <c r="AI326" s="5">
        <v>5456.0</v>
      </c>
      <c r="AJ326" s="5">
        <v>4160.0</v>
      </c>
      <c r="AK326" s="5">
        <v>6.0</v>
      </c>
      <c r="AL326" s="5">
        <v>6.0</v>
      </c>
      <c r="AM326" s="5">
        <v>50.56098443720594</v>
      </c>
      <c r="AN326" s="5">
        <v>5.531914893617018</v>
      </c>
    </row>
    <row r="327" ht="15.75" customHeight="1">
      <c r="A327" s="5">
        <v>15.0</v>
      </c>
      <c r="B327" s="5">
        <v>2022.0</v>
      </c>
      <c r="C327" s="5">
        <v>7391.95</v>
      </c>
      <c r="D327" s="5">
        <v>673923.0</v>
      </c>
      <c r="E327" s="5">
        <v>10334.928488901114</v>
      </c>
      <c r="F327" s="5">
        <v>10031.171468595705</v>
      </c>
      <c r="G327" s="5">
        <v>4.0</v>
      </c>
      <c r="H327" s="5">
        <v>4.0</v>
      </c>
      <c r="I327" s="5">
        <v>0.7152395885407782</v>
      </c>
      <c r="J327" s="5">
        <v>16.78256491913075</v>
      </c>
      <c r="K327" s="5">
        <v>-5.441235102499187</v>
      </c>
      <c r="L327" s="5">
        <v>0.7368979807734083</v>
      </c>
      <c r="M327" s="5">
        <v>15.48256137300783</v>
      </c>
      <c r="N327" s="5">
        <v>-4.376773696186042</v>
      </c>
      <c r="O327" s="5">
        <v>10.42815100315213</v>
      </c>
      <c r="P327" s="5">
        <v>12787.0</v>
      </c>
      <c r="Q327" s="5">
        <v>4.0</v>
      </c>
      <c r="R327" s="5">
        <v>12755.0</v>
      </c>
      <c r="S327" s="5">
        <v>4.0</v>
      </c>
      <c r="T327" s="5">
        <v>698546.0</v>
      </c>
      <c r="U327" s="5">
        <v>4.0</v>
      </c>
      <c r="V327" s="5">
        <v>54.76644453155625</v>
      </c>
      <c r="W327" s="9" t="b">
        <v>1</v>
      </c>
      <c r="X327" s="9" t="b">
        <v>1</v>
      </c>
      <c r="Y327" s="5">
        <v>18.973977739296625</v>
      </c>
      <c r="Z327" s="5">
        <v>18.92649456985442</v>
      </c>
      <c r="AA327" s="5">
        <v>9039.0</v>
      </c>
      <c r="AB327" s="5">
        <v>4061.0</v>
      </c>
      <c r="AC327" s="5">
        <v>12.0</v>
      </c>
      <c r="AD327" s="5">
        <v>12.0</v>
      </c>
      <c r="AE327" s="9" t="b">
        <v>1</v>
      </c>
      <c r="AF327" s="9" t="b">
        <v>1</v>
      </c>
      <c r="AG327" s="5">
        <v>6.025910972024994</v>
      </c>
      <c r="AH327" s="5">
        <v>13.412511518378212</v>
      </c>
      <c r="AI327" s="5">
        <v>2896.0</v>
      </c>
      <c r="AJ327" s="5">
        <v>2918.0</v>
      </c>
      <c r="AK327" s="5">
        <v>6.0</v>
      </c>
      <c r="AL327" s="5">
        <v>6.0</v>
      </c>
      <c r="AM327" s="5">
        <v>-29.855769230769237</v>
      </c>
      <c r="AN327" s="5">
        <v>-46.9208211143695</v>
      </c>
    </row>
    <row r="328" ht="15.75" customHeight="1">
      <c r="A328" s="5">
        <v>15.0</v>
      </c>
      <c r="B328" s="5">
        <v>2023.0</v>
      </c>
      <c r="C328" s="5">
        <v>8334.84</v>
      </c>
      <c r="D328" s="5">
        <v>674132.0</v>
      </c>
      <c r="E328" s="5">
        <v>11679.94620330009</v>
      </c>
      <c r="F328" s="5">
        <v>10654.484569164422</v>
      </c>
      <c r="G328" s="5">
        <v>4.0</v>
      </c>
      <c r="H328" s="5">
        <v>4.0</v>
      </c>
      <c r="I328" s="5">
        <v>0.7136026018377591</v>
      </c>
      <c r="J328" s="5">
        <v>13.01429144713886</v>
      </c>
      <c r="K328" s="5">
        <v>-0.22887249660757947</v>
      </c>
      <c r="L328" s="5">
        <v>0.7822846751425404</v>
      </c>
      <c r="M328" s="5">
        <v>6.213761797613615</v>
      </c>
      <c r="N328" s="5">
        <v>6.159155751993883</v>
      </c>
      <c r="O328" s="5">
        <v>12.755632816780427</v>
      </c>
      <c r="P328" s="5">
        <v>13782.0</v>
      </c>
      <c r="Q328" s="5">
        <v>4.0</v>
      </c>
      <c r="R328" s="5">
        <v>13104.0</v>
      </c>
      <c r="S328" s="5">
        <v>4.0</v>
      </c>
      <c r="T328" s="5">
        <v>710262.0</v>
      </c>
      <c r="U328" s="5">
        <v>4.0</v>
      </c>
      <c r="V328" s="5">
        <v>54.20192307692308</v>
      </c>
      <c r="W328" s="9" t="b">
        <v>1</v>
      </c>
      <c r="X328" s="9" t="b">
        <v>1</v>
      </c>
      <c r="Y328" s="5">
        <v>20.444067333993935</v>
      </c>
      <c r="Z328" s="5">
        <v>19.43832958530377</v>
      </c>
      <c r="AA328" s="5">
        <v>8184.0</v>
      </c>
      <c r="AB328" s="5">
        <v>6342.0</v>
      </c>
      <c r="AC328" s="5">
        <v>12.0</v>
      </c>
      <c r="AD328" s="5">
        <v>12.0</v>
      </c>
      <c r="AE328" s="9" t="b">
        <v>1</v>
      </c>
      <c r="AF328" s="9" t="b">
        <v>1</v>
      </c>
      <c r="AG328" s="5">
        <v>9.407653100579708</v>
      </c>
      <c r="AH328" s="5">
        <v>12.140055656755651</v>
      </c>
      <c r="AI328" s="5">
        <v>3257.0</v>
      </c>
      <c r="AJ328" s="5">
        <v>2320.0</v>
      </c>
      <c r="AK328" s="5">
        <v>6.0</v>
      </c>
      <c r="AL328" s="5">
        <v>6.0</v>
      </c>
      <c r="AM328" s="5">
        <v>-20.493488690884163</v>
      </c>
      <c r="AN328" s="5">
        <v>12.465469613259671</v>
      </c>
    </row>
    <row r="329" ht="15.75" customHeight="1">
      <c r="A329" s="5">
        <v>15.0</v>
      </c>
      <c r="B329" s="5">
        <v>2024.0</v>
      </c>
      <c r="C329" s="5">
        <v>9425.25</v>
      </c>
      <c r="D329" s="5">
        <v>673531.0</v>
      </c>
      <c r="E329" s="5">
        <v>13810.11578877013</v>
      </c>
      <c r="F329" s="5">
        <v>12506.38674568331</v>
      </c>
      <c r="G329" s="5">
        <v>4.0</v>
      </c>
      <c r="H329" s="5">
        <v>4.0</v>
      </c>
      <c r="I329" s="5">
        <v>0.6824888468831131</v>
      </c>
      <c r="J329" s="5">
        <v>18.23783730158086</v>
      </c>
      <c r="K329" s="5">
        <v>-4.360095503368122</v>
      </c>
      <c r="L329" s="5">
        <v>0.7536349380250221</v>
      </c>
      <c r="M329" s="5">
        <v>17.38143374742458</v>
      </c>
      <c r="N329" s="5">
        <v>-3.662316037610991</v>
      </c>
      <c r="O329" s="5">
        <v>13.08255467411492</v>
      </c>
      <c r="P329" s="5">
        <v>13958.0</v>
      </c>
      <c r="Q329" s="5">
        <v>4.0</v>
      </c>
      <c r="R329" s="5">
        <v>13194.0</v>
      </c>
      <c r="S329" s="5">
        <v>4.0</v>
      </c>
      <c r="T329" s="5">
        <v>715938.9</v>
      </c>
      <c r="U329" s="5">
        <v>4.0</v>
      </c>
      <c r="V329" s="5">
        <v>54.262460209185996</v>
      </c>
      <c r="W329" s="9" t="b">
        <v>1</v>
      </c>
      <c r="X329" s="9" t="b">
        <v>1</v>
      </c>
      <c r="Y329" s="5">
        <v>20.72361925434761</v>
      </c>
      <c r="Z329" s="5">
        <v>19.589298785059633</v>
      </c>
      <c r="AA329" s="5">
        <v>6039.0</v>
      </c>
      <c r="AB329" s="5">
        <v>7519.0</v>
      </c>
      <c r="AC329" s="5">
        <v>12.0</v>
      </c>
      <c r="AD329" s="5">
        <v>12.0</v>
      </c>
      <c r="AE329" s="9" t="b">
        <v>1</v>
      </c>
      <c r="AF329" s="9" t="b">
        <v>1</v>
      </c>
      <c r="AG329" s="5">
        <v>11.163554461487296</v>
      </c>
      <c r="AH329" s="5">
        <v>8.966179730405877</v>
      </c>
      <c r="AI329" s="5">
        <v>2348.0</v>
      </c>
      <c r="AJ329" s="5">
        <v>3946.0</v>
      </c>
      <c r="AK329" s="5">
        <v>6.0</v>
      </c>
      <c r="AL329" s="5">
        <v>6.0</v>
      </c>
      <c r="AM329" s="5">
        <v>70.08620689655172</v>
      </c>
      <c r="AN329" s="5">
        <v>-27.909118821000924</v>
      </c>
    </row>
    <row r="330" ht="15.75" customHeight="1">
      <c r="A330" s="5">
        <v>15.0</v>
      </c>
      <c r="B330" s="5">
        <v>2025.0</v>
      </c>
      <c r="C330" s="5">
        <v>10155.68</v>
      </c>
      <c r="D330" s="5">
        <v>672545.0</v>
      </c>
      <c r="E330" s="5">
        <v>14466.830435140608</v>
      </c>
      <c r="F330" s="5">
        <v>12599.89713556861</v>
      </c>
      <c r="G330" s="5">
        <v>4.0</v>
      </c>
      <c r="H330" s="5">
        <v>4.0</v>
      </c>
      <c r="I330" s="5">
        <v>0.7019975830594778</v>
      </c>
      <c r="J330" s="5">
        <v>4.755316004696297</v>
      </c>
      <c r="K330" s="5">
        <v>2.858469594845392</v>
      </c>
      <c r="L330" s="5">
        <v>0.806012929369974</v>
      </c>
      <c r="M330" s="5">
        <v>0.7477010889462177</v>
      </c>
      <c r="N330" s="5">
        <v>6.950048186753888</v>
      </c>
      <c r="O330" s="5">
        <v>7.74971486167475</v>
      </c>
      <c r="AA330" s="5">
        <v>7700.0</v>
      </c>
      <c r="AB330" s="5">
        <v>5009.0</v>
      </c>
      <c r="AC330" s="5">
        <v>12.0</v>
      </c>
      <c r="AD330" s="5">
        <v>12.0</v>
      </c>
      <c r="AE330" s="9" t="b">
        <v>1</v>
      </c>
      <c r="AF330" s="9" t="b">
        <v>1</v>
      </c>
      <c r="AG330" s="5">
        <v>7.4478287698220935</v>
      </c>
      <c r="AH330" s="5">
        <v>11.44904801909166</v>
      </c>
      <c r="AI330" s="5">
        <v>3481.0</v>
      </c>
      <c r="AJ330" s="5">
        <v>2625.0</v>
      </c>
      <c r="AK330" s="5">
        <v>6.0</v>
      </c>
      <c r="AL330" s="5">
        <v>6.0</v>
      </c>
      <c r="AM330" s="5">
        <v>-33.47693867207299</v>
      </c>
      <c r="AN330" s="5">
        <v>48.25383304940374</v>
      </c>
    </row>
    <row r="331" ht="15.75" customHeight="1">
      <c r="A331" s="5">
        <v>15.0</v>
      </c>
      <c r="B331" s="5">
        <v>2026.0</v>
      </c>
      <c r="AI331" s="5">
        <v>3182.0</v>
      </c>
      <c r="AJ331" s="5">
        <v>2657.0</v>
      </c>
      <c r="AK331" s="5">
        <v>6.0</v>
      </c>
      <c r="AL331" s="5">
        <v>6.0</v>
      </c>
      <c r="AM331" s="5">
        <v>1.2190476190476085</v>
      </c>
      <c r="AN331" s="5">
        <v>-8.58948577994829</v>
      </c>
    </row>
    <row r="332" ht="15.75" customHeight="1">
      <c r="A332" s="5">
        <v>16.0</v>
      </c>
      <c r="B332" s="5">
        <v>2005.0</v>
      </c>
      <c r="C332" s="5">
        <v>2468.95</v>
      </c>
      <c r="D332" s="5">
        <v>118411.0</v>
      </c>
      <c r="AA332" s="5">
        <v>784.0</v>
      </c>
      <c r="AB332" s="5">
        <v>443.0</v>
      </c>
      <c r="AC332" s="5">
        <v>12.0</v>
      </c>
      <c r="AD332" s="5">
        <v>12.0</v>
      </c>
      <c r="AE332" s="9" t="b">
        <v>1</v>
      </c>
      <c r="AF332" s="9" t="b">
        <v>1</v>
      </c>
      <c r="AG332" s="5">
        <v>3.741206475749719</v>
      </c>
      <c r="AH332" s="5">
        <v>6.621006494329074</v>
      </c>
      <c r="AI332" s="5">
        <v>267.0</v>
      </c>
      <c r="AJ332" s="5">
        <v>229.0</v>
      </c>
      <c r="AK332" s="5">
        <v>6.0</v>
      </c>
      <c r="AL332" s="5">
        <v>6.0</v>
      </c>
    </row>
    <row r="333" ht="15.75" customHeight="1">
      <c r="A333" s="5">
        <v>16.0</v>
      </c>
      <c r="B333" s="5">
        <v>2006.0</v>
      </c>
      <c r="C333" s="5">
        <v>2586.19</v>
      </c>
      <c r="D333" s="5">
        <v>118201.0</v>
      </c>
      <c r="AA333" s="5">
        <v>479.0</v>
      </c>
      <c r="AB333" s="5">
        <v>632.0</v>
      </c>
      <c r="AC333" s="5">
        <v>12.0</v>
      </c>
      <c r="AD333" s="5">
        <v>12.0</v>
      </c>
      <c r="AE333" s="9" t="b">
        <v>1</v>
      </c>
      <c r="AF333" s="9" t="b">
        <v>1</v>
      </c>
      <c r="AG333" s="5">
        <v>5.34682447695028</v>
      </c>
      <c r="AH333" s="5">
        <v>4.05241918427086</v>
      </c>
      <c r="AI333" s="5">
        <v>151.0</v>
      </c>
      <c r="AJ333" s="5">
        <v>345.0</v>
      </c>
      <c r="AK333" s="5">
        <v>6.0</v>
      </c>
      <c r="AL333" s="5">
        <v>6.0</v>
      </c>
      <c r="AM333" s="5">
        <v>50.655021834061145</v>
      </c>
      <c r="AN333" s="5">
        <v>-43.44569288389513</v>
      </c>
    </row>
    <row r="334" ht="15.75" customHeight="1">
      <c r="A334" s="5">
        <v>16.0</v>
      </c>
      <c r="B334" s="5">
        <v>2007.0</v>
      </c>
      <c r="C334" s="5">
        <v>2767.01</v>
      </c>
      <c r="D334" s="5">
        <v>118045.0</v>
      </c>
      <c r="E334" s="5">
        <v>3399.0466567943704</v>
      </c>
      <c r="F334" s="5">
        <v>2993.263661455923</v>
      </c>
      <c r="G334" s="5">
        <v>4.0</v>
      </c>
      <c r="H334" s="5">
        <v>4.0</v>
      </c>
      <c r="I334" s="5">
        <v>0.8140547275127897</v>
      </c>
      <c r="L334" s="5">
        <v>0.9244123849264008</v>
      </c>
      <c r="AA334" s="5">
        <v>489.0</v>
      </c>
      <c r="AB334" s="5">
        <v>346.0</v>
      </c>
      <c r="AC334" s="5">
        <v>12.0</v>
      </c>
      <c r="AD334" s="5">
        <v>12.0</v>
      </c>
      <c r="AE334" s="9" t="b">
        <v>1</v>
      </c>
      <c r="AF334" s="9" t="b">
        <v>1</v>
      </c>
      <c r="AG334" s="5">
        <v>2.9310856029480283</v>
      </c>
      <c r="AH334" s="5">
        <v>4.142488034224237</v>
      </c>
      <c r="AI334" s="5">
        <v>174.0</v>
      </c>
      <c r="AJ334" s="5">
        <v>184.0</v>
      </c>
      <c r="AK334" s="5">
        <v>6.0</v>
      </c>
      <c r="AL334" s="5">
        <v>6.0</v>
      </c>
      <c r="AM334" s="5">
        <v>-46.666666666666664</v>
      </c>
      <c r="AN334" s="5">
        <v>15.231788079470189</v>
      </c>
    </row>
    <row r="335" ht="15.75" customHeight="1">
      <c r="A335" s="5">
        <v>16.0</v>
      </c>
      <c r="B335" s="5">
        <v>2008.0</v>
      </c>
      <c r="C335" s="5">
        <v>2908.94</v>
      </c>
      <c r="D335" s="5">
        <v>117406.0</v>
      </c>
      <c r="E335" s="5">
        <v>3903.28877281646</v>
      </c>
      <c r="F335" s="5">
        <v>3310.6658491042554</v>
      </c>
      <c r="G335" s="5">
        <v>4.0</v>
      </c>
      <c r="H335" s="5">
        <v>4.0</v>
      </c>
      <c r="I335" s="5">
        <v>0.7452535974941519</v>
      </c>
      <c r="J335" s="5">
        <v>14.83481007870715</v>
      </c>
      <c r="K335" s="5">
        <v>-8.451659046173521</v>
      </c>
      <c r="L335" s="5">
        <v>0.8786570836760987</v>
      </c>
      <c r="M335" s="5">
        <v>10.60388337103415</v>
      </c>
      <c r="N335" s="5">
        <v>-4.949663374960622</v>
      </c>
      <c r="O335" s="5">
        <v>5.12936346453392</v>
      </c>
      <c r="AA335" s="5">
        <v>759.0</v>
      </c>
      <c r="AB335" s="5">
        <v>409.0</v>
      </c>
      <c r="AC335" s="5">
        <v>12.0</v>
      </c>
      <c r="AD335" s="5">
        <v>12.0</v>
      </c>
      <c r="AE335" s="9" t="b">
        <v>1</v>
      </c>
      <c r="AF335" s="9" t="b">
        <v>1</v>
      </c>
      <c r="AG335" s="5">
        <v>3.4836379742091546</v>
      </c>
      <c r="AH335" s="5">
        <v>6.464746265097184</v>
      </c>
      <c r="AI335" s="5">
        <v>239.0</v>
      </c>
      <c r="AJ335" s="5">
        <v>247.0</v>
      </c>
      <c r="AK335" s="5">
        <v>6.0</v>
      </c>
      <c r="AL335" s="5">
        <v>6.0</v>
      </c>
      <c r="AM335" s="5">
        <v>34.239130434782616</v>
      </c>
      <c r="AN335" s="5">
        <v>37.356321839080465</v>
      </c>
    </row>
    <row r="336" ht="15.75" customHeight="1">
      <c r="A336" s="5">
        <v>16.0</v>
      </c>
      <c r="B336" s="5">
        <v>2009.0</v>
      </c>
      <c r="C336" s="5">
        <v>3060.42</v>
      </c>
      <c r="D336" s="5">
        <v>117557.0</v>
      </c>
      <c r="E336" s="5">
        <v>3492.898555081449</v>
      </c>
      <c r="F336" s="5">
        <v>3040.518807771279</v>
      </c>
      <c r="G336" s="5">
        <v>4.0</v>
      </c>
      <c r="H336" s="5">
        <v>4.0</v>
      </c>
      <c r="I336" s="5">
        <v>0.8761834767710955</v>
      </c>
      <c r="J336" s="5">
        <v>-10.513959935351892</v>
      </c>
      <c r="K336" s="5">
        <v>17.568500134341324</v>
      </c>
      <c r="L336" s="5">
        <v>1.0065453277834873</v>
      </c>
      <c r="M336" s="5">
        <v>-8.15990056520105</v>
      </c>
      <c r="N336" s="5">
        <v>14.554966491857503</v>
      </c>
      <c r="O336" s="5">
        <v>5.207395133622561</v>
      </c>
      <c r="AA336" s="5">
        <v>645.0</v>
      </c>
      <c r="AB336" s="5">
        <v>435.0</v>
      </c>
      <c r="AC336" s="5">
        <v>12.0</v>
      </c>
      <c r="AD336" s="5">
        <v>12.0</v>
      </c>
      <c r="AE336" s="9" t="b">
        <v>1</v>
      </c>
      <c r="AF336" s="9" t="b">
        <v>1</v>
      </c>
      <c r="AG336" s="5">
        <v>3.700332604608828</v>
      </c>
      <c r="AH336" s="5">
        <v>5.486700068902746</v>
      </c>
      <c r="AI336" s="5">
        <v>307.0</v>
      </c>
      <c r="AJ336" s="5">
        <v>284.0</v>
      </c>
      <c r="AK336" s="5">
        <v>6.0</v>
      </c>
      <c r="AL336" s="5">
        <v>6.0</v>
      </c>
      <c r="AM336" s="5">
        <v>14.979757085020239</v>
      </c>
      <c r="AN336" s="5">
        <v>28.451882845188294</v>
      </c>
    </row>
    <row r="337" ht="15.75" customHeight="1">
      <c r="A337" s="5">
        <v>16.0</v>
      </c>
      <c r="B337" s="5">
        <v>2010.0</v>
      </c>
      <c r="C337" s="5">
        <v>3138.35</v>
      </c>
      <c r="D337" s="5">
        <v>118796.0</v>
      </c>
      <c r="E337" s="5">
        <v>3568.75</v>
      </c>
      <c r="F337" s="5">
        <v>3031.33585384279</v>
      </c>
      <c r="G337" s="5">
        <v>4.0</v>
      </c>
      <c r="H337" s="5">
        <v>4.0</v>
      </c>
      <c r="I337" s="5">
        <v>0.8793975481611208</v>
      </c>
      <c r="J337" s="5">
        <v>2.171590262998113</v>
      </c>
      <c r="K337" s="5">
        <v>0.36682629554596335</v>
      </c>
      <c r="L337" s="5">
        <v>1.0353026359720416</v>
      </c>
      <c r="M337" s="5">
        <v>-0.3020193101591184</v>
      </c>
      <c r="N337" s="5">
        <v>2.8570306169798387</v>
      </c>
      <c r="O337" s="5">
        <v>2.5463825226602843</v>
      </c>
      <c r="P337" s="5">
        <v>1042.0</v>
      </c>
      <c r="Q337" s="5">
        <v>4.0</v>
      </c>
      <c r="R337" s="5">
        <v>661.0</v>
      </c>
      <c r="S337" s="5">
        <v>4.0</v>
      </c>
      <c r="T337" s="5">
        <v>34964.0</v>
      </c>
      <c r="U337" s="5">
        <v>4.0</v>
      </c>
      <c r="V337" s="5">
        <v>52.895612708018156</v>
      </c>
      <c r="W337" s="9" t="b">
        <v>1</v>
      </c>
      <c r="X337" s="9" t="b">
        <v>1</v>
      </c>
      <c r="Y337" s="5">
        <v>8.771339102326678</v>
      </c>
      <c r="Z337" s="5">
        <v>5.564160409441395</v>
      </c>
      <c r="AA337" s="5">
        <v>665.0</v>
      </c>
      <c r="AB337" s="5">
        <v>461.0</v>
      </c>
      <c r="AC337" s="5">
        <v>12.0</v>
      </c>
      <c r="AD337" s="5">
        <v>12.0</v>
      </c>
      <c r="AE337" s="9" t="b">
        <v>1</v>
      </c>
      <c r="AF337" s="9" t="b">
        <v>1</v>
      </c>
      <c r="AG337" s="5">
        <v>3.880602040472743</v>
      </c>
      <c r="AH337" s="5">
        <v>5.597831576820768</v>
      </c>
      <c r="AI337" s="5">
        <v>198.0</v>
      </c>
      <c r="AJ337" s="5">
        <v>317.0</v>
      </c>
      <c r="AK337" s="5">
        <v>6.0</v>
      </c>
      <c r="AL337" s="5">
        <v>6.0</v>
      </c>
      <c r="AM337" s="5">
        <v>11.61971830985915</v>
      </c>
      <c r="AN337" s="5">
        <v>-35.504885993485345</v>
      </c>
    </row>
    <row r="338" ht="15.75" customHeight="1">
      <c r="A338" s="5">
        <v>16.0</v>
      </c>
      <c r="B338" s="5">
        <v>2011.0</v>
      </c>
      <c r="C338" s="5">
        <v>3247.3</v>
      </c>
      <c r="D338" s="5">
        <v>119119.0</v>
      </c>
      <c r="E338" s="5">
        <v>3687.0</v>
      </c>
      <c r="F338" s="5">
        <v>3111.579194917423</v>
      </c>
      <c r="G338" s="5">
        <v>4.0</v>
      </c>
      <c r="H338" s="5">
        <v>4.0</v>
      </c>
      <c r="I338" s="5">
        <v>0.8807431516137781</v>
      </c>
      <c r="J338" s="5">
        <v>3.3134851138353794</v>
      </c>
      <c r="K338" s="5">
        <v>0.15301423747098308</v>
      </c>
      <c r="L338" s="5">
        <v>1.0436179819251488</v>
      </c>
      <c r="M338" s="5">
        <v>2.647128030135937</v>
      </c>
      <c r="N338" s="5">
        <v>0.8031802165074042</v>
      </c>
      <c r="O338" s="5">
        <v>3.4715694552870158</v>
      </c>
      <c r="P338" s="5">
        <v>905.0</v>
      </c>
      <c r="Q338" s="5">
        <v>4.0</v>
      </c>
      <c r="R338" s="5">
        <v>768.0</v>
      </c>
      <c r="S338" s="5">
        <v>4.0</v>
      </c>
      <c r="T338" s="5">
        <v>41249.2</v>
      </c>
      <c r="U338" s="5">
        <v>4.0</v>
      </c>
      <c r="V338" s="5">
        <v>53.70989583333333</v>
      </c>
      <c r="W338" s="9" t="b">
        <v>1</v>
      </c>
      <c r="X338" s="9" t="b">
        <v>1</v>
      </c>
      <c r="Y338" s="5">
        <v>7.5974445722344885</v>
      </c>
      <c r="Z338" s="5">
        <v>6.447334178426615</v>
      </c>
      <c r="AA338" s="5">
        <v>557.0</v>
      </c>
      <c r="AB338" s="5">
        <v>769.0</v>
      </c>
      <c r="AC338" s="5">
        <v>12.0</v>
      </c>
      <c r="AD338" s="5">
        <v>12.0</v>
      </c>
      <c r="AE338" s="9" t="b">
        <v>1</v>
      </c>
      <c r="AF338" s="9" t="b">
        <v>1</v>
      </c>
      <c r="AG338" s="5">
        <v>6.455729144804775</v>
      </c>
      <c r="AH338" s="5">
        <v>4.6759962726349285</v>
      </c>
      <c r="AI338" s="5">
        <v>198.0</v>
      </c>
      <c r="AJ338" s="5">
        <v>469.0</v>
      </c>
      <c r="AK338" s="5">
        <v>6.0</v>
      </c>
      <c r="AL338" s="5">
        <v>6.0</v>
      </c>
      <c r="AM338" s="5">
        <v>47.94952681388012</v>
      </c>
      <c r="AN338" s="5">
        <v>0.0</v>
      </c>
    </row>
    <row r="339" ht="15.75" customHeight="1">
      <c r="A339" s="5">
        <v>16.0</v>
      </c>
      <c r="B339" s="5">
        <v>2012.0</v>
      </c>
      <c r="C339" s="5">
        <v>3351.95</v>
      </c>
      <c r="D339" s="5">
        <v>119182.0</v>
      </c>
      <c r="E339" s="5">
        <v>3679.0</v>
      </c>
      <c r="F339" s="5">
        <v>2986.1939873197716</v>
      </c>
      <c r="G339" s="5">
        <v>4.0</v>
      </c>
      <c r="H339" s="5">
        <v>4.0</v>
      </c>
      <c r="I339" s="5">
        <v>0.9111035607502038</v>
      </c>
      <c r="J339" s="5">
        <v>-0.216978573365878</v>
      </c>
      <c r="K339" s="5">
        <v>3.447135419764158</v>
      </c>
      <c r="L339" s="5">
        <v>1.1224823351173205</v>
      </c>
      <c r="M339" s="5">
        <v>-4.0296325352239375</v>
      </c>
      <c r="N339" s="5">
        <v>7.55682199406833</v>
      </c>
      <c r="O339" s="5">
        <v>3.2226773011424736</v>
      </c>
      <c r="P339" s="5">
        <v>1056.0</v>
      </c>
      <c r="Q339" s="5">
        <v>4.0</v>
      </c>
      <c r="R339" s="5">
        <v>859.0</v>
      </c>
      <c r="S339" s="5">
        <v>4.0</v>
      </c>
      <c r="T339" s="5">
        <v>44686.6</v>
      </c>
      <c r="U339" s="5">
        <v>4.0</v>
      </c>
      <c r="V339" s="5">
        <v>52.02165308498254</v>
      </c>
      <c r="W339" s="9" t="b">
        <v>1</v>
      </c>
      <c r="X339" s="9" t="b">
        <v>1</v>
      </c>
      <c r="Y339" s="5">
        <v>8.860398382306053</v>
      </c>
      <c r="Z339" s="5">
        <v>7.207464214394792</v>
      </c>
      <c r="AA339" s="5">
        <v>452.0</v>
      </c>
      <c r="AB339" s="5">
        <v>1046.0</v>
      </c>
      <c r="AC339" s="5">
        <v>12.0</v>
      </c>
      <c r="AD339" s="5">
        <v>12.0</v>
      </c>
      <c r="AE339" s="9" t="b">
        <v>1</v>
      </c>
      <c r="AF339" s="9" t="b">
        <v>1</v>
      </c>
      <c r="AG339" s="5">
        <v>8.776493094594821</v>
      </c>
      <c r="AH339" s="5">
        <v>3.7925190045476667</v>
      </c>
      <c r="AI339" s="5">
        <v>211.0</v>
      </c>
      <c r="AJ339" s="5">
        <v>614.0</v>
      </c>
      <c r="AK339" s="5">
        <v>6.0</v>
      </c>
      <c r="AL339" s="5">
        <v>6.0</v>
      </c>
      <c r="AM339" s="5">
        <v>30.91684434968016</v>
      </c>
      <c r="AN339" s="5">
        <v>6.565656565656575</v>
      </c>
    </row>
    <row r="340" ht="15.75" customHeight="1">
      <c r="A340" s="5">
        <v>16.0</v>
      </c>
      <c r="B340" s="5">
        <v>2013.0</v>
      </c>
      <c r="C340" s="5">
        <v>3363.53</v>
      </c>
      <c r="D340" s="5">
        <v>119069.0</v>
      </c>
      <c r="E340" s="5">
        <v>3627.25</v>
      </c>
      <c r="F340" s="5">
        <v>2987.3564213850727</v>
      </c>
      <c r="G340" s="5">
        <v>4.0</v>
      </c>
      <c r="H340" s="5">
        <v>4.0</v>
      </c>
      <c r="I340" s="5">
        <v>0.9272947825487629</v>
      </c>
      <c r="J340" s="5">
        <v>-1.4066322370209328</v>
      </c>
      <c r="K340" s="5">
        <v>1.777100046149216</v>
      </c>
      <c r="L340" s="5">
        <v>1.125921893993659</v>
      </c>
      <c r="M340" s="5">
        <v>0.038926944138162334</v>
      </c>
      <c r="N340" s="5">
        <v>0.3064243212325568</v>
      </c>
      <c r="O340" s="5">
        <v>0.34547054699505253</v>
      </c>
      <c r="P340" s="5">
        <v>799.0</v>
      </c>
      <c r="Q340" s="5">
        <v>4.0</v>
      </c>
      <c r="R340" s="5">
        <v>745.0</v>
      </c>
      <c r="S340" s="5">
        <v>4.0</v>
      </c>
      <c r="T340" s="5">
        <v>39030.3</v>
      </c>
      <c r="U340" s="5">
        <v>4.0</v>
      </c>
      <c r="V340" s="5">
        <v>52.38966442953021</v>
      </c>
      <c r="W340" s="9" t="b">
        <v>1</v>
      </c>
      <c r="X340" s="9" t="b">
        <v>1</v>
      </c>
      <c r="Y340" s="5">
        <v>6.710394813091568</v>
      </c>
      <c r="Z340" s="5">
        <v>6.256876265022802</v>
      </c>
      <c r="AA340" s="5">
        <v>697.0</v>
      </c>
      <c r="AB340" s="5">
        <v>613.0</v>
      </c>
      <c r="AC340" s="5">
        <v>12.0</v>
      </c>
      <c r="AD340" s="5">
        <v>12.0</v>
      </c>
      <c r="AE340" s="9" t="b">
        <v>1</v>
      </c>
      <c r="AF340" s="9" t="b">
        <v>1</v>
      </c>
      <c r="AG340" s="5">
        <v>5.148275369743594</v>
      </c>
      <c r="AH340" s="5">
        <v>5.853748666739453</v>
      </c>
      <c r="AI340" s="5">
        <v>292.0</v>
      </c>
      <c r="AJ340" s="5">
        <v>368.0</v>
      </c>
      <c r="AK340" s="5">
        <v>6.0</v>
      </c>
      <c r="AL340" s="5">
        <v>6.0</v>
      </c>
      <c r="AM340" s="5">
        <v>-40.065146579804555</v>
      </c>
      <c r="AN340" s="5">
        <v>38.38862559241707</v>
      </c>
    </row>
    <row r="341" ht="15.75" customHeight="1">
      <c r="A341" s="5">
        <v>16.0</v>
      </c>
      <c r="B341" s="5">
        <v>2014.0</v>
      </c>
      <c r="C341" s="5">
        <v>3578.27</v>
      </c>
      <c r="D341" s="5">
        <v>118706.0</v>
      </c>
      <c r="E341" s="5">
        <v>3698.5</v>
      </c>
      <c r="F341" s="5">
        <v>3031.330820089627</v>
      </c>
      <c r="G341" s="5">
        <v>4.0</v>
      </c>
      <c r="H341" s="5">
        <v>4.0</v>
      </c>
      <c r="I341" s="5">
        <v>0.9674922265783426</v>
      </c>
      <c r="J341" s="5">
        <v>1.964298021917421</v>
      </c>
      <c r="K341" s="5">
        <v>4.334915367375736</v>
      </c>
      <c r="L341" s="5">
        <v>1.1804287332433752</v>
      </c>
      <c r="M341" s="5">
        <v>1.4720171449835284</v>
      </c>
      <c r="N341" s="5">
        <v>4.841085295568748</v>
      </c>
      <c r="O341" s="5">
        <v>6.384364046106317</v>
      </c>
      <c r="P341" s="5">
        <v>652.0</v>
      </c>
      <c r="Q341" s="5">
        <v>4.0</v>
      </c>
      <c r="R341" s="5">
        <v>599.0</v>
      </c>
      <c r="S341" s="5">
        <v>4.0</v>
      </c>
      <c r="T341" s="5">
        <v>31372.600000000002</v>
      </c>
      <c r="U341" s="5">
        <v>4.0</v>
      </c>
      <c r="V341" s="5">
        <v>52.37495826377296</v>
      </c>
      <c r="W341" s="9" t="b">
        <v>1</v>
      </c>
      <c r="X341" s="9" t="b">
        <v>1</v>
      </c>
      <c r="Y341" s="5">
        <v>5.492561454349401</v>
      </c>
      <c r="Z341" s="5">
        <v>5.046080231833268</v>
      </c>
      <c r="AA341" s="5">
        <v>843.0</v>
      </c>
      <c r="AB341" s="5">
        <v>960.0</v>
      </c>
      <c r="AC341" s="5">
        <v>12.0</v>
      </c>
      <c r="AD341" s="5">
        <v>12.0</v>
      </c>
      <c r="AE341" s="9" t="b">
        <v>1</v>
      </c>
      <c r="AF341" s="9" t="b">
        <v>1</v>
      </c>
      <c r="AG341" s="5">
        <v>8.08720704934881</v>
      </c>
      <c r="AH341" s="5">
        <v>7.101578690209425</v>
      </c>
      <c r="AI341" s="5">
        <v>303.0</v>
      </c>
      <c r="AJ341" s="5">
        <v>487.0</v>
      </c>
      <c r="AK341" s="5">
        <v>6.0</v>
      </c>
      <c r="AL341" s="5">
        <v>6.0</v>
      </c>
      <c r="AM341" s="5">
        <v>32.33695652173913</v>
      </c>
      <c r="AN341" s="5">
        <v>3.767123287671237</v>
      </c>
    </row>
    <row r="342" ht="15.75" customHeight="1">
      <c r="A342" s="5">
        <v>16.0</v>
      </c>
      <c r="B342" s="5">
        <v>2015.0</v>
      </c>
      <c r="C342" s="5">
        <v>3731.67</v>
      </c>
      <c r="D342" s="5">
        <v>138763.0</v>
      </c>
      <c r="E342" s="5">
        <v>3731.0</v>
      </c>
      <c r="F342" s="5">
        <v>3006.892952793702</v>
      </c>
      <c r="G342" s="5">
        <v>4.0</v>
      </c>
      <c r="H342" s="5">
        <v>4.0</v>
      </c>
      <c r="I342" s="5">
        <v>1.00017957652104</v>
      </c>
      <c r="J342" s="5">
        <v>0.8787346221441172</v>
      </c>
      <c r="K342" s="5">
        <v>3.378564607004675</v>
      </c>
      <c r="L342" s="5">
        <v>1.2410385266734913</v>
      </c>
      <c r="M342" s="5">
        <v>-0.8061761894797903</v>
      </c>
      <c r="N342" s="5">
        <v>5.13455761650119</v>
      </c>
      <c r="O342" s="5">
        <v>4.286987846082058</v>
      </c>
      <c r="P342" s="5">
        <v>879.0</v>
      </c>
      <c r="Q342" s="5">
        <v>4.0</v>
      </c>
      <c r="R342" s="5">
        <v>779.0</v>
      </c>
      <c r="S342" s="5">
        <v>4.0</v>
      </c>
      <c r="T342" s="5">
        <v>40422.9</v>
      </c>
      <c r="U342" s="5">
        <v>4.0</v>
      </c>
      <c r="V342" s="5">
        <v>51.89075738125803</v>
      </c>
      <c r="W342" s="9" t="b">
        <v>1</v>
      </c>
      <c r="X342" s="9" t="b">
        <v>1</v>
      </c>
      <c r="Y342" s="5">
        <v>6.334541628532102</v>
      </c>
      <c r="Z342" s="5">
        <v>5.613888428471566</v>
      </c>
      <c r="AA342" s="5">
        <v>736.0</v>
      </c>
      <c r="AB342" s="5">
        <v>1164.0</v>
      </c>
      <c r="AC342" s="5">
        <v>12.0</v>
      </c>
      <c r="AD342" s="5">
        <v>12.0</v>
      </c>
      <c r="AE342" s="9" t="b">
        <v>1</v>
      </c>
      <c r="AF342" s="9" t="b">
        <v>1</v>
      </c>
      <c r="AG342" s="5">
        <v>8.388403248704625</v>
      </c>
      <c r="AH342" s="5">
        <v>5.304007552445537</v>
      </c>
      <c r="AI342" s="5">
        <v>253.0</v>
      </c>
      <c r="AJ342" s="5">
        <v>799.0</v>
      </c>
      <c r="AK342" s="5">
        <v>6.0</v>
      </c>
      <c r="AL342" s="5">
        <v>6.0</v>
      </c>
      <c r="AM342" s="5">
        <v>64.06570841889116</v>
      </c>
      <c r="AN342" s="5">
        <v>-16.5016501650165</v>
      </c>
    </row>
    <row r="343" ht="15.75" customHeight="1">
      <c r="A343" s="5">
        <v>16.0</v>
      </c>
      <c r="B343" s="5">
        <v>2016.0</v>
      </c>
      <c r="C343" s="5">
        <v>3919.96</v>
      </c>
      <c r="D343" s="5">
        <v>138898.0</v>
      </c>
      <c r="E343" s="5">
        <v>3813.0</v>
      </c>
      <c r="F343" s="5">
        <v>3096.015238761013</v>
      </c>
      <c r="G343" s="5">
        <v>4.0</v>
      </c>
      <c r="H343" s="5">
        <v>4.0</v>
      </c>
      <c r="I343" s="5">
        <v>1.0280514030946761</v>
      </c>
      <c r="J343" s="5">
        <v>2.19780219780219</v>
      </c>
      <c r="K343" s="5">
        <v>2.786682234662674</v>
      </c>
      <c r="L343" s="5">
        <v>1.266130718907159</v>
      </c>
      <c r="M343" s="5">
        <v>2.963932782658829</v>
      </c>
      <c r="N343" s="5">
        <v>2.021870529751024</v>
      </c>
      <c r="O343" s="5">
        <v>5.045730195864051</v>
      </c>
      <c r="P343" s="5">
        <v>1025.0</v>
      </c>
      <c r="Q343" s="5">
        <v>4.0</v>
      </c>
      <c r="R343" s="5">
        <v>958.0</v>
      </c>
      <c r="S343" s="5">
        <v>4.0</v>
      </c>
      <c r="T343" s="5">
        <v>49437.2</v>
      </c>
      <c r="U343" s="5">
        <v>4.0</v>
      </c>
      <c r="V343" s="5">
        <v>51.60459290187891</v>
      </c>
      <c r="W343" s="9" t="b">
        <v>1</v>
      </c>
      <c r="X343" s="9" t="b">
        <v>1</v>
      </c>
      <c r="Y343" s="5">
        <v>7.3795159037567135</v>
      </c>
      <c r="Z343" s="5">
        <v>6.897147547120909</v>
      </c>
      <c r="AA343" s="5">
        <v>1145.0</v>
      </c>
      <c r="AB343" s="5">
        <v>1103.0</v>
      </c>
      <c r="AC343" s="5">
        <v>12.0</v>
      </c>
      <c r="AD343" s="5">
        <v>12.0</v>
      </c>
      <c r="AE343" s="9" t="b">
        <v>1</v>
      </c>
      <c r="AF343" s="9" t="b">
        <v>1</v>
      </c>
      <c r="AG343" s="5">
        <v>7.941079065213323</v>
      </c>
      <c r="AH343" s="5">
        <v>8.243459229074574</v>
      </c>
      <c r="AI343" s="5">
        <v>654.0</v>
      </c>
      <c r="AJ343" s="5">
        <v>387.0</v>
      </c>
      <c r="AK343" s="5">
        <v>6.0</v>
      </c>
      <c r="AL343" s="5">
        <v>6.0</v>
      </c>
      <c r="AM343" s="5">
        <v>-51.56445556946183</v>
      </c>
      <c r="AN343" s="5">
        <v>158.49802371541503</v>
      </c>
    </row>
    <row r="344" ht="15.75" customHeight="1">
      <c r="A344" s="5">
        <v>16.0</v>
      </c>
      <c r="B344" s="5">
        <v>2017.0</v>
      </c>
      <c r="C344" s="5">
        <v>4173.04</v>
      </c>
      <c r="D344" s="5">
        <v>139560.0</v>
      </c>
      <c r="E344" s="5">
        <v>3861.5</v>
      </c>
      <c r="F344" s="5">
        <v>3242.9579633514822</v>
      </c>
      <c r="G344" s="5">
        <v>4.0</v>
      </c>
      <c r="H344" s="5">
        <v>4.0</v>
      </c>
      <c r="I344" s="5">
        <v>1.0806784928136735</v>
      </c>
      <c r="J344" s="5">
        <v>1.271964332546549</v>
      </c>
      <c r="K344" s="5">
        <v>5.119110733235455</v>
      </c>
      <c r="L344" s="5">
        <v>1.2868005219800354</v>
      </c>
      <c r="M344" s="5">
        <v>4.746188673453489</v>
      </c>
      <c r="N344" s="5">
        <v>1.6325173036412233</v>
      </c>
      <c r="O344" s="5">
        <v>6.456188328452339</v>
      </c>
      <c r="P344" s="5">
        <v>1246.0</v>
      </c>
      <c r="Q344" s="5">
        <v>4.0</v>
      </c>
      <c r="R344" s="5">
        <v>1167.0</v>
      </c>
      <c r="S344" s="5">
        <v>4.0</v>
      </c>
      <c r="T344" s="5">
        <v>61355.2</v>
      </c>
      <c r="U344" s="5">
        <v>4.0</v>
      </c>
      <c r="V344" s="5">
        <v>52.5751499571551</v>
      </c>
      <c r="W344" s="9" t="b">
        <v>1</v>
      </c>
      <c r="X344" s="9" t="b">
        <v>1</v>
      </c>
      <c r="Y344" s="5">
        <v>8.928059615935798</v>
      </c>
      <c r="Z344" s="5">
        <v>8.361994840928633</v>
      </c>
      <c r="AA344" s="5">
        <v>1486.0</v>
      </c>
      <c r="AB344" s="5">
        <v>984.0</v>
      </c>
      <c r="AC344" s="5">
        <v>12.0</v>
      </c>
      <c r="AD344" s="5">
        <v>12.0</v>
      </c>
      <c r="AE344" s="9" t="b">
        <v>1</v>
      </c>
      <c r="AF344" s="9" t="b">
        <v>1</v>
      </c>
      <c r="AG344" s="5">
        <v>7.05073086844368</v>
      </c>
      <c r="AH344" s="5">
        <v>10.64775007165377</v>
      </c>
      <c r="AI344" s="5">
        <v>623.0</v>
      </c>
      <c r="AJ344" s="5">
        <v>818.0</v>
      </c>
      <c r="AK344" s="5">
        <v>6.0</v>
      </c>
      <c r="AL344" s="5">
        <v>6.0</v>
      </c>
      <c r="AM344" s="5">
        <v>111.36950904392764</v>
      </c>
      <c r="AN344" s="5">
        <v>-4.7400611620795114</v>
      </c>
    </row>
    <row r="345" ht="15.75" customHeight="1">
      <c r="A345" s="5">
        <v>16.0</v>
      </c>
      <c r="B345" s="5">
        <v>2018.0</v>
      </c>
      <c r="C345" s="5">
        <v>4419.34</v>
      </c>
      <c r="D345" s="5">
        <v>140113.0</v>
      </c>
      <c r="E345" s="5">
        <v>3916.25</v>
      </c>
      <c r="F345" s="5">
        <v>3543.7833890772445</v>
      </c>
      <c r="G345" s="5">
        <v>4.0</v>
      </c>
      <c r="H345" s="5">
        <v>4.0</v>
      </c>
      <c r="I345" s="5">
        <v>1.1284621768273222</v>
      </c>
      <c r="J345" s="5">
        <v>1.4178428071992766</v>
      </c>
      <c r="K345" s="5">
        <v>4.421637363138253</v>
      </c>
      <c r="L345" s="5">
        <v>1.2470683207166167</v>
      </c>
      <c r="M345" s="5">
        <v>9.276266579011395</v>
      </c>
      <c r="N345" s="5">
        <v>-3.0876736980399833</v>
      </c>
      <c r="O345" s="5">
        <v>5.902172037651221</v>
      </c>
      <c r="P345" s="5">
        <v>1837.0</v>
      </c>
      <c r="Q345" s="5">
        <v>4.0</v>
      </c>
      <c r="R345" s="5">
        <v>1866.0</v>
      </c>
      <c r="S345" s="5">
        <v>4.0</v>
      </c>
      <c r="T345" s="5">
        <v>102210.0</v>
      </c>
      <c r="U345" s="5">
        <v>4.0</v>
      </c>
      <c r="V345" s="5">
        <v>54.77491961414791</v>
      </c>
      <c r="W345" s="9" t="b">
        <v>1</v>
      </c>
      <c r="X345" s="9" t="b">
        <v>1</v>
      </c>
      <c r="Y345" s="5">
        <v>13.110846245530393</v>
      </c>
      <c r="Z345" s="5">
        <v>13.317822043636207</v>
      </c>
      <c r="AA345" s="5">
        <v>1219.0</v>
      </c>
      <c r="AB345" s="5">
        <v>1492.0</v>
      </c>
      <c r="AC345" s="5">
        <v>12.0</v>
      </c>
      <c r="AD345" s="5">
        <v>12.0</v>
      </c>
      <c r="AE345" s="9" t="b">
        <v>1</v>
      </c>
      <c r="AF345" s="9" t="b">
        <v>1</v>
      </c>
      <c r="AG345" s="5">
        <v>10.64854795771984</v>
      </c>
      <c r="AH345" s="5">
        <v>8.70012061693062</v>
      </c>
      <c r="AI345" s="5">
        <v>258.0</v>
      </c>
      <c r="AJ345" s="5">
        <v>418.0</v>
      </c>
      <c r="AK345" s="5">
        <v>6.0</v>
      </c>
      <c r="AL345" s="5">
        <v>6.0</v>
      </c>
      <c r="AM345" s="5">
        <v>-48.8997555012225</v>
      </c>
      <c r="AN345" s="5">
        <v>-58.58747993579454</v>
      </c>
    </row>
    <row r="346" ht="15.75" customHeight="1">
      <c r="A346" s="5">
        <v>16.0</v>
      </c>
      <c r="B346" s="5">
        <v>2019.0</v>
      </c>
      <c r="C346" s="5">
        <v>4893.47</v>
      </c>
      <c r="D346" s="5">
        <v>140874.0</v>
      </c>
      <c r="E346" s="5">
        <v>4491.5</v>
      </c>
      <c r="F346" s="5">
        <v>4171.316891049073</v>
      </c>
      <c r="G346" s="5">
        <v>4.0</v>
      </c>
      <c r="H346" s="5">
        <v>4.0</v>
      </c>
      <c r="I346" s="5">
        <v>1.089495714126684</v>
      </c>
      <c r="J346" s="5">
        <v>14.688796680497918</v>
      </c>
      <c r="K346" s="5">
        <v>-3.4530588176373556</v>
      </c>
      <c r="L346" s="5">
        <v>1.1731235309646562</v>
      </c>
      <c r="M346" s="5">
        <v>17.70800957829508</v>
      </c>
      <c r="N346" s="5">
        <v>-5.9294898702477505</v>
      </c>
      <c r="O346" s="5">
        <v>10.728525073879801</v>
      </c>
      <c r="P346" s="5">
        <v>1703.0</v>
      </c>
      <c r="Q346" s="5">
        <v>4.0</v>
      </c>
      <c r="R346" s="5">
        <v>1691.0</v>
      </c>
      <c r="S346" s="5">
        <v>4.0</v>
      </c>
      <c r="T346" s="5">
        <v>95186.1</v>
      </c>
      <c r="U346" s="5">
        <v>4.0</v>
      </c>
      <c r="V346" s="5">
        <v>56.289828503843886</v>
      </c>
      <c r="W346" s="9" t="b">
        <v>1</v>
      </c>
      <c r="X346" s="9" t="b">
        <v>1</v>
      </c>
      <c r="Y346" s="5">
        <v>12.088816956997032</v>
      </c>
      <c r="Z346" s="5">
        <v>12.003634453483254</v>
      </c>
      <c r="AA346" s="5">
        <v>1062.0</v>
      </c>
      <c r="AB346" s="5">
        <v>1859.0</v>
      </c>
      <c r="AC346" s="5">
        <v>12.0</v>
      </c>
      <c r="AD346" s="5">
        <v>12.0</v>
      </c>
      <c r="AE346" s="9" t="b">
        <v>1</v>
      </c>
      <c r="AF346" s="9" t="b">
        <v>1</v>
      </c>
      <c r="AG346" s="5">
        <v>13.19618950267615</v>
      </c>
      <c r="AH346" s="5">
        <v>7.538651560969377</v>
      </c>
      <c r="AI346" s="5">
        <v>392.0</v>
      </c>
      <c r="AJ346" s="5">
        <v>1051.0</v>
      </c>
      <c r="AK346" s="5">
        <v>6.0</v>
      </c>
      <c r="AL346" s="5">
        <v>6.0</v>
      </c>
      <c r="AM346" s="5">
        <v>151.43540669856458</v>
      </c>
      <c r="AN346" s="5">
        <v>51.93798449612403</v>
      </c>
    </row>
    <row r="347" ht="15.75" customHeight="1">
      <c r="A347" s="5">
        <v>16.0</v>
      </c>
      <c r="B347" s="5">
        <v>2020.0</v>
      </c>
      <c r="C347" s="5">
        <v>5212.8</v>
      </c>
      <c r="D347" s="5">
        <v>140536.0</v>
      </c>
      <c r="E347" s="5">
        <v>5049.773149166672</v>
      </c>
      <c r="F347" s="5">
        <v>4642.969711400045</v>
      </c>
      <c r="G347" s="5">
        <v>4.0</v>
      </c>
      <c r="H347" s="5">
        <v>4.0</v>
      </c>
      <c r="I347" s="5">
        <v>1.0322839949474227</v>
      </c>
      <c r="J347" s="5">
        <v>12.429548016624103</v>
      </c>
      <c r="K347" s="5">
        <v>-5.251211036210535</v>
      </c>
      <c r="L347" s="5">
        <v>1.122729701897652</v>
      </c>
      <c r="M347" s="5">
        <v>11.307048413489195</v>
      </c>
      <c r="N347" s="5">
        <v>-4.295696722199871</v>
      </c>
      <c r="O347" s="5">
        <v>6.525635183213541</v>
      </c>
      <c r="P347" s="5">
        <v>2008.0</v>
      </c>
      <c r="Q347" s="5">
        <v>4.0</v>
      </c>
      <c r="R347" s="5">
        <v>2012.0</v>
      </c>
      <c r="S347" s="5">
        <v>4.0</v>
      </c>
      <c r="T347" s="5">
        <v>107796.9</v>
      </c>
      <c r="U347" s="5">
        <v>4.0</v>
      </c>
      <c r="V347" s="5">
        <v>53.576988071570575</v>
      </c>
      <c r="W347" s="9" t="b">
        <v>1</v>
      </c>
      <c r="X347" s="9" t="b">
        <v>1</v>
      </c>
      <c r="Y347" s="5">
        <v>14.28815392497296</v>
      </c>
      <c r="Z347" s="5">
        <v>14.316616382990834</v>
      </c>
      <c r="AA347" s="5">
        <v>1433.0</v>
      </c>
      <c r="AB347" s="5">
        <v>952.0</v>
      </c>
      <c r="AC347" s="5">
        <v>12.0</v>
      </c>
      <c r="AD347" s="5">
        <v>12.0</v>
      </c>
      <c r="AE347" s="9" t="b">
        <v>1</v>
      </c>
      <c r="AF347" s="9" t="b">
        <v>1</v>
      </c>
      <c r="AG347" s="5">
        <v>6.774065008254113</v>
      </c>
      <c r="AH347" s="5">
        <v>10.196675584903511</v>
      </c>
      <c r="AI347" s="5">
        <v>400.0</v>
      </c>
      <c r="AJ347" s="5">
        <v>497.0</v>
      </c>
      <c r="AK347" s="5">
        <v>6.0</v>
      </c>
      <c r="AL347" s="5">
        <v>6.0</v>
      </c>
      <c r="AM347" s="5">
        <v>-52.71170313986679</v>
      </c>
      <c r="AN347" s="5">
        <v>2.0408163265306145</v>
      </c>
    </row>
    <row r="348" ht="15.75" customHeight="1">
      <c r="A348" s="5">
        <v>16.0</v>
      </c>
      <c r="B348" s="5">
        <v>2021.0</v>
      </c>
      <c r="C348" s="5">
        <v>5697.74</v>
      </c>
      <c r="D348" s="5">
        <v>139972.0</v>
      </c>
      <c r="E348" s="5">
        <v>5871.231184881125</v>
      </c>
      <c r="F348" s="5">
        <v>5132.256950503502</v>
      </c>
      <c r="G348" s="5">
        <v>4.0</v>
      </c>
      <c r="H348" s="5">
        <v>4.0</v>
      </c>
      <c r="I348" s="5">
        <v>0.9704506296178766</v>
      </c>
      <c r="J348" s="5">
        <v>16.267226496105323</v>
      </c>
      <c r="K348" s="5">
        <v>-5.989956797954177</v>
      </c>
      <c r="L348" s="5">
        <v>1.1101821391543971</v>
      </c>
      <c r="M348" s="5">
        <v>10.538238875478623</v>
      </c>
      <c r="N348" s="5">
        <v>-1.1175942635210379</v>
      </c>
      <c r="O348" s="5">
        <v>9.302869858809082</v>
      </c>
      <c r="P348" s="5">
        <v>1861.0</v>
      </c>
      <c r="Q348" s="5">
        <v>4.0</v>
      </c>
      <c r="R348" s="5">
        <v>1870.0</v>
      </c>
      <c r="S348" s="5">
        <v>4.0</v>
      </c>
      <c r="T348" s="5">
        <v>100097.0</v>
      </c>
      <c r="U348" s="5">
        <v>4.0</v>
      </c>
      <c r="V348" s="5">
        <v>53.52780748663102</v>
      </c>
      <c r="W348" s="9" t="b">
        <v>1</v>
      </c>
      <c r="X348" s="9" t="b">
        <v>1</v>
      </c>
      <c r="Y348" s="5">
        <v>13.295516246106365</v>
      </c>
      <c r="Z348" s="5">
        <v>13.359814820106878</v>
      </c>
      <c r="AA348" s="5">
        <v>1293.0</v>
      </c>
      <c r="AB348" s="5">
        <v>990.0</v>
      </c>
      <c r="AC348" s="5">
        <v>12.0</v>
      </c>
      <c r="AD348" s="5">
        <v>12.0</v>
      </c>
      <c r="AE348" s="9" t="b">
        <v>1</v>
      </c>
      <c r="AF348" s="9" t="b">
        <v>1</v>
      </c>
      <c r="AG348" s="5">
        <v>7.072843140056582</v>
      </c>
      <c r="AH348" s="5">
        <v>9.2375617980739</v>
      </c>
      <c r="AI348" s="5">
        <v>415.0</v>
      </c>
      <c r="AJ348" s="5">
        <v>630.0</v>
      </c>
      <c r="AK348" s="5">
        <v>6.0</v>
      </c>
      <c r="AL348" s="5">
        <v>6.0</v>
      </c>
      <c r="AM348" s="5">
        <v>26.7605633802817</v>
      </c>
      <c r="AN348" s="5">
        <v>3.750000000000009</v>
      </c>
    </row>
    <row r="349" ht="15.75" customHeight="1">
      <c r="A349" s="5">
        <v>16.0</v>
      </c>
      <c r="B349" s="5">
        <v>2022.0</v>
      </c>
      <c r="C349" s="5">
        <v>6462.8</v>
      </c>
      <c r="D349" s="5">
        <v>139503.0</v>
      </c>
      <c r="E349" s="5">
        <v>7253.582290551763</v>
      </c>
      <c r="F349" s="5">
        <v>6111.703945100411</v>
      </c>
      <c r="G349" s="5">
        <v>4.0</v>
      </c>
      <c r="H349" s="5">
        <v>4.0</v>
      </c>
      <c r="I349" s="5">
        <v>0.8909804481598278</v>
      </c>
      <c r="J349" s="5">
        <v>23.544484319239544</v>
      </c>
      <c r="K349" s="5">
        <v>-8.188997877134764</v>
      </c>
      <c r="L349" s="5">
        <v>1.057446508871074</v>
      </c>
      <c r="M349" s="5">
        <v>19.084137915207467</v>
      </c>
      <c r="N349" s="5">
        <v>-4.750178229627322</v>
      </c>
      <c r="O349" s="5">
        <v>13.42742912101993</v>
      </c>
      <c r="P349" s="5">
        <v>1559.0</v>
      </c>
      <c r="Q349" s="5">
        <v>4.0</v>
      </c>
      <c r="R349" s="5">
        <v>1666.0</v>
      </c>
      <c r="S349" s="5">
        <v>4.0</v>
      </c>
      <c r="T349" s="5">
        <v>91093.2</v>
      </c>
      <c r="U349" s="5">
        <v>4.0</v>
      </c>
      <c r="V349" s="5">
        <v>54.67779111644658</v>
      </c>
      <c r="W349" s="9" t="b">
        <v>1</v>
      </c>
      <c r="X349" s="9" t="b">
        <v>1</v>
      </c>
      <c r="Y349" s="5">
        <v>11.175386909242096</v>
      </c>
      <c r="Z349" s="5">
        <v>11.94239550403934</v>
      </c>
      <c r="AA349" s="5">
        <v>1803.0</v>
      </c>
      <c r="AB349" s="5">
        <v>624.0</v>
      </c>
      <c r="AC349" s="5">
        <v>12.0</v>
      </c>
      <c r="AD349" s="5">
        <v>12.0</v>
      </c>
      <c r="AE349" s="9" t="b">
        <v>1</v>
      </c>
      <c r="AF349" s="9" t="b">
        <v>1</v>
      </c>
      <c r="AG349" s="5">
        <v>4.473022085546547</v>
      </c>
      <c r="AH349" s="5">
        <v>12.924453237564784</v>
      </c>
      <c r="AI349" s="5">
        <v>793.0</v>
      </c>
      <c r="AJ349" s="5">
        <v>428.0</v>
      </c>
      <c r="AK349" s="5">
        <v>6.0</v>
      </c>
      <c r="AL349" s="5">
        <v>6.0</v>
      </c>
      <c r="AM349" s="5">
        <v>-32.06349206349206</v>
      </c>
      <c r="AN349" s="5">
        <v>91.08433734939759</v>
      </c>
    </row>
    <row r="350" ht="15.75" customHeight="1">
      <c r="A350" s="5">
        <v>16.0</v>
      </c>
      <c r="B350" s="5">
        <v>2023.0</v>
      </c>
      <c r="C350" s="5">
        <v>7487.1</v>
      </c>
      <c r="D350" s="5">
        <v>139132.0</v>
      </c>
      <c r="E350" s="5">
        <v>7577.206818738948</v>
      </c>
      <c r="F350" s="5">
        <v>6640.377890425348</v>
      </c>
      <c r="G350" s="5">
        <v>4.0</v>
      </c>
      <c r="H350" s="5">
        <v>4.0</v>
      </c>
      <c r="I350" s="5">
        <v>0.9881081748334878</v>
      </c>
      <c r="J350" s="5">
        <v>4.461582087635851</v>
      </c>
      <c r="K350" s="5">
        <v>10.901218637767096</v>
      </c>
      <c r="L350" s="5">
        <v>1.1275111331834786</v>
      </c>
      <c r="M350" s="5">
        <v>8.650189048321955</v>
      </c>
      <c r="N350" s="5">
        <v>6.625831540850724</v>
      </c>
      <c r="O350" s="5">
        <v>15.849167543479602</v>
      </c>
      <c r="Q350" s="5">
        <v>1.0</v>
      </c>
      <c r="R350" s="5">
        <v>1736.0</v>
      </c>
      <c r="S350" s="5">
        <v>4.0</v>
      </c>
      <c r="T350" s="5">
        <v>97540.0</v>
      </c>
      <c r="U350" s="5">
        <v>4.0</v>
      </c>
      <c r="V350" s="5">
        <v>56.18663594470046</v>
      </c>
      <c r="W350" s="9" t="b">
        <v>0</v>
      </c>
      <c r="X350" s="9" t="b">
        <v>1</v>
      </c>
      <c r="Z350" s="5">
        <v>12.477359629704166</v>
      </c>
      <c r="AA350" s="5">
        <v>772.0</v>
      </c>
      <c r="AB350" s="5">
        <v>1747.0</v>
      </c>
      <c r="AC350" s="5">
        <v>12.0</v>
      </c>
      <c r="AD350" s="5">
        <v>12.0</v>
      </c>
      <c r="AE350" s="9" t="b">
        <v>1</v>
      </c>
      <c r="AF350" s="9" t="b">
        <v>1</v>
      </c>
      <c r="AG350" s="5">
        <v>12.556421240261047</v>
      </c>
      <c r="AH350" s="5">
        <v>5.548687577264756</v>
      </c>
      <c r="AI350" s="5">
        <v>223.0</v>
      </c>
      <c r="AJ350" s="5">
        <v>629.0</v>
      </c>
      <c r="AK350" s="5">
        <v>6.0</v>
      </c>
      <c r="AL350" s="5">
        <v>6.0</v>
      </c>
      <c r="AM350" s="5">
        <v>46.9626168224299</v>
      </c>
      <c r="AN350" s="5">
        <v>-71.87894073139975</v>
      </c>
    </row>
    <row r="351" ht="15.75" customHeight="1">
      <c r="A351" s="5">
        <v>16.0</v>
      </c>
      <c r="B351" s="5">
        <v>2024.0</v>
      </c>
      <c r="C351" s="5">
        <v>8679.92</v>
      </c>
      <c r="D351" s="5">
        <v>138887.0</v>
      </c>
      <c r="E351" s="5">
        <v>8306.056720889756</v>
      </c>
      <c r="F351" s="5">
        <v>7748.23266298714</v>
      </c>
      <c r="G351" s="5">
        <v>4.0</v>
      </c>
      <c r="H351" s="5">
        <v>4.0</v>
      </c>
      <c r="I351" s="5">
        <v>1.0450109229533646</v>
      </c>
      <c r="J351" s="5">
        <v>9.618978597077653</v>
      </c>
      <c r="K351" s="5">
        <v>5.758756942727028</v>
      </c>
      <c r="L351" s="5">
        <v>1.1202451420261907</v>
      </c>
      <c r="M351" s="5">
        <v>16.683610343308786</v>
      </c>
      <c r="N351" s="5">
        <v>-0.6444274423058394</v>
      </c>
      <c r="O351" s="5">
        <v>15.931669137583304</v>
      </c>
      <c r="Q351" s="5">
        <v>2.0</v>
      </c>
      <c r="R351" s="5">
        <v>1789.0</v>
      </c>
      <c r="S351" s="5">
        <v>4.0</v>
      </c>
      <c r="T351" s="5">
        <v>100330.8</v>
      </c>
      <c r="U351" s="5">
        <v>4.0</v>
      </c>
      <c r="V351" s="5">
        <v>56.08205701509223</v>
      </c>
      <c r="W351" s="9" t="b">
        <v>0</v>
      </c>
      <c r="X351" s="9" t="b">
        <v>1</v>
      </c>
      <c r="Z351" s="5">
        <v>12.880975181262464</v>
      </c>
      <c r="AA351" s="5">
        <v>762.0</v>
      </c>
      <c r="AB351" s="5">
        <v>513.0</v>
      </c>
      <c r="AC351" s="5">
        <v>12.0</v>
      </c>
      <c r="AD351" s="5">
        <v>12.0</v>
      </c>
      <c r="AE351" s="9" t="b">
        <v>1</v>
      </c>
      <c r="AF351" s="9" t="b">
        <v>1</v>
      </c>
      <c r="AG351" s="5">
        <v>3.6936502336431776</v>
      </c>
      <c r="AH351" s="5">
        <v>5.486474616054778</v>
      </c>
      <c r="AI351" s="5">
        <v>460.0</v>
      </c>
      <c r="AJ351" s="5">
        <v>204.0</v>
      </c>
      <c r="AK351" s="5">
        <v>6.0</v>
      </c>
      <c r="AL351" s="5">
        <v>6.0</v>
      </c>
      <c r="AM351" s="5">
        <v>-67.56756756756756</v>
      </c>
      <c r="AN351" s="5">
        <v>106.27802690582962</v>
      </c>
    </row>
    <row r="352" ht="15.75" customHeight="1">
      <c r="A352" s="5">
        <v>16.0</v>
      </c>
      <c r="B352" s="5">
        <v>2025.0</v>
      </c>
      <c r="C352" s="5">
        <v>9302.48</v>
      </c>
      <c r="D352" s="5">
        <v>138760.0</v>
      </c>
      <c r="E352" s="5">
        <v>9350.753668551022</v>
      </c>
      <c r="F352" s="5">
        <v>8348.141081484864</v>
      </c>
      <c r="G352" s="5">
        <v>4.0</v>
      </c>
      <c r="H352" s="5">
        <v>4.0</v>
      </c>
      <c r="I352" s="5">
        <v>0.994837456929982</v>
      </c>
      <c r="J352" s="5">
        <v>12.57753206806127</v>
      </c>
      <c r="K352" s="5">
        <v>-4.801238429315601</v>
      </c>
      <c r="L352" s="5">
        <v>1.1143175359879507</v>
      </c>
      <c r="M352" s="5">
        <v>7.742519418182314</v>
      </c>
      <c r="N352" s="5">
        <v>-0.5291347238086441</v>
      </c>
      <c r="O352" s="5">
        <v>7.172416335634413</v>
      </c>
      <c r="AA352" s="5">
        <v>1063.0</v>
      </c>
      <c r="AB352" s="5">
        <v>842.0</v>
      </c>
      <c r="AC352" s="5">
        <v>12.0</v>
      </c>
      <c r="AD352" s="5">
        <v>12.0</v>
      </c>
      <c r="AE352" s="9" t="b">
        <v>1</v>
      </c>
      <c r="AF352" s="9" t="b">
        <v>1</v>
      </c>
      <c r="AG352" s="5">
        <v>6.068031132891322</v>
      </c>
      <c r="AH352" s="5">
        <v>7.660709138080138</v>
      </c>
      <c r="AI352" s="5">
        <v>397.0</v>
      </c>
      <c r="AJ352" s="5">
        <v>561.0</v>
      </c>
      <c r="AK352" s="5">
        <v>6.0</v>
      </c>
      <c r="AL352" s="5">
        <v>6.0</v>
      </c>
      <c r="AM352" s="5">
        <v>175.0</v>
      </c>
      <c r="AN352" s="5">
        <v>-13.695652173913043</v>
      </c>
    </row>
    <row r="353" ht="15.75" customHeight="1">
      <c r="A353" s="5">
        <v>16.0</v>
      </c>
      <c r="B353" s="5">
        <v>2026.0</v>
      </c>
      <c r="AI353" s="5">
        <v>296.0</v>
      </c>
      <c r="AJ353" s="5">
        <v>464.0</v>
      </c>
      <c r="AK353" s="5">
        <v>6.0</v>
      </c>
      <c r="AL353" s="5">
        <v>6.0</v>
      </c>
      <c r="AM353" s="5">
        <v>-17.290552584670227</v>
      </c>
      <c r="AN353" s="5">
        <v>-25.440806045340047</v>
      </c>
    </row>
    <row r="354" ht="15.75" customHeight="1">
      <c r="A354" s="5">
        <v>17.0</v>
      </c>
      <c r="B354" s="5">
        <v>2005.0</v>
      </c>
      <c r="C354" s="5">
        <v>2401.67</v>
      </c>
      <c r="D354" s="5">
        <v>770751.0</v>
      </c>
      <c r="AA354" s="5">
        <v>682.0</v>
      </c>
      <c r="AB354" s="5">
        <v>880.0</v>
      </c>
      <c r="AC354" s="5">
        <v>12.0</v>
      </c>
      <c r="AD354" s="5">
        <v>12.0</v>
      </c>
      <c r="AE354" s="9" t="b">
        <v>1</v>
      </c>
      <c r="AF354" s="9" t="b">
        <v>1</v>
      </c>
      <c r="AG354" s="5">
        <v>1.141743572178304</v>
      </c>
      <c r="AH354" s="5">
        <v>0.8848512684381856</v>
      </c>
      <c r="AI354" s="5">
        <v>238.0</v>
      </c>
      <c r="AJ354" s="5">
        <v>456.0</v>
      </c>
      <c r="AK354" s="5">
        <v>6.0</v>
      </c>
      <c r="AL354" s="5">
        <v>6.0</v>
      </c>
    </row>
    <row r="355" ht="15.75" customHeight="1">
      <c r="A355" s="5">
        <v>17.0</v>
      </c>
      <c r="B355" s="5">
        <v>2006.0</v>
      </c>
      <c r="C355" s="5">
        <v>2500.84</v>
      </c>
      <c r="D355" s="5">
        <v>764168.0</v>
      </c>
      <c r="AA355" s="5">
        <v>1186.0</v>
      </c>
      <c r="AB355" s="5">
        <v>994.0</v>
      </c>
      <c r="AC355" s="5">
        <v>12.0</v>
      </c>
      <c r="AD355" s="5">
        <v>12.0</v>
      </c>
      <c r="AE355" s="9" t="b">
        <v>1</v>
      </c>
      <c r="AF355" s="9" t="b">
        <v>1</v>
      </c>
      <c r="AG355" s="5">
        <v>1.3007610891845771</v>
      </c>
      <c r="AH355" s="5">
        <v>1.5520147402141937</v>
      </c>
      <c r="AI355" s="5">
        <v>401.0</v>
      </c>
      <c r="AJ355" s="5">
        <v>345.0</v>
      </c>
      <c r="AK355" s="5">
        <v>6.0</v>
      </c>
      <c r="AL355" s="5">
        <v>6.0</v>
      </c>
      <c r="AM355" s="5">
        <v>-24.342105263157897</v>
      </c>
      <c r="AN355" s="5">
        <v>68.4873949579832</v>
      </c>
    </row>
    <row r="356" ht="15.75" customHeight="1">
      <c r="A356" s="5">
        <v>17.0</v>
      </c>
      <c r="B356" s="5">
        <v>2007.0</v>
      </c>
      <c r="C356" s="5">
        <v>2698.09</v>
      </c>
      <c r="D356" s="5">
        <v>756666.0</v>
      </c>
      <c r="E356" s="5">
        <v>4975.0</v>
      </c>
      <c r="F356" s="5">
        <v>3693.6691792913</v>
      </c>
      <c r="G356" s="5">
        <v>4.0</v>
      </c>
      <c r="H356" s="5">
        <v>4.0</v>
      </c>
      <c r="I356" s="5">
        <v>0.5423296482412061</v>
      </c>
      <c r="L356" s="5">
        <v>0.7304633601533528</v>
      </c>
      <c r="AA356" s="5">
        <v>1559.0</v>
      </c>
      <c r="AB356" s="5">
        <v>2061.0</v>
      </c>
      <c r="AC356" s="5">
        <v>12.0</v>
      </c>
      <c r="AD356" s="5">
        <v>12.0</v>
      </c>
      <c r="AE356" s="9" t="b">
        <v>1</v>
      </c>
      <c r="AF356" s="9" t="b">
        <v>1</v>
      </c>
      <c r="AG356" s="5">
        <v>2.7237909460713183</v>
      </c>
      <c r="AH356" s="5">
        <v>2.060354238197567</v>
      </c>
      <c r="AI356" s="5">
        <v>418.0</v>
      </c>
      <c r="AJ356" s="5">
        <v>413.0</v>
      </c>
      <c r="AK356" s="5">
        <v>6.0</v>
      </c>
      <c r="AL356" s="5">
        <v>6.0</v>
      </c>
      <c r="AM356" s="5">
        <v>19.71014492753622</v>
      </c>
      <c r="AN356" s="5">
        <v>4.239401496259343</v>
      </c>
    </row>
    <row r="357" ht="15.75" customHeight="1">
      <c r="A357" s="5">
        <v>17.0</v>
      </c>
      <c r="B357" s="5">
        <v>2008.0</v>
      </c>
      <c r="C357" s="5">
        <v>3002.12</v>
      </c>
      <c r="D357" s="5">
        <v>750125.0</v>
      </c>
      <c r="E357" s="5">
        <v>5225.0</v>
      </c>
      <c r="F357" s="5">
        <v>3957.896641923379</v>
      </c>
      <c r="G357" s="5">
        <v>4.0</v>
      </c>
      <c r="H357" s="5">
        <v>4.0</v>
      </c>
      <c r="I357" s="5">
        <v>0.5745684210526315</v>
      </c>
      <c r="J357" s="5">
        <v>5.025125628140703</v>
      </c>
      <c r="K357" s="5">
        <v>5.944497579281682</v>
      </c>
      <c r="L357" s="5">
        <v>0.758513996601258</v>
      </c>
      <c r="M357" s="5">
        <v>7.153522684529534</v>
      </c>
      <c r="N357" s="5">
        <v>3.840115463425331</v>
      </c>
      <c r="O357" s="5">
        <v>11.26834167874311</v>
      </c>
      <c r="AA357" s="5">
        <v>2397.0</v>
      </c>
      <c r="AB357" s="5">
        <v>1529.0</v>
      </c>
      <c r="AC357" s="5">
        <v>12.0</v>
      </c>
      <c r="AD357" s="5">
        <v>12.0</v>
      </c>
      <c r="AE357" s="9" t="b">
        <v>1</v>
      </c>
      <c r="AF357" s="9" t="b">
        <v>1</v>
      </c>
      <c r="AG357" s="5">
        <v>2.0383269455090818</v>
      </c>
      <c r="AH357" s="5">
        <v>3.1954674220963173</v>
      </c>
      <c r="AI357" s="5">
        <v>870.0</v>
      </c>
      <c r="AJ357" s="5">
        <v>695.0</v>
      </c>
      <c r="AK357" s="5">
        <v>6.0</v>
      </c>
      <c r="AL357" s="5">
        <v>6.0</v>
      </c>
      <c r="AM357" s="5">
        <v>68.28087167070218</v>
      </c>
      <c r="AN357" s="5">
        <v>108.13397129186603</v>
      </c>
    </row>
    <row r="358" ht="15.75" customHeight="1">
      <c r="A358" s="5">
        <v>17.0</v>
      </c>
      <c r="B358" s="5">
        <v>2009.0</v>
      </c>
      <c r="C358" s="5">
        <v>3159.24</v>
      </c>
      <c r="D358" s="5">
        <v>744541.0</v>
      </c>
      <c r="E358" s="5">
        <v>4969.25</v>
      </c>
      <c r="F358" s="5">
        <v>3781.248165941516</v>
      </c>
      <c r="G358" s="5">
        <v>4.0</v>
      </c>
      <c r="H358" s="5">
        <v>4.0</v>
      </c>
      <c r="I358" s="5">
        <v>0.6357579111535946</v>
      </c>
      <c r="J358" s="5">
        <v>-4.894736842105263</v>
      </c>
      <c r="K358" s="5">
        <v>10.64964377764821</v>
      </c>
      <c r="L358" s="5">
        <v>0.8355018928553613</v>
      </c>
      <c r="M358" s="5">
        <v>-4.463190728902378</v>
      </c>
      <c r="N358" s="5">
        <v>10.149831987157775</v>
      </c>
      <c r="O358" s="5">
        <v>5.233634898005413</v>
      </c>
      <c r="AA358" s="5">
        <v>1800.0</v>
      </c>
      <c r="AB358" s="5">
        <v>1452.0</v>
      </c>
      <c r="AC358" s="5">
        <v>12.0</v>
      </c>
      <c r="AD358" s="5">
        <v>12.0</v>
      </c>
      <c r="AE358" s="9" t="b">
        <v>1</v>
      </c>
      <c r="AF358" s="9" t="b">
        <v>1</v>
      </c>
      <c r="AG358" s="5">
        <v>1.9501948180153947</v>
      </c>
      <c r="AH358" s="5">
        <v>2.417596881837266</v>
      </c>
      <c r="AI358" s="5">
        <v>660.0</v>
      </c>
      <c r="AJ358" s="5">
        <v>578.0</v>
      </c>
      <c r="AK358" s="5">
        <v>6.0</v>
      </c>
      <c r="AL358" s="5">
        <v>6.0</v>
      </c>
      <c r="AM358" s="5">
        <v>-16.834532374100718</v>
      </c>
      <c r="AN358" s="5">
        <v>-24.13793103448276</v>
      </c>
    </row>
    <row r="359" ht="15.75" customHeight="1">
      <c r="A359" s="5">
        <v>17.0</v>
      </c>
      <c r="B359" s="5">
        <v>2010.0</v>
      </c>
      <c r="C359" s="5">
        <v>3243.15</v>
      </c>
      <c r="D359" s="5">
        <v>733367.0</v>
      </c>
      <c r="E359" s="5">
        <v>4926.75</v>
      </c>
      <c r="F359" s="5">
        <v>3944.190759289194</v>
      </c>
      <c r="G359" s="5">
        <v>4.0</v>
      </c>
      <c r="H359" s="5">
        <v>4.0</v>
      </c>
      <c r="I359" s="5">
        <v>0.6582737098492921</v>
      </c>
      <c r="J359" s="5">
        <v>-0.8552598480656037</v>
      </c>
      <c r="K359" s="5">
        <v>3.541567993207062</v>
      </c>
      <c r="L359" s="5">
        <v>0.8222599255276556</v>
      </c>
      <c r="M359" s="5">
        <v>4.309227699343698</v>
      </c>
      <c r="N359" s="5">
        <v>-1.5849117088712616</v>
      </c>
      <c r="O359" s="5">
        <v>2.6560185361036215</v>
      </c>
      <c r="P359" s="5">
        <v>2735.0</v>
      </c>
      <c r="Q359" s="5">
        <v>4.0</v>
      </c>
      <c r="R359" s="5">
        <v>2042.0</v>
      </c>
      <c r="S359" s="5">
        <v>4.0</v>
      </c>
      <c r="T359" s="5">
        <v>106724.8</v>
      </c>
      <c r="U359" s="5">
        <v>4.0</v>
      </c>
      <c r="V359" s="5">
        <v>52.26483839373164</v>
      </c>
      <c r="W359" s="9" t="b">
        <v>1</v>
      </c>
      <c r="X359" s="9" t="b">
        <v>1</v>
      </c>
      <c r="Y359" s="5">
        <v>3.729374242364328</v>
      </c>
      <c r="Z359" s="5">
        <v>2.784417624463604</v>
      </c>
      <c r="AA359" s="5">
        <v>2082.0</v>
      </c>
      <c r="AB359" s="5">
        <v>2374.0</v>
      </c>
      <c r="AC359" s="5">
        <v>12.0</v>
      </c>
      <c r="AD359" s="5">
        <v>12.0</v>
      </c>
      <c r="AE359" s="9" t="b">
        <v>1</v>
      </c>
      <c r="AF359" s="9" t="b">
        <v>1</v>
      </c>
      <c r="AG359" s="5">
        <v>3.2371241138475004</v>
      </c>
      <c r="AH359" s="5">
        <v>2.8389605749917846</v>
      </c>
      <c r="AI359" s="5">
        <v>1228.0</v>
      </c>
      <c r="AJ359" s="5">
        <v>1171.0</v>
      </c>
      <c r="AK359" s="5">
        <v>6.0</v>
      </c>
      <c r="AL359" s="5">
        <v>6.0</v>
      </c>
      <c r="AM359" s="5">
        <v>102.59515570934256</v>
      </c>
      <c r="AN359" s="5">
        <v>86.06060606060606</v>
      </c>
    </row>
    <row r="360" ht="15.75" customHeight="1">
      <c r="A360" s="5">
        <v>17.0</v>
      </c>
      <c r="B360" s="5">
        <v>2011.0</v>
      </c>
      <c r="C360" s="5">
        <v>3427.06</v>
      </c>
      <c r="D360" s="5">
        <v>727884.0</v>
      </c>
      <c r="E360" s="5">
        <v>4972.25</v>
      </c>
      <c r="F360" s="5">
        <v>3904.1269365899707</v>
      </c>
      <c r="G360" s="5">
        <v>4.0</v>
      </c>
      <c r="H360" s="5">
        <v>4.0</v>
      </c>
      <c r="I360" s="5">
        <v>0.6892372668309116</v>
      </c>
      <c r="J360" s="5">
        <v>0.9235297102552442</v>
      </c>
      <c r="K360" s="5">
        <v>4.703751117253097</v>
      </c>
      <c r="L360" s="5">
        <v>0.8778044504345288</v>
      </c>
      <c r="M360" s="5">
        <v>-1.015767875954443</v>
      </c>
      <c r="N360" s="5">
        <v>6.75510543350748</v>
      </c>
      <c r="O360" s="5">
        <v>5.670721366572629</v>
      </c>
      <c r="P360" s="5">
        <v>3389.0</v>
      </c>
      <c r="Q360" s="5">
        <v>4.0</v>
      </c>
      <c r="R360" s="5">
        <v>2467.0</v>
      </c>
      <c r="S360" s="5">
        <v>4.0</v>
      </c>
      <c r="T360" s="5">
        <v>126910.4</v>
      </c>
      <c r="U360" s="5">
        <v>4.0</v>
      </c>
      <c r="V360" s="5">
        <v>51.44321037697608</v>
      </c>
      <c r="W360" s="9" t="b">
        <v>1</v>
      </c>
      <c r="X360" s="9" t="b">
        <v>1</v>
      </c>
      <c r="Y360" s="5">
        <v>4.6559616642212225</v>
      </c>
      <c r="Z360" s="5">
        <v>3.389276313258706</v>
      </c>
      <c r="AA360" s="5">
        <v>1525.0</v>
      </c>
      <c r="AB360" s="5">
        <v>1972.0</v>
      </c>
      <c r="AC360" s="5">
        <v>12.0</v>
      </c>
      <c r="AD360" s="5">
        <v>12.0</v>
      </c>
      <c r="AE360" s="9" t="b">
        <v>1</v>
      </c>
      <c r="AF360" s="9" t="b">
        <v>1</v>
      </c>
      <c r="AG360" s="5">
        <v>2.7092228981541013</v>
      </c>
      <c r="AH360" s="5">
        <v>2.0951140566353983</v>
      </c>
      <c r="AI360" s="5">
        <v>598.0</v>
      </c>
      <c r="AJ360" s="5">
        <v>594.0</v>
      </c>
      <c r="AK360" s="5">
        <v>6.0</v>
      </c>
      <c r="AL360" s="5">
        <v>6.0</v>
      </c>
      <c r="AM360" s="5">
        <v>-49.27412467976089</v>
      </c>
      <c r="AN360" s="5">
        <v>-51.302931596091206</v>
      </c>
    </row>
    <row r="361" ht="15.75" customHeight="1">
      <c r="A361" s="5">
        <v>17.0</v>
      </c>
      <c r="B361" s="5">
        <v>2012.0</v>
      </c>
      <c r="C361" s="5">
        <v>3568.84</v>
      </c>
      <c r="D361" s="5">
        <v>722022.0</v>
      </c>
      <c r="E361" s="5">
        <v>4571.75</v>
      </c>
      <c r="F361" s="5">
        <v>3619.028218645474</v>
      </c>
      <c r="G361" s="5">
        <v>4.0</v>
      </c>
      <c r="H361" s="5">
        <v>4.0</v>
      </c>
      <c r="I361" s="5">
        <v>0.7806288620331383</v>
      </c>
      <c r="J361" s="5">
        <v>-8.054703605007795</v>
      </c>
      <c r="K361" s="5">
        <v>13.259816263627489</v>
      </c>
      <c r="L361" s="5">
        <v>0.9861321284020663</v>
      </c>
      <c r="M361" s="5">
        <v>-7.302496116929891</v>
      </c>
      <c r="N361" s="5">
        <v>12.340752876556206</v>
      </c>
      <c r="O361" s="5">
        <v>4.137073760015886</v>
      </c>
      <c r="P361" s="5">
        <v>3637.0</v>
      </c>
      <c r="Q361" s="5">
        <v>4.0</v>
      </c>
      <c r="R361" s="5">
        <v>2384.0</v>
      </c>
      <c r="S361" s="5">
        <v>4.0</v>
      </c>
      <c r="T361" s="5">
        <v>125062.70000000001</v>
      </c>
      <c r="U361" s="5">
        <v>4.0</v>
      </c>
      <c r="V361" s="5">
        <v>52.459186241610745</v>
      </c>
      <c r="W361" s="9" t="b">
        <v>1</v>
      </c>
      <c r="X361" s="9" t="b">
        <v>1</v>
      </c>
      <c r="Y361" s="5">
        <v>5.037242632495962</v>
      </c>
      <c r="Z361" s="5">
        <v>3.3018384481359293</v>
      </c>
      <c r="AA361" s="5">
        <v>2595.0</v>
      </c>
      <c r="AB361" s="5">
        <v>915.0</v>
      </c>
      <c r="AC361" s="5">
        <v>12.0</v>
      </c>
      <c r="AD361" s="5">
        <v>12.0</v>
      </c>
      <c r="AE361" s="9" t="b">
        <v>1</v>
      </c>
      <c r="AF361" s="9" t="b">
        <v>1</v>
      </c>
      <c r="AG361" s="5">
        <v>1.2672744043810298</v>
      </c>
      <c r="AH361" s="5">
        <v>3.5940733107855443</v>
      </c>
      <c r="AI361" s="5">
        <v>1106.0</v>
      </c>
      <c r="AJ361" s="5">
        <v>563.0</v>
      </c>
      <c r="AK361" s="5">
        <v>6.0</v>
      </c>
      <c r="AL361" s="5">
        <v>6.0</v>
      </c>
      <c r="AM361" s="5">
        <v>-5.218855218855223</v>
      </c>
      <c r="AN361" s="5">
        <v>84.94983277591975</v>
      </c>
    </row>
    <row r="362" ht="15.75" customHeight="1">
      <c r="A362" s="5">
        <v>17.0</v>
      </c>
      <c r="B362" s="5">
        <v>2013.0</v>
      </c>
      <c r="C362" s="5">
        <v>3710.91</v>
      </c>
      <c r="D362" s="5">
        <v>715360.0</v>
      </c>
      <c r="E362" s="5">
        <v>4492.75</v>
      </c>
      <c r="F362" s="5">
        <v>3440.892732720121</v>
      </c>
      <c r="G362" s="5">
        <v>4.0</v>
      </c>
      <c r="H362" s="5">
        <v>4.0</v>
      </c>
      <c r="I362" s="5">
        <v>0.8259774080462968</v>
      </c>
      <c r="J362" s="5">
        <v>-1.7280034997539273</v>
      </c>
      <c r="K362" s="5">
        <v>5.809232558356703</v>
      </c>
      <c r="L362" s="5">
        <v>1.078473026698052</v>
      </c>
      <c r="M362" s="5">
        <v>-4.922191128756259</v>
      </c>
      <c r="N362" s="5">
        <v>9.363947856116939</v>
      </c>
      <c r="O362" s="5">
        <v>3.9808453166855218</v>
      </c>
      <c r="P362" s="5">
        <v>8398.0</v>
      </c>
      <c r="Q362" s="5">
        <v>4.0</v>
      </c>
      <c r="R362" s="5">
        <v>4727.0</v>
      </c>
      <c r="S362" s="5">
        <v>4.0</v>
      </c>
      <c r="T362" s="5">
        <v>250094.2</v>
      </c>
      <c r="U362" s="5">
        <v>4.0</v>
      </c>
      <c r="V362" s="5">
        <v>52.90759466892321</v>
      </c>
      <c r="W362" s="9" t="b">
        <v>1</v>
      </c>
      <c r="X362" s="9" t="b">
        <v>1</v>
      </c>
      <c r="Y362" s="5">
        <v>11.739543726235741</v>
      </c>
      <c r="Z362" s="5">
        <v>6.607861775889063</v>
      </c>
      <c r="AA362" s="5">
        <v>1435.0</v>
      </c>
      <c r="AB362" s="5">
        <v>1631.0</v>
      </c>
      <c r="AC362" s="5">
        <v>12.0</v>
      </c>
      <c r="AD362" s="5">
        <v>12.0</v>
      </c>
      <c r="AE362" s="9" t="b">
        <v>1</v>
      </c>
      <c r="AF362" s="9" t="b">
        <v>1</v>
      </c>
      <c r="AG362" s="5">
        <v>2.2799709237307093</v>
      </c>
      <c r="AH362" s="5">
        <v>2.0059830015656455</v>
      </c>
      <c r="AI362" s="5">
        <v>735.0</v>
      </c>
      <c r="AJ362" s="5">
        <v>860.0</v>
      </c>
      <c r="AK362" s="5">
        <v>6.0</v>
      </c>
      <c r="AL362" s="5">
        <v>6.0</v>
      </c>
      <c r="AM362" s="5">
        <v>52.75310834813498</v>
      </c>
      <c r="AN362" s="5">
        <v>-33.54430379746836</v>
      </c>
    </row>
    <row r="363" ht="15.75" customHeight="1">
      <c r="A363" s="5">
        <v>17.0</v>
      </c>
      <c r="B363" s="5">
        <v>2014.0</v>
      </c>
      <c r="C363" s="5">
        <v>3837.47</v>
      </c>
      <c r="D363" s="5">
        <v>708554.0</v>
      </c>
      <c r="E363" s="5">
        <v>4570.75</v>
      </c>
      <c r="F363" s="5">
        <v>3461.8490528328502</v>
      </c>
      <c r="G363" s="5">
        <v>4.0</v>
      </c>
      <c r="H363" s="5">
        <v>4.0</v>
      </c>
      <c r="I363" s="5">
        <v>0.8395711863479735</v>
      </c>
      <c r="J363" s="5">
        <v>1.7361304323632476</v>
      </c>
      <c r="K363" s="5">
        <v>1.64578088568188</v>
      </c>
      <c r="L363" s="5">
        <v>1.10850298249133</v>
      </c>
      <c r="M363" s="5">
        <v>0.6090372976016223</v>
      </c>
      <c r="N363" s="5">
        <v>2.784488350647063</v>
      </c>
      <c r="O363" s="5">
        <v>3.410484220851484</v>
      </c>
      <c r="P363" s="5">
        <v>6777.0</v>
      </c>
      <c r="Q363" s="5">
        <v>4.0</v>
      </c>
      <c r="R363" s="5">
        <v>4150.0</v>
      </c>
      <c r="S363" s="5">
        <v>4.0</v>
      </c>
      <c r="T363" s="5">
        <v>220730.09999999998</v>
      </c>
      <c r="U363" s="5">
        <v>4.0</v>
      </c>
      <c r="V363" s="5">
        <v>53.18797590361445</v>
      </c>
      <c r="W363" s="9" t="b">
        <v>1</v>
      </c>
      <c r="X363" s="9" t="b">
        <v>1</v>
      </c>
      <c r="Y363" s="5">
        <v>9.564549773200067</v>
      </c>
      <c r="Z363" s="5">
        <v>5.8569989019891215</v>
      </c>
      <c r="AA363" s="5">
        <v>1752.0</v>
      </c>
      <c r="AB363" s="5">
        <v>2361.0</v>
      </c>
      <c r="AC363" s="5">
        <v>12.0</v>
      </c>
      <c r="AD363" s="5">
        <v>12.0</v>
      </c>
      <c r="AE363" s="9" t="b">
        <v>1</v>
      </c>
      <c r="AF363" s="9" t="b">
        <v>1</v>
      </c>
      <c r="AG363" s="5">
        <v>3.332138411468992</v>
      </c>
      <c r="AH363" s="5">
        <v>2.4726414641650463</v>
      </c>
      <c r="AI363" s="5">
        <v>707.0</v>
      </c>
      <c r="AJ363" s="5">
        <v>1664.0</v>
      </c>
      <c r="AK363" s="5">
        <v>6.0</v>
      </c>
      <c r="AL363" s="5">
        <v>6.0</v>
      </c>
      <c r="AM363" s="5">
        <v>93.48837209302326</v>
      </c>
      <c r="AN363" s="5">
        <v>-3.809523809523807</v>
      </c>
    </row>
    <row r="364" ht="15.75" customHeight="1">
      <c r="A364" s="5">
        <v>17.0</v>
      </c>
      <c r="B364" s="5">
        <v>2015.0</v>
      </c>
      <c r="C364" s="5">
        <v>4047.78</v>
      </c>
      <c r="D364" s="5">
        <v>703186.0</v>
      </c>
      <c r="E364" s="5">
        <v>4659.5</v>
      </c>
      <c r="F364" s="5">
        <v>3451.5948949602093</v>
      </c>
      <c r="G364" s="5">
        <v>4.0</v>
      </c>
      <c r="H364" s="5">
        <v>4.0</v>
      </c>
      <c r="I364" s="5">
        <v>0.8687155274171049</v>
      </c>
      <c r="J364" s="5">
        <v>1.9416944702729255</v>
      </c>
      <c r="K364" s="5">
        <v>3.471336504043876</v>
      </c>
      <c r="L364" s="5">
        <v>1.1727274269382832</v>
      </c>
      <c r="M364" s="5">
        <v>-0.29620465006265917</v>
      </c>
      <c r="N364" s="5">
        <v>5.793799877976924</v>
      </c>
      <c r="O364" s="5">
        <v>5.480433723260392</v>
      </c>
      <c r="P364" s="5">
        <v>6093.0</v>
      </c>
      <c r="Q364" s="5">
        <v>4.0</v>
      </c>
      <c r="R364" s="5">
        <v>4830.0</v>
      </c>
      <c r="S364" s="5">
        <v>4.0</v>
      </c>
      <c r="T364" s="5">
        <v>251622.3</v>
      </c>
      <c r="U364" s="5">
        <v>4.0</v>
      </c>
      <c r="V364" s="5">
        <v>52.09571428571428</v>
      </c>
      <c r="W364" s="9" t="b">
        <v>1</v>
      </c>
      <c r="X364" s="9" t="b">
        <v>1</v>
      </c>
      <c r="Y364" s="5">
        <v>8.664848276273988</v>
      </c>
      <c r="Z364" s="5">
        <v>6.868737432201438</v>
      </c>
      <c r="AA364" s="5">
        <v>2252.0</v>
      </c>
      <c r="AB364" s="5">
        <v>2717.0</v>
      </c>
      <c r="AC364" s="5">
        <v>12.0</v>
      </c>
      <c r="AD364" s="5">
        <v>12.0</v>
      </c>
      <c r="AE364" s="9" t="b">
        <v>1</v>
      </c>
      <c r="AF364" s="9" t="b">
        <v>1</v>
      </c>
      <c r="AG364" s="5">
        <v>3.8638425679692143</v>
      </c>
      <c r="AH364" s="5">
        <v>3.202566603999511</v>
      </c>
      <c r="AI364" s="5">
        <v>828.0</v>
      </c>
      <c r="AJ364" s="5">
        <v>1264.0</v>
      </c>
      <c r="AK364" s="5">
        <v>6.0</v>
      </c>
      <c r="AL364" s="5">
        <v>6.0</v>
      </c>
      <c r="AM364" s="5">
        <v>-24.03846153846154</v>
      </c>
      <c r="AN364" s="5">
        <v>17.114568599717117</v>
      </c>
    </row>
    <row r="365" ht="15.75" customHeight="1">
      <c r="A365" s="5">
        <v>17.0</v>
      </c>
      <c r="B365" s="5">
        <v>2016.0</v>
      </c>
      <c r="C365" s="5">
        <v>4230.12</v>
      </c>
      <c r="D365" s="5">
        <v>698688.0</v>
      </c>
      <c r="E365" s="5">
        <v>4740.25</v>
      </c>
      <c r="F365" s="5">
        <v>3487.380483843173</v>
      </c>
      <c r="G365" s="5">
        <v>4.0</v>
      </c>
      <c r="H365" s="5">
        <v>4.0</v>
      </c>
      <c r="I365" s="5">
        <v>0.8923833131163967</v>
      </c>
      <c r="J365" s="5">
        <v>1.7330185642236318</v>
      </c>
      <c r="K365" s="5">
        <v>2.7244575413152505</v>
      </c>
      <c r="L365" s="5">
        <v>1.2129792030430564</v>
      </c>
      <c r="M365" s="5">
        <v>1.0367841526018884</v>
      </c>
      <c r="N365" s="5">
        <v>3.4323215420876796</v>
      </c>
      <c r="O365" s="5">
        <v>4.504691460504273</v>
      </c>
      <c r="P365" s="5">
        <v>5897.0</v>
      </c>
      <c r="Q365" s="5">
        <v>4.0</v>
      </c>
      <c r="R365" s="5">
        <v>5427.0</v>
      </c>
      <c r="S365" s="5">
        <v>4.0</v>
      </c>
      <c r="T365" s="5">
        <v>272532.5</v>
      </c>
      <c r="U365" s="5">
        <v>4.0</v>
      </c>
      <c r="V365" s="5">
        <v>50.21789202137461</v>
      </c>
      <c r="W365" s="9" t="b">
        <v>1</v>
      </c>
      <c r="X365" s="9" t="b">
        <v>1</v>
      </c>
      <c r="Y365" s="5">
        <v>8.44010488229367</v>
      </c>
      <c r="Z365" s="5">
        <v>7.7674154987633965</v>
      </c>
      <c r="AA365" s="5">
        <v>2066.0</v>
      </c>
      <c r="AB365" s="5">
        <v>2340.0</v>
      </c>
      <c r="AC365" s="5">
        <v>12.0</v>
      </c>
      <c r="AD365" s="5">
        <v>12.0</v>
      </c>
      <c r="AE365" s="9" t="b">
        <v>1</v>
      </c>
      <c r="AF365" s="9" t="b">
        <v>1</v>
      </c>
      <c r="AG365" s="5">
        <v>3.349134377576257</v>
      </c>
      <c r="AH365" s="5">
        <v>2.956970779518183</v>
      </c>
      <c r="AI365" s="5">
        <v>656.0</v>
      </c>
      <c r="AJ365" s="5">
        <v>1004.0</v>
      </c>
      <c r="AK365" s="5">
        <v>6.0</v>
      </c>
      <c r="AL365" s="5">
        <v>6.0</v>
      </c>
      <c r="AM365" s="5">
        <v>-20.569620253164555</v>
      </c>
      <c r="AN365" s="5">
        <v>-20.772946859903385</v>
      </c>
    </row>
    <row r="366" ht="15.75" customHeight="1">
      <c r="A366" s="5">
        <v>17.0</v>
      </c>
      <c r="B366" s="5">
        <v>2017.0</v>
      </c>
      <c r="C366" s="5">
        <v>4462.5</v>
      </c>
      <c r="D366" s="5">
        <v>693797.0</v>
      </c>
      <c r="E366" s="5">
        <v>4947.75</v>
      </c>
      <c r="F366" s="5">
        <v>3752.3769916439005</v>
      </c>
      <c r="G366" s="5">
        <v>4.0</v>
      </c>
      <c r="H366" s="5">
        <v>4.0</v>
      </c>
      <c r="I366" s="5">
        <v>0.9019251174776414</v>
      </c>
      <c r="J366" s="5">
        <v>4.37740625494436</v>
      </c>
      <c r="K366" s="5">
        <v>1.0692495277531133</v>
      </c>
      <c r="L366" s="5">
        <v>1.1892461791385724</v>
      </c>
      <c r="M366" s="5">
        <v>7.598726580837423</v>
      </c>
      <c r="N366" s="5">
        <v>-1.9565895148856538</v>
      </c>
      <c r="O366" s="5">
        <v>5.493461178406278</v>
      </c>
      <c r="P366" s="5">
        <v>6024.0</v>
      </c>
      <c r="Q366" s="5">
        <v>4.0</v>
      </c>
      <c r="R366" s="5">
        <v>5323.0</v>
      </c>
      <c r="S366" s="5">
        <v>4.0</v>
      </c>
      <c r="T366" s="5">
        <v>270172.60000000003</v>
      </c>
      <c r="U366" s="5">
        <v>4.0</v>
      </c>
      <c r="V366" s="5">
        <v>50.755701671989485</v>
      </c>
      <c r="W366" s="9" t="b">
        <v>1</v>
      </c>
      <c r="X366" s="9" t="b">
        <v>1</v>
      </c>
      <c r="Y366" s="5">
        <v>8.682655012921646</v>
      </c>
      <c r="Z366" s="5">
        <v>7.672273013576017</v>
      </c>
      <c r="AA366" s="5">
        <v>2520.0</v>
      </c>
      <c r="AB366" s="5">
        <v>3552.0</v>
      </c>
      <c r="AC366" s="5">
        <v>12.0</v>
      </c>
      <c r="AD366" s="5">
        <v>12.0</v>
      </c>
      <c r="AE366" s="9" t="b">
        <v>1</v>
      </c>
      <c r="AF366" s="9" t="b">
        <v>1</v>
      </c>
      <c r="AG366" s="5">
        <v>5.119653155029497</v>
      </c>
      <c r="AH366" s="5">
        <v>3.632186359987143</v>
      </c>
      <c r="AI366" s="5">
        <v>1055.0</v>
      </c>
      <c r="AJ366" s="5">
        <v>1988.0</v>
      </c>
      <c r="AK366" s="5">
        <v>6.0</v>
      </c>
      <c r="AL366" s="5">
        <v>6.0</v>
      </c>
      <c r="AM366" s="5">
        <v>98.00796812749005</v>
      </c>
      <c r="AN366" s="5">
        <v>60.82317073170731</v>
      </c>
    </row>
    <row r="367" ht="15.75" customHeight="1">
      <c r="A367" s="5">
        <v>17.0</v>
      </c>
      <c r="B367" s="5">
        <v>2018.0</v>
      </c>
      <c r="C367" s="5">
        <v>4779.47</v>
      </c>
      <c r="D367" s="5">
        <v>687702.0</v>
      </c>
      <c r="E367" s="5">
        <v>5320.0</v>
      </c>
      <c r="F367" s="5">
        <v>4283.162103035172</v>
      </c>
      <c r="G367" s="5">
        <v>4.0</v>
      </c>
      <c r="H367" s="5">
        <v>4.0</v>
      </c>
      <c r="I367" s="5">
        <v>0.8983966165413534</v>
      </c>
      <c r="J367" s="5">
        <v>7.523621848314899</v>
      </c>
      <c r="K367" s="5">
        <v>-0.39121883490238485</v>
      </c>
      <c r="L367" s="5">
        <v>1.115874180109394</v>
      </c>
      <c r="M367" s="5">
        <v>14.14530343228484</v>
      </c>
      <c r="N367" s="5">
        <v>-6.1696224311038055</v>
      </c>
      <c r="O367" s="5">
        <v>7.102969187675079</v>
      </c>
      <c r="P367" s="5">
        <v>7592.0</v>
      </c>
      <c r="Q367" s="5">
        <v>4.0</v>
      </c>
      <c r="R367" s="5">
        <v>7029.0</v>
      </c>
      <c r="S367" s="5">
        <v>4.0</v>
      </c>
      <c r="T367" s="5">
        <v>367576.7</v>
      </c>
      <c r="U367" s="5">
        <v>4.0</v>
      </c>
      <c r="V367" s="5">
        <v>52.29430929008394</v>
      </c>
      <c r="W367" s="9" t="b">
        <v>1</v>
      </c>
      <c r="X367" s="9" t="b">
        <v>1</v>
      </c>
      <c r="Y367" s="5">
        <v>11.039665436482663</v>
      </c>
      <c r="Z367" s="5">
        <v>10.220996885278797</v>
      </c>
      <c r="AA367" s="5">
        <v>2800.0</v>
      </c>
      <c r="AB367" s="5">
        <v>3842.0</v>
      </c>
      <c r="AC367" s="5">
        <v>12.0</v>
      </c>
      <c r="AD367" s="5">
        <v>12.0</v>
      </c>
      <c r="AE367" s="9" t="b">
        <v>1</v>
      </c>
      <c r="AF367" s="9" t="b">
        <v>1</v>
      </c>
      <c r="AG367" s="5">
        <v>5.58672215581749</v>
      </c>
      <c r="AH367" s="5">
        <v>4.071530982896662</v>
      </c>
      <c r="AI367" s="5">
        <v>995.0</v>
      </c>
      <c r="AJ367" s="5">
        <v>2099.0</v>
      </c>
      <c r="AK367" s="5">
        <v>6.0</v>
      </c>
      <c r="AL367" s="5">
        <v>6.0</v>
      </c>
      <c r="AM367" s="5">
        <v>5.583501006036218</v>
      </c>
      <c r="AN367" s="5">
        <v>-5.687203791469198</v>
      </c>
    </row>
    <row r="368" ht="15.75" customHeight="1">
      <c r="A368" s="5">
        <v>17.0</v>
      </c>
      <c r="B368" s="5">
        <v>2019.0</v>
      </c>
      <c r="C368" s="5">
        <v>5174.84</v>
      </c>
      <c r="D368" s="5">
        <v>682679.0</v>
      </c>
      <c r="E368" s="5">
        <v>5847.75</v>
      </c>
      <c r="F368" s="5">
        <v>4766.604802126585</v>
      </c>
      <c r="G368" s="5">
        <v>4.0</v>
      </c>
      <c r="H368" s="5">
        <v>4.0</v>
      </c>
      <c r="I368" s="5">
        <v>0.8849283912615964</v>
      </c>
      <c r="J368" s="5">
        <v>9.92011278195488</v>
      </c>
      <c r="K368" s="5">
        <v>-1.4991402496156936</v>
      </c>
      <c r="L368" s="5">
        <v>1.0856448593538286</v>
      </c>
      <c r="M368" s="5">
        <v>11.287051189326514</v>
      </c>
      <c r="N368" s="5">
        <v>-2.709025918370289</v>
      </c>
      <c r="O368" s="5">
        <v>8.272256128817634</v>
      </c>
      <c r="P368" s="5">
        <v>7594.0</v>
      </c>
      <c r="Q368" s="5">
        <v>4.0</v>
      </c>
      <c r="R368" s="5">
        <v>7313.0</v>
      </c>
      <c r="S368" s="5">
        <v>4.0</v>
      </c>
      <c r="T368" s="5">
        <v>377399.1</v>
      </c>
      <c r="U368" s="5">
        <v>4.0</v>
      </c>
      <c r="V368" s="5">
        <v>51.606604676603304</v>
      </c>
      <c r="W368" s="9" t="b">
        <v>1</v>
      </c>
      <c r="X368" s="9" t="b">
        <v>1</v>
      </c>
      <c r="Y368" s="5">
        <v>11.123822470004205</v>
      </c>
      <c r="Z368" s="5">
        <v>10.712208812633756</v>
      </c>
      <c r="AA368" s="5">
        <v>4202.0</v>
      </c>
      <c r="AB368" s="5">
        <v>6708.0</v>
      </c>
      <c r="AC368" s="5">
        <v>12.0</v>
      </c>
      <c r="AD368" s="5">
        <v>12.0</v>
      </c>
      <c r="AE368" s="9" t="b">
        <v>1</v>
      </c>
      <c r="AF368" s="9" t="b">
        <v>1</v>
      </c>
      <c r="AG368" s="5">
        <v>9.82599435459418</v>
      </c>
      <c r="AH368" s="5">
        <v>6.155162235838512</v>
      </c>
      <c r="AI368" s="5">
        <v>2001.0</v>
      </c>
      <c r="AJ368" s="5">
        <v>3497.0</v>
      </c>
      <c r="AK368" s="5">
        <v>6.0</v>
      </c>
      <c r="AL368" s="5">
        <v>6.0</v>
      </c>
      <c r="AM368" s="5">
        <v>66.60314435445451</v>
      </c>
      <c r="AN368" s="5">
        <v>101.10552763819096</v>
      </c>
    </row>
    <row r="369" ht="15.75" customHeight="1">
      <c r="A369" s="5">
        <v>17.0</v>
      </c>
      <c r="B369" s="5">
        <v>2020.0</v>
      </c>
      <c r="C369" s="5">
        <v>5510.99</v>
      </c>
      <c r="D369" s="5">
        <v>678104.0</v>
      </c>
      <c r="E369" s="5">
        <v>6339.951390820995</v>
      </c>
      <c r="F369" s="5">
        <v>5374.727494111259</v>
      </c>
      <c r="G369" s="5">
        <v>4.0</v>
      </c>
      <c r="H369" s="5">
        <v>4.0</v>
      </c>
      <c r="I369" s="5">
        <v>0.8692479895001769</v>
      </c>
      <c r="J369" s="5">
        <v>8.41693627157445</v>
      </c>
      <c r="K369" s="5">
        <v>-1.7719401836644333</v>
      </c>
      <c r="L369" s="5">
        <v>1.0253524492242694</v>
      </c>
      <c r="M369" s="5">
        <v>12.757984293419188</v>
      </c>
      <c r="N369" s="5">
        <v>-5.553603428421794</v>
      </c>
      <c r="O369" s="5">
        <v>6.495853011880559</v>
      </c>
      <c r="P369" s="5">
        <v>8493.0</v>
      </c>
      <c r="Q369" s="5">
        <v>4.0</v>
      </c>
      <c r="R369" s="5">
        <v>8049.0</v>
      </c>
      <c r="S369" s="5">
        <v>4.0</v>
      </c>
      <c r="T369" s="5">
        <v>398057.6</v>
      </c>
      <c r="U369" s="5">
        <v>4.0</v>
      </c>
      <c r="V369" s="5">
        <v>49.45429245869052</v>
      </c>
      <c r="W369" s="9" t="b">
        <v>1</v>
      </c>
      <c r="X369" s="9" t="b">
        <v>1</v>
      </c>
      <c r="Y369" s="5">
        <v>12.524627490768378</v>
      </c>
      <c r="Z369" s="5">
        <v>11.869860670339653</v>
      </c>
      <c r="AA369" s="5">
        <v>5768.0</v>
      </c>
      <c r="AB369" s="5">
        <v>4037.0</v>
      </c>
      <c r="AC369" s="5">
        <v>12.0</v>
      </c>
      <c r="AD369" s="5">
        <v>12.0</v>
      </c>
      <c r="AE369" s="9" t="b">
        <v>1</v>
      </c>
      <c r="AF369" s="9" t="b">
        <v>1</v>
      </c>
      <c r="AG369" s="5">
        <v>5.95336408574496</v>
      </c>
      <c r="AH369" s="5">
        <v>8.50606986538938</v>
      </c>
      <c r="AI369" s="5">
        <v>2716.0</v>
      </c>
      <c r="AJ369" s="5">
        <v>2019.0</v>
      </c>
      <c r="AK369" s="5">
        <v>6.0</v>
      </c>
      <c r="AL369" s="5">
        <v>6.0</v>
      </c>
      <c r="AM369" s="5">
        <v>-42.26479839862739</v>
      </c>
      <c r="AN369" s="5">
        <v>35.732133933033495</v>
      </c>
    </row>
    <row r="370" ht="15.75" customHeight="1">
      <c r="A370" s="5">
        <v>17.0</v>
      </c>
      <c r="B370" s="5">
        <v>2021.0</v>
      </c>
      <c r="C370" s="5">
        <v>6062.04</v>
      </c>
      <c r="D370" s="5">
        <v>668712.0</v>
      </c>
      <c r="E370" s="5">
        <v>7038.551074228578</v>
      </c>
      <c r="F370" s="5">
        <v>5878.737200008747</v>
      </c>
      <c r="G370" s="5">
        <v>4.0</v>
      </c>
      <c r="H370" s="5">
        <v>4.0</v>
      </c>
      <c r="I370" s="5">
        <v>0.8612624865643099</v>
      </c>
      <c r="J370" s="5">
        <v>11.01900693464335</v>
      </c>
      <c r="K370" s="5">
        <v>-0.918667978796095</v>
      </c>
      <c r="L370" s="5">
        <v>1.031180641990763</v>
      </c>
      <c r="M370" s="5">
        <v>9.377400183538587</v>
      </c>
      <c r="N370" s="5">
        <v>0.5684087233519541</v>
      </c>
      <c r="O370" s="5">
        <v>9.99911086755738</v>
      </c>
      <c r="P370" s="5">
        <v>9555.0</v>
      </c>
      <c r="Q370" s="5">
        <v>4.0</v>
      </c>
      <c r="R370" s="5">
        <v>9291.0</v>
      </c>
      <c r="S370" s="5">
        <v>4.0</v>
      </c>
      <c r="T370" s="5">
        <v>458502.0</v>
      </c>
      <c r="U370" s="5">
        <v>4.0</v>
      </c>
      <c r="V370" s="5">
        <v>49.34904746528899</v>
      </c>
      <c r="W370" s="9" t="b">
        <v>1</v>
      </c>
      <c r="X370" s="9" t="b">
        <v>1</v>
      </c>
      <c r="Y370" s="5">
        <v>14.288662383806482</v>
      </c>
      <c r="Z370" s="5">
        <v>13.89387359580806</v>
      </c>
      <c r="AA370" s="5">
        <v>4921.0</v>
      </c>
      <c r="AB370" s="5">
        <v>7117.0</v>
      </c>
      <c r="AC370" s="5">
        <v>12.0</v>
      </c>
      <c r="AD370" s="5">
        <v>12.0</v>
      </c>
      <c r="AE370" s="9" t="b">
        <v>1</v>
      </c>
      <c r="AF370" s="9" t="b">
        <v>1</v>
      </c>
      <c r="AG370" s="5">
        <v>10.642847743124095</v>
      </c>
      <c r="AH370" s="5">
        <v>7.358922824773594</v>
      </c>
      <c r="AI370" s="5">
        <v>2396.0</v>
      </c>
      <c r="AJ370" s="5">
        <v>3918.0</v>
      </c>
      <c r="AK370" s="5">
        <v>6.0</v>
      </c>
      <c r="AL370" s="5">
        <v>6.0</v>
      </c>
      <c r="AM370" s="5">
        <v>94.05646359583952</v>
      </c>
      <c r="AN370" s="5">
        <v>-11.782032400589104</v>
      </c>
    </row>
    <row r="371" ht="15.75" customHeight="1">
      <c r="A371" s="5">
        <v>17.0</v>
      </c>
      <c r="B371" s="5">
        <v>2022.0</v>
      </c>
      <c r="C371" s="5">
        <v>6629.23</v>
      </c>
      <c r="D371" s="5">
        <v>661329.0</v>
      </c>
      <c r="E371" s="5">
        <v>8160.5954675294815</v>
      </c>
      <c r="F371" s="5">
        <v>6513.217518884698</v>
      </c>
      <c r="G371" s="5">
        <v>4.0</v>
      </c>
      <c r="H371" s="5">
        <v>4.0</v>
      </c>
      <c r="I371" s="5">
        <v>0.81234635712275</v>
      </c>
      <c r="J371" s="5">
        <v>15.94141154149229</v>
      </c>
      <c r="K371" s="5">
        <v>-5.679584354903556</v>
      </c>
      <c r="L371" s="5">
        <v>1.0178118542454524</v>
      </c>
      <c r="M371" s="5">
        <v>10.792799495697935</v>
      </c>
      <c r="N371" s="5">
        <v>-1.2964544911841291</v>
      </c>
      <c r="O371" s="5">
        <v>9.356421270727333</v>
      </c>
      <c r="P371" s="5">
        <v>6986.0</v>
      </c>
      <c r="Q371" s="5">
        <v>4.0</v>
      </c>
      <c r="R371" s="5">
        <v>7168.0</v>
      </c>
      <c r="S371" s="5">
        <v>4.0</v>
      </c>
      <c r="T371" s="5">
        <v>348920.10000000003</v>
      </c>
      <c r="U371" s="5">
        <v>4.0</v>
      </c>
      <c r="V371" s="5">
        <v>48.67746930803572</v>
      </c>
      <c r="W371" s="9" t="b">
        <v>1</v>
      </c>
      <c r="X371" s="9" t="b">
        <v>1</v>
      </c>
      <c r="Y371" s="5">
        <v>10.563577281504365</v>
      </c>
      <c r="Z371" s="5">
        <v>10.838780697655782</v>
      </c>
      <c r="AA371" s="5">
        <v>5788.0</v>
      </c>
      <c r="AB371" s="5">
        <v>4003.0</v>
      </c>
      <c r="AC371" s="5">
        <v>12.0</v>
      </c>
      <c r="AD371" s="5">
        <v>12.0</v>
      </c>
      <c r="AE371" s="9" t="b">
        <v>1</v>
      </c>
      <c r="AF371" s="9" t="b">
        <v>1</v>
      </c>
      <c r="AG371" s="5">
        <v>6.0529630486490085</v>
      </c>
      <c r="AH371" s="5">
        <v>8.7520734762879</v>
      </c>
      <c r="AI371" s="5">
        <v>3199.0</v>
      </c>
      <c r="AJ371" s="5">
        <v>1883.0</v>
      </c>
      <c r="AK371" s="5">
        <v>6.0</v>
      </c>
      <c r="AL371" s="5">
        <v>6.0</v>
      </c>
      <c r="AM371" s="5">
        <v>-51.939765186319555</v>
      </c>
      <c r="AN371" s="5">
        <v>33.514190317195336</v>
      </c>
    </row>
    <row r="372" ht="15.75" customHeight="1">
      <c r="A372" s="5">
        <v>17.0</v>
      </c>
      <c r="B372" s="5">
        <v>2023.0</v>
      </c>
      <c r="C372" s="5">
        <v>7548.1</v>
      </c>
      <c r="D372" s="5">
        <v>655279.0</v>
      </c>
      <c r="E372" s="5">
        <v>8798.329358008154</v>
      </c>
      <c r="F372" s="5">
        <v>6694.428474953804</v>
      </c>
      <c r="G372" s="5">
        <v>4.0</v>
      </c>
      <c r="H372" s="5">
        <v>4.0</v>
      </c>
      <c r="I372" s="5">
        <v>0.8579015052590403</v>
      </c>
      <c r="J372" s="5">
        <v>7.814796028257698</v>
      </c>
      <c r="K372" s="5">
        <v>5.607847900942398</v>
      </c>
      <c r="L372" s="5">
        <v>1.1275197021284311</v>
      </c>
      <c r="M372" s="5">
        <v>2.782203351011936</v>
      </c>
      <c r="N372" s="5">
        <v>10.778794472217058</v>
      </c>
      <c r="O372" s="5">
        <v>13.86088580423368</v>
      </c>
      <c r="P372" s="5">
        <v>8858.0</v>
      </c>
      <c r="Q372" s="5">
        <v>4.0</v>
      </c>
      <c r="R372" s="5">
        <v>8629.0</v>
      </c>
      <c r="S372" s="5">
        <v>4.0</v>
      </c>
      <c r="T372" s="5">
        <v>417746.8</v>
      </c>
      <c r="U372" s="5">
        <v>4.0</v>
      </c>
      <c r="V372" s="5">
        <v>48.41195967087727</v>
      </c>
      <c r="W372" s="9" t="b">
        <v>1</v>
      </c>
      <c r="X372" s="9" t="b">
        <v>1</v>
      </c>
      <c r="Y372" s="5">
        <v>13.517906113273888</v>
      </c>
      <c r="Z372" s="5">
        <v>13.168436650648044</v>
      </c>
      <c r="AA372" s="5">
        <v>5204.0</v>
      </c>
      <c r="AB372" s="5">
        <v>5037.0</v>
      </c>
      <c r="AC372" s="5">
        <v>12.0</v>
      </c>
      <c r="AD372" s="5">
        <v>12.0</v>
      </c>
      <c r="AE372" s="9" t="b">
        <v>1</v>
      </c>
      <c r="AF372" s="9" t="b">
        <v>1</v>
      </c>
      <c r="AG372" s="5">
        <v>7.6868021102461705</v>
      </c>
      <c r="AH372" s="5">
        <v>7.94165538648423</v>
      </c>
      <c r="AI372" s="5">
        <v>2073.0</v>
      </c>
      <c r="AJ372" s="5">
        <v>2452.0</v>
      </c>
      <c r="AK372" s="5">
        <v>6.0</v>
      </c>
      <c r="AL372" s="5">
        <v>6.0</v>
      </c>
      <c r="AM372" s="5">
        <v>30.217737652681897</v>
      </c>
      <c r="AN372" s="5">
        <v>-35.198499531103465</v>
      </c>
    </row>
    <row r="373" ht="15.75" customHeight="1">
      <c r="A373" s="5">
        <v>17.0</v>
      </c>
      <c r="B373" s="5">
        <v>2024.0</v>
      </c>
      <c r="C373" s="5">
        <v>8621.77</v>
      </c>
      <c r="D373" s="5">
        <v>648711.0</v>
      </c>
      <c r="E373" s="5">
        <v>10006.264903973037</v>
      </c>
      <c r="F373" s="5">
        <v>7803.057599831229</v>
      </c>
      <c r="G373" s="5">
        <v>4.0</v>
      </c>
      <c r="H373" s="5">
        <v>4.0</v>
      </c>
      <c r="I373" s="5">
        <v>0.8616371925728934</v>
      </c>
      <c r="J373" s="5">
        <v>13.729146714261532</v>
      </c>
      <c r="K373" s="5">
        <v>0.4354447790279936</v>
      </c>
      <c r="L373" s="5">
        <v>1.1049219988055041</v>
      </c>
      <c r="M373" s="5">
        <v>16.560474565158078</v>
      </c>
      <c r="N373" s="5">
        <v>-2.004195871723491</v>
      </c>
      <c r="O373" s="5">
        <v>14.224374345861879</v>
      </c>
      <c r="P373" s="5">
        <v>9679.0</v>
      </c>
      <c r="Q373" s="5">
        <v>4.0</v>
      </c>
      <c r="R373" s="5">
        <v>9633.0</v>
      </c>
      <c r="S373" s="5">
        <v>4.0</v>
      </c>
      <c r="T373" s="5">
        <v>468817.8</v>
      </c>
      <c r="U373" s="5">
        <v>4.0</v>
      </c>
      <c r="V373" s="5">
        <v>48.667891622547494</v>
      </c>
      <c r="W373" s="9" t="b">
        <v>1</v>
      </c>
      <c r="X373" s="9" t="b">
        <v>1</v>
      </c>
      <c r="Y373" s="5">
        <v>14.920357447307044</v>
      </c>
      <c r="Z373" s="5">
        <v>14.849447596849753</v>
      </c>
      <c r="AA373" s="5">
        <v>5489.0</v>
      </c>
      <c r="AB373" s="5">
        <v>10413.0</v>
      </c>
      <c r="AC373" s="5">
        <v>12.0</v>
      </c>
      <c r="AD373" s="5">
        <v>12.0</v>
      </c>
      <c r="AE373" s="9" t="b">
        <v>1</v>
      </c>
      <c r="AF373" s="9" t="b">
        <v>1</v>
      </c>
      <c r="AG373" s="5">
        <v>16.051832017647303</v>
      </c>
      <c r="AH373" s="5">
        <v>8.461394981740714</v>
      </c>
      <c r="AI373" s="5">
        <v>2522.0</v>
      </c>
      <c r="AJ373" s="5">
        <v>6999.0</v>
      </c>
      <c r="AK373" s="5">
        <v>6.0</v>
      </c>
      <c r="AL373" s="5">
        <v>6.0</v>
      </c>
      <c r="AM373" s="5">
        <v>185.4404567699837</v>
      </c>
      <c r="AN373" s="5">
        <v>21.6594307766522</v>
      </c>
    </row>
    <row r="374" ht="15.75" customHeight="1">
      <c r="A374" s="5">
        <v>17.0</v>
      </c>
      <c r="B374" s="5">
        <v>2025.0</v>
      </c>
      <c r="C374" s="5">
        <v>9374.53</v>
      </c>
      <c r="D374" s="5">
        <v>642590.0</v>
      </c>
      <c r="E374" s="5">
        <v>9844.45478867829</v>
      </c>
      <c r="F374" s="5">
        <v>8112.780073449537</v>
      </c>
      <c r="G374" s="5">
        <v>4.0</v>
      </c>
      <c r="H374" s="5">
        <v>4.0</v>
      </c>
      <c r="I374" s="5">
        <v>0.9522650264777761</v>
      </c>
      <c r="J374" s="5">
        <v>-1.617088062804528</v>
      </c>
      <c r="K374" s="5">
        <v>10.518096791326204</v>
      </c>
      <c r="L374" s="5">
        <v>1.1555262086642477</v>
      </c>
      <c r="M374" s="5">
        <v>3.9692449998703916</v>
      </c>
      <c r="N374" s="5">
        <v>4.579889794342962</v>
      </c>
      <c r="O374" s="5">
        <v>8.730921840874895</v>
      </c>
      <c r="AA374" s="5">
        <v>5792.0</v>
      </c>
      <c r="AB374" s="5">
        <v>7520.0</v>
      </c>
      <c r="AC374" s="5">
        <v>12.0</v>
      </c>
      <c r="AD374" s="5">
        <v>12.0</v>
      </c>
      <c r="AE374" s="9" t="b">
        <v>1</v>
      </c>
      <c r="AF374" s="9" t="b">
        <v>1</v>
      </c>
      <c r="AG374" s="5">
        <v>11.702640875208143</v>
      </c>
      <c r="AH374" s="5">
        <v>9.01352339750074</v>
      </c>
      <c r="AI374" s="5">
        <v>2263.0</v>
      </c>
      <c r="AJ374" s="5">
        <v>4366.0</v>
      </c>
      <c r="AK374" s="5">
        <v>6.0</v>
      </c>
      <c r="AL374" s="5">
        <v>6.0</v>
      </c>
      <c r="AM374" s="5">
        <v>-37.61965995142164</v>
      </c>
      <c r="AN374" s="5">
        <v>-10.269627279936556</v>
      </c>
    </row>
    <row r="375" ht="15.75" customHeight="1">
      <c r="A375" s="5">
        <v>17.0</v>
      </c>
      <c r="B375" s="5">
        <v>2026.0</v>
      </c>
      <c r="AI375" s="5">
        <v>2602.0</v>
      </c>
      <c r="AJ375" s="5">
        <v>3182.0</v>
      </c>
      <c r="AK375" s="5">
        <v>6.0</v>
      </c>
      <c r="AL375" s="5">
        <v>6.0</v>
      </c>
      <c r="AM375" s="5">
        <v>-27.118644067796616</v>
      </c>
      <c r="AN375" s="5">
        <v>14.98011489173663</v>
      </c>
    </row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10" width="15.0"/>
  </cols>
  <sheetData>
    <row r="1" ht="33.75" customHeight="1">
      <c r="A1" s="1" t="s">
        <v>0</v>
      </c>
      <c r="B1" s="1" t="s">
        <v>1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7</v>
      </c>
      <c r="H1" s="1" t="s">
        <v>288</v>
      </c>
      <c r="I1" s="1" t="s">
        <v>289</v>
      </c>
      <c r="J1" s="1" t="s">
        <v>290</v>
      </c>
    </row>
    <row r="2">
      <c r="A2" s="5">
        <v>1.0</v>
      </c>
      <c r="B2" s="5">
        <v>20071.0</v>
      </c>
      <c r="C2" s="5">
        <v>117.5396396166473</v>
      </c>
      <c r="E2" s="5">
        <v>17.539639616647307</v>
      </c>
      <c r="I2" s="9" t="b">
        <v>0</v>
      </c>
      <c r="J2" s="9" t="b">
        <v>0</v>
      </c>
    </row>
    <row r="3">
      <c r="A3" s="5">
        <v>2.0</v>
      </c>
      <c r="B3" s="5">
        <v>20071.0</v>
      </c>
      <c r="C3" s="5">
        <v>128.81097560975613</v>
      </c>
      <c r="E3" s="5">
        <v>28.810975609756127</v>
      </c>
      <c r="I3" s="9" t="b">
        <v>0</v>
      </c>
      <c r="J3" s="9" t="b">
        <v>0</v>
      </c>
    </row>
    <row r="4">
      <c r="A4" s="5">
        <v>5.0</v>
      </c>
      <c r="B4" s="5">
        <v>20071.0</v>
      </c>
      <c r="C4" s="5">
        <v>129.48789308919402</v>
      </c>
      <c r="E4" s="5">
        <v>29.487893089194017</v>
      </c>
      <c r="I4" s="9" t="b">
        <v>0</v>
      </c>
      <c r="J4" s="9" t="b">
        <v>0</v>
      </c>
    </row>
    <row r="5">
      <c r="A5" s="5">
        <v>6.0</v>
      </c>
      <c r="B5" s="5">
        <v>20071.0</v>
      </c>
      <c r="C5" s="5">
        <v>115.1500365077697</v>
      </c>
      <c r="E5" s="5">
        <v>15.150036507769698</v>
      </c>
      <c r="I5" s="9" t="b">
        <v>0</v>
      </c>
      <c r="J5" s="9" t="b">
        <v>0</v>
      </c>
    </row>
    <row r="6">
      <c r="A6" s="5">
        <v>7.0</v>
      </c>
      <c r="B6" s="5">
        <v>20071.0</v>
      </c>
      <c r="C6" s="5">
        <v>95.46287997671078</v>
      </c>
      <c r="E6" s="5">
        <v>-4.537120023289219</v>
      </c>
      <c r="I6" s="9" t="b">
        <v>0</v>
      </c>
      <c r="J6" s="9" t="b">
        <v>0</v>
      </c>
    </row>
    <row r="7">
      <c r="A7" s="5">
        <v>8.0</v>
      </c>
      <c r="B7" s="5">
        <v>20071.0</v>
      </c>
      <c r="C7" s="5">
        <v>117.26892616894264</v>
      </c>
      <c r="E7" s="5">
        <v>17.26892616894264</v>
      </c>
      <c r="I7" s="9" t="b">
        <v>0</v>
      </c>
      <c r="J7" s="9" t="b">
        <v>0</v>
      </c>
    </row>
    <row r="8">
      <c r="A8" s="5">
        <v>9.0</v>
      </c>
      <c r="B8" s="5">
        <v>20071.0</v>
      </c>
      <c r="C8" s="5">
        <v>100.65286692417514</v>
      </c>
      <c r="E8" s="5">
        <v>0.652866924175143</v>
      </c>
      <c r="I8" s="9" t="b">
        <v>0</v>
      </c>
      <c r="J8" s="9" t="b">
        <v>0</v>
      </c>
    </row>
    <row r="9">
      <c r="A9" s="5">
        <v>10.0</v>
      </c>
      <c r="B9" s="5">
        <v>20071.0</v>
      </c>
      <c r="I9" s="9" t="b">
        <v>0</v>
      </c>
      <c r="J9" s="9" t="b">
        <v>0</v>
      </c>
    </row>
    <row r="10">
      <c r="A10" s="5">
        <v>11.0</v>
      </c>
      <c r="B10" s="5">
        <v>20071.0</v>
      </c>
      <c r="C10" s="5">
        <v>106.92194403534609</v>
      </c>
      <c r="E10" s="5">
        <v>6.921944035346087</v>
      </c>
      <c r="I10" s="9" t="b">
        <v>0</v>
      </c>
      <c r="J10" s="9" t="b">
        <v>0</v>
      </c>
    </row>
    <row r="11">
      <c r="A11" s="5">
        <v>12.0</v>
      </c>
      <c r="B11" s="5">
        <v>20071.0</v>
      </c>
      <c r="C11" s="5">
        <v>115.0523560209424</v>
      </c>
      <c r="E11" s="5">
        <v>15.052356020942398</v>
      </c>
      <c r="I11" s="9" t="b">
        <v>0</v>
      </c>
      <c r="J11" s="9" t="b">
        <v>0</v>
      </c>
    </row>
    <row r="12">
      <c r="A12" s="5">
        <v>13.0</v>
      </c>
      <c r="B12" s="5">
        <v>20071.0</v>
      </c>
      <c r="C12" s="5">
        <v>125.75404842201864</v>
      </c>
      <c r="E12" s="5">
        <v>25.75404842201864</v>
      </c>
      <c r="I12" s="9" t="b">
        <v>0</v>
      </c>
      <c r="J12" s="9" t="b">
        <v>0</v>
      </c>
    </row>
    <row r="13">
      <c r="A13" s="5">
        <v>14.0</v>
      </c>
      <c r="B13" s="5">
        <v>20071.0</v>
      </c>
      <c r="C13" s="5">
        <v>109.74151069485347</v>
      </c>
      <c r="E13" s="5">
        <v>9.741510694853474</v>
      </c>
      <c r="I13" s="9" t="b">
        <v>0</v>
      </c>
      <c r="J13" s="9" t="b">
        <v>0</v>
      </c>
    </row>
    <row r="14">
      <c r="A14" s="5">
        <v>15.0</v>
      </c>
      <c r="B14" s="5">
        <v>20071.0</v>
      </c>
      <c r="C14" s="5">
        <v>107.62540998113026</v>
      </c>
      <c r="E14" s="5">
        <v>7.625409981130261</v>
      </c>
      <c r="I14" s="9" t="b">
        <v>0</v>
      </c>
      <c r="J14" s="9" t="b">
        <v>0</v>
      </c>
    </row>
    <row r="15">
      <c r="A15" s="5">
        <v>16.0</v>
      </c>
      <c r="B15" s="5">
        <v>20071.0</v>
      </c>
      <c r="C15" s="5">
        <v>98.24347464355976</v>
      </c>
      <c r="E15" s="5">
        <v>-1.7565253564402354</v>
      </c>
      <c r="I15" s="9" t="b">
        <v>0</v>
      </c>
      <c r="J15" s="9" t="b">
        <v>0</v>
      </c>
    </row>
    <row r="16">
      <c r="A16" s="5">
        <v>17.0</v>
      </c>
      <c r="B16" s="5">
        <v>20071.0</v>
      </c>
      <c r="C16" s="5">
        <v>145.69569963517526</v>
      </c>
      <c r="E16" s="5">
        <v>45.69569963517526</v>
      </c>
      <c r="I16" s="9" t="b">
        <v>0</v>
      </c>
      <c r="J16" s="9" t="b">
        <v>0</v>
      </c>
    </row>
    <row r="17">
      <c r="A17" s="5">
        <v>1.0</v>
      </c>
      <c r="B17" s="5">
        <v>20081.0</v>
      </c>
      <c r="C17" s="5">
        <v>98.59512547691536</v>
      </c>
      <c r="D17" s="5">
        <v>124.25183021678512</v>
      </c>
      <c r="E17" s="5">
        <v>-1.4048745230846436</v>
      </c>
      <c r="F17" s="5">
        <v>24.251830216785123</v>
      </c>
      <c r="G17" s="5">
        <v>29.6765028710243</v>
      </c>
      <c r="H17" s="5">
        <v>5.424672654239178</v>
      </c>
      <c r="I17" s="9" t="b">
        <v>1</v>
      </c>
      <c r="J17" s="9" t="b">
        <v>0</v>
      </c>
    </row>
    <row r="18">
      <c r="A18" s="5">
        <v>2.0</v>
      </c>
      <c r="B18" s="5">
        <v>20081.0</v>
      </c>
      <c r="C18" s="5">
        <v>102.8688524590164</v>
      </c>
      <c r="D18" s="5">
        <v>118.81656804733728</v>
      </c>
      <c r="E18" s="5">
        <v>2.868852459016395</v>
      </c>
      <c r="F18" s="5">
        <v>18.816568047337284</v>
      </c>
      <c r="G18" s="5">
        <v>22.725494890627253</v>
      </c>
      <c r="H18" s="5">
        <v>3.9089268432899686</v>
      </c>
      <c r="I18" s="9" t="b">
        <v>1</v>
      </c>
      <c r="J18" s="9" t="b">
        <v>0</v>
      </c>
    </row>
    <row r="19">
      <c r="A19" s="5">
        <v>5.0</v>
      </c>
      <c r="B19" s="5">
        <v>20081.0</v>
      </c>
      <c r="C19" s="5">
        <v>96.29622958194707</v>
      </c>
      <c r="D19" s="5">
        <v>104.98814601811851</v>
      </c>
      <c r="E19" s="5">
        <v>-3.703770418052926</v>
      </c>
      <c r="F19" s="5">
        <v>4.988146018118513</v>
      </c>
      <c r="G19" s="5">
        <v>46.56855755408999</v>
      </c>
      <c r="H19" s="5">
        <v>41.58041153597148</v>
      </c>
      <c r="I19" s="9" t="b">
        <v>1</v>
      </c>
      <c r="J19" s="9" t="b">
        <v>0</v>
      </c>
    </row>
    <row r="20">
      <c r="A20" s="5">
        <v>6.0</v>
      </c>
      <c r="B20" s="5">
        <v>20081.0</v>
      </c>
      <c r="C20" s="5">
        <v>104.67425673869236</v>
      </c>
      <c r="D20" s="5">
        <v>135.65525013409788</v>
      </c>
      <c r="E20" s="5">
        <v>4.674256738692364</v>
      </c>
      <c r="F20" s="5">
        <v>35.655250134097884</v>
      </c>
      <c r="G20" s="5">
        <v>35.94409185145197</v>
      </c>
      <c r="H20" s="5">
        <v>0.2888417173540887</v>
      </c>
      <c r="I20" s="9" t="b">
        <v>1</v>
      </c>
      <c r="J20" s="9" t="b">
        <v>0</v>
      </c>
    </row>
    <row r="21" ht="15.75" customHeight="1">
      <c r="A21" s="5">
        <v>7.0</v>
      </c>
      <c r="B21" s="5">
        <v>20081.0</v>
      </c>
      <c r="C21" s="5">
        <v>96.77581950068578</v>
      </c>
      <c r="D21" s="5">
        <v>107.20706104637728</v>
      </c>
      <c r="E21" s="5">
        <v>-3.2241804993142154</v>
      </c>
      <c r="F21" s="5">
        <v>7.207061046377277</v>
      </c>
      <c r="G21" s="5">
        <v>-0.6045305256802469</v>
      </c>
      <c r="H21" s="5">
        <v>-7.811591572057523</v>
      </c>
      <c r="I21" s="9" t="b">
        <v>1</v>
      </c>
      <c r="J21" s="9" t="b">
        <v>1</v>
      </c>
    </row>
    <row r="22" ht="15.75" customHeight="1">
      <c r="A22" s="5">
        <v>8.0</v>
      </c>
      <c r="B22" s="5">
        <v>20081.0</v>
      </c>
      <c r="C22" s="5">
        <v>100.59482617802782</v>
      </c>
      <c r="D22" s="5">
        <v>135.9072187023858</v>
      </c>
      <c r="E22" s="5">
        <v>0.5948261780278159</v>
      </c>
      <c r="F22" s="5">
        <v>35.90721870238579</v>
      </c>
      <c r="G22" s="5">
        <v>35.25399353116367</v>
      </c>
      <c r="H22" s="5">
        <v>-0.6532251712221182</v>
      </c>
      <c r="I22" s="9" t="b">
        <v>1</v>
      </c>
      <c r="J22" s="9" t="b">
        <v>0</v>
      </c>
    </row>
    <row r="23" ht="15.75" customHeight="1">
      <c r="A23" s="5">
        <v>9.0</v>
      </c>
      <c r="B23" s="5">
        <v>20081.0</v>
      </c>
      <c r="C23" s="5">
        <v>103.4792191636794</v>
      </c>
      <c r="D23" s="5">
        <v>129.8846819588693</v>
      </c>
      <c r="E23" s="5">
        <v>3.479219163679403</v>
      </c>
      <c r="F23" s="5">
        <v>29.884681958869294</v>
      </c>
      <c r="G23" s="5">
        <v>19.608446287880298</v>
      </c>
      <c r="H23" s="5">
        <v>-10.276235670988996</v>
      </c>
      <c r="I23" s="9" t="b">
        <v>1</v>
      </c>
      <c r="J23" s="9" t="b">
        <v>0</v>
      </c>
    </row>
    <row r="24" ht="15.75" customHeight="1">
      <c r="A24" s="5">
        <v>10.0</v>
      </c>
      <c r="B24" s="5">
        <v>20081.0</v>
      </c>
      <c r="C24" s="5">
        <v>97.6900864024034</v>
      </c>
      <c r="E24" s="5">
        <v>-2.309913597596605</v>
      </c>
      <c r="G24" s="5">
        <v>9.35389359693466</v>
      </c>
      <c r="I24" s="9" t="b">
        <v>0</v>
      </c>
      <c r="J24" s="9" t="b">
        <v>0</v>
      </c>
    </row>
    <row r="25" ht="15.75" customHeight="1">
      <c r="A25" s="5">
        <v>11.0</v>
      </c>
      <c r="B25" s="5">
        <v>20081.0</v>
      </c>
      <c r="C25" s="5">
        <v>106.42201834862388</v>
      </c>
      <c r="D25" s="5">
        <v>143.801652892562</v>
      </c>
      <c r="E25" s="5">
        <v>6.4220183486238795</v>
      </c>
      <c r="F25" s="5">
        <v>43.801652892562004</v>
      </c>
      <c r="G25" s="5">
        <v>32.52005087140919</v>
      </c>
      <c r="H25" s="5">
        <v>-11.281602021152814</v>
      </c>
      <c r="I25" s="9" t="b">
        <v>1</v>
      </c>
      <c r="J25" s="9" t="b">
        <v>0</v>
      </c>
    </row>
    <row r="26" ht="15.75" customHeight="1">
      <c r="A26" s="5">
        <v>12.0</v>
      </c>
      <c r="B26" s="5">
        <v>20081.0</v>
      </c>
      <c r="C26" s="5">
        <v>91.421143847487</v>
      </c>
      <c r="D26" s="5">
        <v>120.02275312855517</v>
      </c>
      <c r="E26" s="5">
        <v>-8.578856152512998</v>
      </c>
      <c r="F26" s="5">
        <v>20.022753128555166</v>
      </c>
      <c r="G26" s="5">
        <v>4.66965351969737</v>
      </c>
      <c r="H26" s="5">
        <v>-15.353099608857796</v>
      </c>
      <c r="I26" s="9" t="b">
        <v>1</v>
      </c>
      <c r="J26" s="9" t="b">
        <v>0</v>
      </c>
    </row>
    <row r="27" ht="15.75" customHeight="1">
      <c r="A27" s="5">
        <v>13.0</v>
      </c>
      <c r="B27" s="5">
        <v>20081.0</v>
      </c>
      <c r="C27" s="5">
        <v>100.23654615514543</v>
      </c>
      <c r="D27" s="5">
        <v>117.1433666066844</v>
      </c>
      <c r="E27" s="5">
        <v>0.2365461551454331</v>
      </c>
      <c r="F27" s="5">
        <v>17.143366606684395</v>
      </c>
      <c r="G27" s="5">
        <v>28.545512402868777</v>
      </c>
      <c r="H27" s="5">
        <v>11.402145796184382</v>
      </c>
      <c r="I27" s="9" t="b">
        <v>1</v>
      </c>
      <c r="J27" s="9" t="b">
        <v>0</v>
      </c>
    </row>
    <row r="28" ht="15.75" customHeight="1">
      <c r="A28" s="5">
        <v>14.0</v>
      </c>
      <c r="B28" s="5">
        <v>20081.0</v>
      </c>
      <c r="C28" s="5">
        <v>98.95548119884955</v>
      </c>
      <c r="D28" s="5">
        <v>113.56580792896736</v>
      </c>
      <c r="E28" s="5">
        <v>-1.0445188011504456</v>
      </c>
      <c r="F28" s="5">
        <v>13.56580792896736</v>
      </c>
      <c r="G28" s="5">
        <v>16.879330288984228</v>
      </c>
      <c r="H28" s="5">
        <v>3.3135223600168686</v>
      </c>
      <c r="I28" s="9" t="b">
        <v>1</v>
      </c>
      <c r="J28" s="9" t="b">
        <v>0</v>
      </c>
    </row>
    <row r="29" ht="15.75" customHeight="1">
      <c r="A29" s="5">
        <v>15.0</v>
      </c>
      <c r="B29" s="5">
        <v>20081.0</v>
      </c>
      <c r="C29" s="5">
        <v>98.4362847808461</v>
      </c>
      <c r="D29" s="5">
        <v>103.72684040044632</v>
      </c>
      <c r="E29" s="5">
        <v>-1.5637152191539059</v>
      </c>
      <c r="F29" s="5">
        <v>3.7268404004463207</v>
      </c>
      <c r="G29" s="5">
        <v>3.7652205051689203</v>
      </c>
      <c r="H29" s="5">
        <v>0.03838010472259956</v>
      </c>
      <c r="I29" s="9" t="b">
        <v>1</v>
      </c>
      <c r="J29" s="9" t="b">
        <v>0</v>
      </c>
    </row>
    <row r="30" ht="15.75" customHeight="1">
      <c r="A30" s="5">
        <v>16.0</v>
      </c>
      <c r="B30" s="5">
        <v>20081.0</v>
      </c>
      <c r="C30" s="5">
        <v>98.7935096873172</v>
      </c>
      <c r="D30" s="5">
        <v>136.61790719761285</v>
      </c>
      <c r="E30" s="5">
        <v>-1.2064903126828028</v>
      </c>
      <c r="F30" s="5">
        <v>36.61790719761285</v>
      </c>
      <c r="G30" s="5">
        <v>44.00872124260533</v>
      </c>
      <c r="H30" s="5">
        <v>7.3908140449924815</v>
      </c>
      <c r="I30" s="9" t="b">
        <v>1</v>
      </c>
      <c r="J30" s="9" t="b">
        <v>0</v>
      </c>
    </row>
    <row r="31" ht="15.75" customHeight="1">
      <c r="A31" s="5">
        <v>17.0</v>
      </c>
      <c r="B31" s="5">
        <v>20081.0</v>
      </c>
      <c r="C31" s="5">
        <v>95.5418244431172</v>
      </c>
      <c r="D31" s="5">
        <v>114.92888484082104</v>
      </c>
      <c r="E31" s="5">
        <v>-4.458175556882793</v>
      </c>
      <c r="F31" s="5">
        <v>14.928884840821041</v>
      </c>
      <c r="G31" s="5">
        <v>28.381233609215293</v>
      </c>
      <c r="H31" s="5">
        <v>13.452348768394252</v>
      </c>
      <c r="I31" s="9" t="b">
        <v>1</v>
      </c>
      <c r="J31" s="9" t="b">
        <v>0</v>
      </c>
    </row>
    <row r="32" ht="15.75" customHeight="1">
      <c r="A32" s="5">
        <v>1.0</v>
      </c>
      <c r="B32" s="5">
        <v>20091.0</v>
      </c>
      <c r="C32" s="5">
        <v>96.3671875</v>
      </c>
      <c r="D32" s="5">
        <v>96.7456891890241</v>
      </c>
      <c r="E32" s="5">
        <v>-3.6328125</v>
      </c>
      <c r="F32" s="5">
        <v>-3.2543108109758947</v>
      </c>
      <c r="G32" s="5">
        <v>-8.128003919614834</v>
      </c>
      <c r="H32" s="5">
        <v>-4.873693108638939</v>
      </c>
      <c r="I32" s="9" t="b">
        <v>1</v>
      </c>
      <c r="J32" s="9" t="b">
        <v>0</v>
      </c>
    </row>
    <row r="33" ht="15.75" customHeight="1">
      <c r="A33" s="5">
        <v>2.0</v>
      </c>
      <c r="B33" s="5">
        <v>20091.0</v>
      </c>
      <c r="C33" s="5">
        <v>98.41740850642928</v>
      </c>
      <c r="D33" s="5">
        <v>99.1035856573705</v>
      </c>
      <c r="E33" s="5">
        <v>-1.5825914935707175</v>
      </c>
      <c r="F33" s="5">
        <v>-0.8964143426294982</v>
      </c>
      <c r="G33" s="5">
        <v>-1.155885505683274</v>
      </c>
      <c r="H33" s="5">
        <v>-0.2594711630537758</v>
      </c>
      <c r="I33" s="9" t="b">
        <v>1</v>
      </c>
      <c r="J33" s="9" t="b">
        <v>0</v>
      </c>
    </row>
    <row r="34" ht="15.75" customHeight="1">
      <c r="A34" s="5">
        <v>5.0</v>
      </c>
      <c r="B34" s="5">
        <v>20091.0</v>
      </c>
      <c r="C34" s="5">
        <v>84.1008252634739</v>
      </c>
      <c r="D34" s="5">
        <v>118.95732112450256</v>
      </c>
      <c r="E34" s="5">
        <v>-15.899174736526106</v>
      </c>
      <c r="F34" s="5">
        <v>18.957321124502556</v>
      </c>
      <c r="G34" s="5">
        <v>-2.3414211878999946</v>
      </c>
      <c r="H34" s="5">
        <v>-21.298742312402553</v>
      </c>
      <c r="I34" s="9" t="b">
        <v>1</v>
      </c>
      <c r="J34" s="9" t="b">
        <v>1</v>
      </c>
    </row>
    <row r="35" ht="15.75" customHeight="1">
      <c r="A35" s="5">
        <v>6.0</v>
      </c>
      <c r="B35" s="5">
        <v>20091.0</v>
      </c>
      <c r="C35" s="5">
        <v>94.5198404392907</v>
      </c>
      <c r="D35" s="5">
        <v>95.60493438750832</v>
      </c>
      <c r="E35" s="5">
        <v>-5.480159560709296</v>
      </c>
      <c r="F35" s="5">
        <v>-4.395065612491678</v>
      </c>
      <c r="G35" s="5">
        <v>-3.949086642109789</v>
      </c>
      <c r="H35" s="5">
        <v>0.4459789703818884</v>
      </c>
      <c r="I35" s="9" t="b">
        <v>1</v>
      </c>
      <c r="J35" s="9" t="b">
        <v>0</v>
      </c>
    </row>
    <row r="36" ht="15.75" customHeight="1">
      <c r="A36" s="5">
        <v>7.0</v>
      </c>
      <c r="B36" s="5">
        <v>20091.0</v>
      </c>
      <c r="C36" s="5">
        <v>89.60062221012024</v>
      </c>
      <c r="D36" s="5">
        <v>88.02281690591475</v>
      </c>
      <c r="E36" s="5">
        <v>-10.399377789879765</v>
      </c>
      <c r="F36" s="5">
        <v>-11.977183094085248</v>
      </c>
      <c r="G36" s="5">
        <v>-0.7948644879098299</v>
      </c>
      <c r="H36" s="5">
        <v>11.182318606175418</v>
      </c>
      <c r="I36" s="9" t="b">
        <v>1</v>
      </c>
      <c r="J36" s="9" t="b">
        <v>0</v>
      </c>
    </row>
    <row r="37" ht="15.75" customHeight="1">
      <c r="A37" s="5">
        <v>8.0</v>
      </c>
      <c r="B37" s="5">
        <v>20091.0</v>
      </c>
      <c r="C37" s="5">
        <v>100.283405850772</v>
      </c>
      <c r="D37" s="5">
        <v>101.38877225307404</v>
      </c>
      <c r="E37" s="5">
        <v>0.28340585077199876</v>
      </c>
      <c r="F37" s="5">
        <v>1.3887722530740376</v>
      </c>
      <c r="G37" s="5">
        <v>0.48666775723866795</v>
      </c>
      <c r="H37" s="5">
        <v>-0.9021044958353697</v>
      </c>
      <c r="I37" s="9" t="b">
        <v>1</v>
      </c>
      <c r="J37" s="9" t="b">
        <v>0</v>
      </c>
    </row>
    <row r="38" ht="15.75" customHeight="1">
      <c r="A38" s="5">
        <v>9.0</v>
      </c>
      <c r="B38" s="5">
        <v>20091.0</v>
      </c>
      <c r="C38" s="5">
        <v>98.8902255088429</v>
      </c>
      <c r="D38" s="5">
        <v>91.78991473834084</v>
      </c>
      <c r="E38" s="5">
        <v>-1.109774491157097</v>
      </c>
      <c r="F38" s="5">
        <v>-8.21008526165916</v>
      </c>
      <c r="G38" s="5">
        <v>-6.297132048548615</v>
      </c>
      <c r="H38" s="5">
        <v>1.9129532131105442</v>
      </c>
      <c r="I38" s="9" t="b">
        <v>1</v>
      </c>
      <c r="J38" s="9" t="b">
        <v>0</v>
      </c>
    </row>
    <row r="39" ht="15.75" customHeight="1">
      <c r="A39" s="5">
        <v>10.0</v>
      </c>
      <c r="B39" s="5">
        <v>20091.0</v>
      </c>
      <c r="C39" s="5">
        <v>84.51330479270347</v>
      </c>
      <c r="D39" s="5">
        <v>86.92766367842795</v>
      </c>
      <c r="E39" s="5">
        <v>-15.486695207296535</v>
      </c>
      <c r="F39" s="5">
        <v>-13.072336321572052</v>
      </c>
      <c r="G39" s="5">
        <v>2.450038661489562</v>
      </c>
      <c r="H39" s="5">
        <v>15.522374983061614</v>
      </c>
      <c r="I39" s="9" t="b">
        <v>1</v>
      </c>
      <c r="J39" s="9" t="b">
        <v>1</v>
      </c>
    </row>
    <row r="40" ht="15.75" customHeight="1">
      <c r="A40" s="5">
        <v>11.0</v>
      </c>
      <c r="B40" s="5">
        <v>20091.0</v>
      </c>
      <c r="C40" s="5">
        <v>97.45222929936304</v>
      </c>
      <c r="D40" s="5">
        <v>87.9310344827586</v>
      </c>
      <c r="E40" s="5">
        <v>-2.54777070063696</v>
      </c>
      <c r="F40" s="5">
        <v>-12.068965517241395</v>
      </c>
      <c r="G40" s="5">
        <v>-8.530304812173007</v>
      </c>
      <c r="H40" s="5">
        <v>3.538660705068388</v>
      </c>
      <c r="I40" s="9" t="b">
        <v>1</v>
      </c>
      <c r="J40" s="9" t="b">
        <v>0</v>
      </c>
    </row>
    <row r="41" ht="15.75" customHeight="1">
      <c r="A41" s="5">
        <v>12.0</v>
      </c>
      <c r="B41" s="5">
        <v>20091.0</v>
      </c>
      <c r="C41" s="5">
        <v>95.56786703601108</v>
      </c>
      <c r="D41" s="5">
        <v>98.1042654028436</v>
      </c>
      <c r="E41" s="5">
        <v>-4.43213296398892</v>
      </c>
      <c r="F41" s="5">
        <v>-1.8957345971564052</v>
      </c>
      <c r="G41" s="5">
        <v>-1.1000003079685405</v>
      </c>
      <c r="H41" s="5">
        <v>0.7957342891878647</v>
      </c>
      <c r="I41" s="9" t="b">
        <v>1</v>
      </c>
      <c r="J41" s="9" t="b">
        <v>0</v>
      </c>
    </row>
    <row r="42" ht="15.75" customHeight="1">
      <c r="A42" s="5">
        <v>13.0</v>
      </c>
      <c r="B42" s="5">
        <v>20091.0</v>
      </c>
      <c r="C42" s="5">
        <v>100.28076330051051</v>
      </c>
      <c r="D42" s="5">
        <v>98.15577058580187</v>
      </c>
      <c r="E42" s="5">
        <v>0.28076330051051457</v>
      </c>
      <c r="F42" s="5">
        <v>-1.844229414198125</v>
      </c>
      <c r="G42" s="5">
        <v>0.5517482086333292</v>
      </c>
      <c r="H42" s="5">
        <v>2.395977622831454</v>
      </c>
      <c r="I42" s="9" t="b">
        <v>1</v>
      </c>
      <c r="J42" s="9" t="b">
        <v>1</v>
      </c>
    </row>
    <row r="43" ht="15.75" customHeight="1">
      <c r="A43" s="5">
        <v>14.0</v>
      </c>
      <c r="B43" s="5">
        <v>20091.0</v>
      </c>
      <c r="C43" s="5">
        <v>92.841675013117</v>
      </c>
      <c r="D43" s="5">
        <v>91.79938644823928</v>
      </c>
      <c r="E43" s="5">
        <v>-7.158324986883002</v>
      </c>
      <c r="F43" s="5">
        <v>-8.200613551760725</v>
      </c>
      <c r="G43" s="5">
        <v>-6.336672077488803</v>
      </c>
      <c r="H43" s="5">
        <v>1.8639414742719218</v>
      </c>
      <c r="I43" s="9" t="b">
        <v>1</v>
      </c>
      <c r="J43" s="9" t="b">
        <v>0</v>
      </c>
    </row>
    <row r="44" ht="15.75" customHeight="1">
      <c r="A44" s="5">
        <v>15.0</v>
      </c>
      <c r="B44" s="5">
        <v>20091.0</v>
      </c>
      <c r="C44" s="5">
        <v>99.34734642314324</v>
      </c>
      <c r="D44" s="5">
        <v>98.70405298253118</v>
      </c>
      <c r="E44" s="5">
        <v>-0.6526535768567641</v>
      </c>
      <c r="F44" s="5">
        <v>-1.2959470174688192</v>
      </c>
      <c r="G44" s="5">
        <v>-0.5304998262346095</v>
      </c>
      <c r="H44" s="5">
        <v>0.7654471912342098</v>
      </c>
      <c r="I44" s="9" t="b">
        <v>1</v>
      </c>
      <c r="J44" s="9" t="b">
        <v>0</v>
      </c>
    </row>
    <row r="45" ht="15.75" customHeight="1">
      <c r="A45" s="5">
        <v>16.0</v>
      </c>
      <c r="B45" s="5">
        <v>20091.0</v>
      </c>
      <c r="C45" s="5">
        <v>102.26879437851449</v>
      </c>
      <c r="D45" s="5">
        <v>95.18221848216824</v>
      </c>
      <c r="E45" s="5">
        <v>2.2687943785144853</v>
      </c>
      <c r="F45" s="5">
        <v>-4.817781517831762</v>
      </c>
      <c r="G45" s="5">
        <v>-9.509157313404215</v>
      </c>
      <c r="H45" s="5">
        <v>-4.691375795572453</v>
      </c>
      <c r="I45" s="9" t="b">
        <v>1</v>
      </c>
      <c r="J45" s="9" t="b">
        <v>0</v>
      </c>
    </row>
    <row r="46" ht="15.75" customHeight="1">
      <c r="A46" s="5">
        <v>17.0</v>
      </c>
      <c r="B46" s="5">
        <v>20091.0</v>
      </c>
      <c r="C46" s="5">
        <v>94.3229280047523</v>
      </c>
      <c r="D46" s="5">
        <v>96.70481624911127</v>
      </c>
      <c r="E46" s="5">
        <v>-5.677071995247701</v>
      </c>
      <c r="F46" s="5">
        <v>-3.295183750888725</v>
      </c>
      <c r="G46" s="5">
        <v>-3.2312798000244447</v>
      </c>
      <c r="H46" s="5">
        <v>0.06390395086428047</v>
      </c>
      <c r="I46" s="9" t="b">
        <v>1</v>
      </c>
      <c r="J46" s="9" t="b">
        <v>0</v>
      </c>
    </row>
    <row r="47" ht="15.75" customHeight="1">
      <c r="A47" s="5">
        <v>1.0</v>
      </c>
      <c r="B47" s="5">
        <v>20101.0</v>
      </c>
      <c r="C47" s="5">
        <v>103.74331550802138</v>
      </c>
      <c r="D47" s="5">
        <v>98.2975273611674</v>
      </c>
      <c r="E47" s="5">
        <v>3.7433155080213822</v>
      </c>
      <c r="F47" s="5">
        <v>-1.702472638832603</v>
      </c>
      <c r="G47" s="5">
        <v>1.1686633862885376</v>
      </c>
      <c r="H47" s="5">
        <v>2.8711360251211406</v>
      </c>
      <c r="I47" s="9" t="b">
        <v>1</v>
      </c>
      <c r="J47" s="9" t="b">
        <v>1</v>
      </c>
    </row>
    <row r="48" ht="15.75" customHeight="1">
      <c r="A48" s="5">
        <v>2.0</v>
      </c>
      <c r="B48" s="5">
        <v>20101.0</v>
      </c>
      <c r="C48" s="5">
        <v>95.9047619047619</v>
      </c>
      <c r="D48" s="5">
        <v>101.20603015075378</v>
      </c>
      <c r="E48" s="5">
        <v>-4.095238095238102</v>
      </c>
      <c r="F48" s="5">
        <v>1.2060301507537758</v>
      </c>
      <c r="G48" s="5">
        <v>3.0178603439589002</v>
      </c>
      <c r="H48" s="5">
        <v>1.8118301932051244</v>
      </c>
      <c r="I48" s="9" t="b">
        <v>1</v>
      </c>
      <c r="J48" s="9" t="b">
        <v>0</v>
      </c>
    </row>
    <row r="49" ht="15.75" customHeight="1">
      <c r="A49" s="5">
        <v>5.0</v>
      </c>
      <c r="B49" s="5">
        <v>20101.0</v>
      </c>
      <c r="C49" s="5">
        <v>111.22338737799788</v>
      </c>
      <c r="D49" s="5">
        <v>107.98624662225696</v>
      </c>
      <c r="E49" s="5">
        <v>11.22338737799788</v>
      </c>
      <c r="F49" s="5">
        <v>7.986246622256957</v>
      </c>
      <c r="G49" s="5">
        <v>0.8067530297344749</v>
      </c>
      <c r="H49" s="5">
        <v>-7.179493592522482</v>
      </c>
      <c r="I49" s="9" t="b">
        <v>1</v>
      </c>
      <c r="J49" s="9" t="b">
        <v>0</v>
      </c>
    </row>
    <row r="50" ht="15.75" customHeight="1">
      <c r="A50" s="5">
        <v>6.0</v>
      </c>
      <c r="B50" s="5">
        <v>20101.0</v>
      </c>
      <c r="C50" s="5">
        <v>99.0661484445978</v>
      </c>
      <c r="D50" s="5">
        <v>103.23125853468775</v>
      </c>
      <c r="E50" s="5">
        <v>-0.9338515554021996</v>
      </c>
      <c r="F50" s="5">
        <v>3.231258534687754</v>
      </c>
      <c r="G50" s="5">
        <v>3.4780475792113963</v>
      </c>
      <c r="H50" s="5">
        <v>0.24678904452364225</v>
      </c>
      <c r="I50" s="9" t="b">
        <v>1</v>
      </c>
      <c r="J50" s="9" t="b">
        <v>0</v>
      </c>
    </row>
    <row r="51" ht="15.75" customHeight="1">
      <c r="A51" s="5">
        <v>7.0</v>
      </c>
      <c r="B51" s="5">
        <v>20101.0</v>
      </c>
      <c r="C51" s="5">
        <v>105.92508413782072</v>
      </c>
      <c r="D51" s="5">
        <v>112.23087519437505</v>
      </c>
      <c r="E51" s="5">
        <v>5.925084137820718</v>
      </c>
      <c r="F51" s="5">
        <v>12.230875194375045</v>
      </c>
      <c r="G51" s="5">
        <v>0.12711297152396828</v>
      </c>
      <c r="H51" s="5">
        <v>-12.103762222851078</v>
      </c>
      <c r="I51" s="9" t="b">
        <v>1</v>
      </c>
      <c r="J51" s="9" t="b">
        <v>0</v>
      </c>
    </row>
    <row r="52" ht="15.75" customHeight="1">
      <c r="A52" s="5">
        <v>8.0</v>
      </c>
      <c r="B52" s="5">
        <v>20101.0</v>
      </c>
      <c r="C52" s="5">
        <v>98.24570841146824</v>
      </c>
      <c r="D52" s="5">
        <v>100.3933746952634</v>
      </c>
      <c r="E52" s="5">
        <v>-1.754291588531757</v>
      </c>
      <c r="F52" s="5">
        <v>0.39337469526340385</v>
      </c>
      <c r="G52" s="5">
        <v>-0.7514206949141955</v>
      </c>
      <c r="H52" s="5">
        <v>-1.1447953901775993</v>
      </c>
      <c r="I52" s="9" t="b">
        <v>1</v>
      </c>
      <c r="J52" s="9" t="b">
        <v>1</v>
      </c>
    </row>
    <row r="53" ht="15.75" customHeight="1">
      <c r="A53" s="5">
        <v>9.0</v>
      </c>
      <c r="B53" s="5">
        <v>20101.0</v>
      </c>
      <c r="C53" s="5">
        <v>99.922285978731</v>
      </c>
      <c r="D53" s="5">
        <v>101.56859375680666</v>
      </c>
      <c r="E53" s="5">
        <v>-0.07771402126900284</v>
      </c>
      <c r="F53" s="5">
        <v>1.5685937568066635</v>
      </c>
      <c r="G53" s="5">
        <v>-2.44491958724552</v>
      </c>
      <c r="H53" s="5">
        <v>-4.013513344052184</v>
      </c>
      <c r="I53" s="9" t="b">
        <v>1</v>
      </c>
      <c r="J53" s="9" t="b">
        <v>1</v>
      </c>
    </row>
    <row r="54" ht="15.75" customHeight="1">
      <c r="A54" s="5">
        <v>10.0</v>
      </c>
      <c r="B54" s="5">
        <v>20101.0</v>
      </c>
      <c r="C54" s="5">
        <v>100.3977845148066</v>
      </c>
      <c r="D54" s="5">
        <v>109.73863220752564</v>
      </c>
      <c r="E54" s="5">
        <v>0.3977845148066024</v>
      </c>
      <c r="F54" s="5">
        <v>9.73863220752564</v>
      </c>
      <c r="G54" s="5">
        <v>-2.3721962888315185</v>
      </c>
      <c r="H54" s="5">
        <v>-12.110828496357158</v>
      </c>
      <c r="I54" s="9" t="b">
        <v>1</v>
      </c>
      <c r="J54" s="9" t="b">
        <v>1</v>
      </c>
    </row>
    <row r="55" ht="15.75" customHeight="1">
      <c r="A55" s="5">
        <v>11.0</v>
      </c>
      <c r="B55" s="5">
        <v>20101.0</v>
      </c>
      <c r="C55" s="5">
        <v>96.62162162162164</v>
      </c>
      <c r="D55" s="5">
        <v>93.4640522875817</v>
      </c>
      <c r="E55" s="5">
        <v>-3.3783783783783576</v>
      </c>
      <c r="F55" s="5">
        <v>-6.535947712418306</v>
      </c>
      <c r="G55" s="5">
        <v>0.763947155950162</v>
      </c>
      <c r="H55" s="5">
        <v>7.299894868368468</v>
      </c>
      <c r="I55" s="9" t="b">
        <v>1</v>
      </c>
      <c r="J55" s="9" t="b">
        <v>1</v>
      </c>
    </row>
    <row r="56" ht="15.75" customHeight="1">
      <c r="A56" s="5">
        <v>12.0</v>
      </c>
      <c r="B56" s="5">
        <v>20101.0</v>
      </c>
      <c r="C56" s="5">
        <v>103.0977734753146</v>
      </c>
      <c r="D56" s="5">
        <v>102.89855072463769</v>
      </c>
      <c r="E56" s="5">
        <v>3.0977734753145967</v>
      </c>
      <c r="F56" s="5">
        <v>2.898550724637687</v>
      </c>
      <c r="G56" s="5">
        <v>-1.1464638653428172</v>
      </c>
      <c r="H56" s="5">
        <v>-4.045014589980504</v>
      </c>
      <c r="I56" s="9" t="b">
        <v>1</v>
      </c>
      <c r="J56" s="9" t="b">
        <v>1</v>
      </c>
    </row>
    <row r="57" ht="15.75" customHeight="1">
      <c r="A57" s="5">
        <v>13.0</v>
      </c>
      <c r="B57" s="5">
        <v>20101.0</v>
      </c>
      <c r="C57" s="5">
        <v>96.55661182417842</v>
      </c>
      <c r="D57" s="5">
        <v>95.04324862956804</v>
      </c>
      <c r="E57" s="5">
        <v>-3.443388175821582</v>
      </c>
      <c r="F57" s="5">
        <v>-4.9567513704319595</v>
      </c>
      <c r="G57" s="5">
        <v>-4.982540374176669</v>
      </c>
      <c r="H57" s="5">
        <v>-0.025789003744709937</v>
      </c>
      <c r="I57" s="9" t="b">
        <v>1</v>
      </c>
      <c r="J57" s="9" t="b">
        <v>0</v>
      </c>
    </row>
    <row r="58" ht="15.75" customHeight="1">
      <c r="A58" s="5">
        <v>14.0</v>
      </c>
      <c r="B58" s="5">
        <v>20101.0</v>
      </c>
      <c r="C58" s="5">
        <v>102.76346440829876</v>
      </c>
      <c r="D58" s="5">
        <v>103.7694826089386</v>
      </c>
      <c r="E58" s="5">
        <v>2.763464408298759</v>
      </c>
      <c r="F58" s="5">
        <v>3.7694826089386027</v>
      </c>
      <c r="G58" s="5">
        <v>0.1921956454312479</v>
      </c>
      <c r="H58" s="5">
        <v>-3.5772869635073548</v>
      </c>
      <c r="I58" s="9" t="b">
        <v>1</v>
      </c>
      <c r="J58" s="9" t="b">
        <v>0</v>
      </c>
    </row>
    <row r="59" ht="15.75" customHeight="1">
      <c r="A59" s="5">
        <v>15.0</v>
      </c>
      <c r="B59" s="5">
        <v>20101.0</v>
      </c>
      <c r="C59" s="5">
        <v>102.30811818271148</v>
      </c>
      <c r="D59" s="5">
        <v>103.48992404685686</v>
      </c>
      <c r="E59" s="5">
        <v>2.308118182711482</v>
      </c>
      <c r="F59" s="5">
        <v>3.4899240468568564</v>
      </c>
      <c r="G59" s="5">
        <v>-2.502266190817559</v>
      </c>
      <c r="H59" s="5">
        <v>-5.992190237674416</v>
      </c>
      <c r="I59" s="9" t="b">
        <v>1</v>
      </c>
      <c r="J59" s="9" t="b">
        <v>1</v>
      </c>
    </row>
    <row r="60" ht="15.75" customHeight="1">
      <c r="A60" s="5">
        <v>16.0</v>
      </c>
      <c r="B60" s="5">
        <v>20101.0</v>
      </c>
      <c r="C60" s="5">
        <v>104.21371998724928</v>
      </c>
      <c r="D60" s="5">
        <v>98.1578508195622</v>
      </c>
      <c r="E60" s="5">
        <v>4.213719987249277</v>
      </c>
      <c r="F60" s="5">
        <v>-1.8421491804378007</v>
      </c>
      <c r="G60" s="5">
        <v>-6.380652038351197</v>
      </c>
      <c r="H60" s="5">
        <v>-4.538502857913397</v>
      </c>
      <c r="I60" s="9" t="b">
        <v>1</v>
      </c>
      <c r="J60" s="9" t="b">
        <v>0</v>
      </c>
    </row>
    <row r="61" ht="15.75" customHeight="1">
      <c r="A61" s="5">
        <v>17.0</v>
      </c>
      <c r="B61" s="5">
        <v>20101.0</v>
      </c>
      <c r="C61" s="5">
        <v>101.75958247340316</v>
      </c>
      <c r="D61" s="5">
        <v>99.4848519164361</v>
      </c>
      <c r="E61" s="5">
        <v>1.7595824734031567</v>
      </c>
      <c r="F61" s="5">
        <v>-0.5151480835639006</v>
      </c>
      <c r="G61" s="5">
        <v>1.9798988274543516</v>
      </c>
      <c r="H61" s="5">
        <v>2.4950469110182523</v>
      </c>
      <c r="I61" s="9" t="b">
        <v>1</v>
      </c>
      <c r="J61" s="9" t="b">
        <v>1</v>
      </c>
    </row>
    <row r="62" ht="15.75" customHeight="1">
      <c r="A62" s="5">
        <v>1.0</v>
      </c>
      <c r="B62" s="5">
        <v>20111.0</v>
      </c>
      <c r="C62" s="5">
        <v>99.48559670781891</v>
      </c>
      <c r="D62" s="5">
        <v>99.69072164948454</v>
      </c>
      <c r="E62" s="5">
        <v>-0.5144032921810862</v>
      </c>
      <c r="F62" s="5">
        <v>-0.3092783505154557</v>
      </c>
      <c r="G62" s="5">
        <v>7.985186464722438</v>
      </c>
      <c r="H62" s="5">
        <v>8.294464815237895</v>
      </c>
      <c r="I62" s="9" t="b">
        <v>1</v>
      </c>
      <c r="J62" s="9" t="b">
        <v>1</v>
      </c>
    </row>
    <row r="63" ht="15.75" customHeight="1">
      <c r="A63" s="5">
        <v>2.0</v>
      </c>
      <c r="B63" s="5">
        <v>20111.0</v>
      </c>
      <c r="C63" s="5">
        <v>101.84466019417476</v>
      </c>
      <c r="D63" s="5">
        <v>104.1708043694141</v>
      </c>
      <c r="E63" s="5">
        <v>1.8446601941747645</v>
      </c>
      <c r="F63" s="5">
        <v>4.1708043694141</v>
      </c>
      <c r="G63" s="5">
        <v>1.3797878461446755</v>
      </c>
      <c r="H63" s="5">
        <v>-2.791016523269424</v>
      </c>
      <c r="I63" s="9" t="b">
        <v>1</v>
      </c>
      <c r="J63" s="9" t="b">
        <v>0</v>
      </c>
    </row>
    <row r="64" ht="15.75" customHeight="1">
      <c r="A64" s="5">
        <v>5.0</v>
      </c>
      <c r="B64" s="5">
        <v>20111.0</v>
      </c>
      <c r="C64" s="5">
        <v>101.44927536231884</v>
      </c>
      <c r="D64" s="5">
        <v>95.21024711546124</v>
      </c>
      <c r="E64" s="5">
        <v>1.4492753623188435</v>
      </c>
      <c r="F64" s="5">
        <v>-4.789752884538757</v>
      </c>
      <c r="G64" s="5">
        <v>-1.8674164130617399</v>
      </c>
      <c r="H64" s="5">
        <v>2.922336471477017</v>
      </c>
      <c r="I64" s="9" t="b">
        <v>1</v>
      </c>
      <c r="J64" s="9" t="b">
        <v>0</v>
      </c>
    </row>
    <row r="65" ht="15.75" customHeight="1">
      <c r="A65" s="5">
        <v>6.0</v>
      </c>
      <c r="B65" s="5">
        <v>20111.0</v>
      </c>
      <c r="C65" s="5">
        <v>101.97603404732136</v>
      </c>
      <c r="D65" s="5">
        <v>105.01427959855428</v>
      </c>
      <c r="E65" s="5">
        <v>1.9760340473213631</v>
      </c>
      <c r="F65" s="5">
        <v>5.014279598554282</v>
      </c>
      <c r="G65" s="5">
        <v>6.500066143120931</v>
      </c>
      <c r="H65" s="5">
        <v>1.4857865445666487</v>
      </c>
      <c r="I65" s="9" t="b">
        <v>1</v>
      </c>
      <c r="J65" s="9" t="b">
        <v>0</v>
      </c>
    </row>
    <row r="66" ht="15.75" customHeight="1">
      <c r="A66" s="5">
        <v>7.0</v>
      </c>
      <c r="B66" s="5">
        <v>20111.0</v>
      </c>
      <c r="C66" s="5">
        <v>106.1755726733636</v>
      </c>
      <c r="D66" s="5">
        <v>101.80557104909512</v>
      </c>
      <c r="E66" s="5">
        <v>6.175572673363604</v>
      </c>
      <c r="F66" s="5">
        <v>1.8055710490951213</v>
      </c>
      <c r="G66" s="5">
        <v>-0.33029001760983556</v>
      </c>
      <c r="H66" s="5">
        <v>-2.135861066704957</v>
      </c>
      <c r="I66" s="9" t="b">
        <v>1</v>
      </c>
      <c r="J66" s="9" t="b">
        <v>1</v>
      </c>
    </row>
    <row r="67" ht="15.75" customHeight="1">
      <c r="A67" s="5">
        <v>8.0</v>
      </c>
      <c r="B67" s="5">
        <v>20111.0</v>
      </c>
      <c r="C67" s="5">
        <v>102.2844024034408</v>
      </c>
      <c r="D67" s="5">
        <v>106.00615927348537</v>
      </c>
      <c r="E67" s="5">
        <v>2.2844024034407937</v>
      </c>
      <c r="F67" s="5">
        <v>6.006159273485366</v>
      </c>
      <c r="G67" s="5">
        <v>5.695805033441892</v>
      </c>
      <c r="H67" s="5">
        <v>-0.3103542400434742</v>
      </c>
      <c r="I67" s="9" t="b">
        <v>1</v>
      </c>
      <c r="J67" s="9" t="b">
        <v>0</v>
      </c>
    </row>
    <row r="68" ht="15.75" customHeight="1">
      <c r="A68" s="5">
        <v>9.0</v>
      </c>
      <c r="B68" s="5">
        <v>20111.0</v>
      </c>
      <c r="C68" s="5">
        <v>104.41299790356392</v>
      </c>
      <c r="D68" s="5">
        <v>101.17543392023605</v>
      </c>
      <c r="E68" s="5">
        <v>4.4129979035639195</v>
      </c>
      <c r="F68" s="5">
        <v>1.1754339202360455</v>
      </c>
      <c r="G68" s="5">
        <v>0.5191175002495774</v>
      </c>
      <c r="H68" s="5">
        <v>-0.6563164199864682</v>
      </c>
      <c r="I68" s="9" t="b">
        <v>1</v>
      </c>
      <c r="J68" s="9" t="b">
        <v>0</v>
      </c>
    </row>
    <row r="69" ht="15.75" customHeight="1">
      <c r="A69" s="5">
        <v>10.0</v>
      </c>
      <c r="B69" s="5">
        <v>20111.0</v>
      </c>
      <c r="C69" s="5">
        <v>104.99529828863128</v>
      </c>
      <c r="D69" s="5">
        <v>108.94621338419957</v>
      </c>
      <c r="E69" s="5">
        <v>4.995298288631275</v>
      </c>
      <c r="F69" s="5">
        <v>8.946213384199567</v>
      </c>
      <c r="G69" s="5">
        <v>6.733037783000784</v>
      </c>
      <c r="H69" s="5">
        <v>-2.213175601198783</v>
      </c>
      <c r="I69" s="9" t="b">
        <v>1</v>
      </c>
      <c r="J69" s="9" t="b">
        <v>0</v>
      </c>
    </row>
    <row r="70" ht="15.75" customHeight="1">
      <c r="A70" s="5">
        <v>11.0</v>
      </c>
      <c r="B70" s="5">
        <v>20111.0</v>
      </c>
      <c r="C70" s="5">
        <v>93.14082887172856</v>
      </c>
      <c r="D70" s="5">
        <v>102.4765034965035</v>
      </c>
      <c r="E70" s="5">
        <v>-6.859171128271441</v>
      </c>
      <c r="F70" s="5">
        <v>2.476503496503497</v>
      </c>
      <c r="G70" s="5">
        <v>0.9622359142360759</v>
      </c>
      <c r="H70" s="5">
        <v>-1.5142675822674212</v>
      </c>
      <c r="I70" s="9" t="b">
        <v>1</v>
      </c>
      <c r="J70" s="9" t="b">
        <v>0</v>
      </c>
    </row>
    <row r="71" ht="15.75" customHeight="1">
      <c r="A71" s="5">
        <v>12.0</v>
      </c>
      <c r="B71" s="5">
        <v>20111.0</v>
      </c>
      <c r="C71" s="5">
        <v>102.40518038852916</v>
      </c>
      <c r="D71" s="5">
        <v>103.94366197183098</v>
      </c>
      <c r="E71" s="5">
        <v>2.4051803885291605</v>
      </c>
      <c r="F71" s="5">
        <v>3.943661971830977</v>
      </c>
      <c r="G71" s="5">
        <v>8.740096529249008</v>
      </c>
      <c r="H71" s="5">
        <v>4.796434557418031</v>
      </c>
      <c r="I71" s="9" t="b">
        <v>1</v>
      </c>
      <c r="J71" s="9" t="b">
        <v>0</v>
      </c>
    </row>
    <row r="72" ht="15.75" customHeight="1">
      <c r="A72" s="5">
        <v>13.0</v>
      </c>
      <c r="B72" s="5">
        <v>20111.0</v>
      </c>
      <c r="C72" s="5">
        <v>98.55466888711284</v>
      </c>
      <c r="D72" s="5">
        <v>99.11729898973974</v>
      </c>
      <c r="E72" s="5">
        <v>-1.4453311128871604</v>
      </c>
      <c r="F72" s="5">
        <v>-0.8827010102602628</v>
      </c>
      <c r="G72" s="5">
        <v>-0.4870401826655213</v>
      </c>
      <c r="H72" s="5">
        <v>0.3956608275947415</v>
      </c>
      <c r="I72" s="9" t="b">
        <v>1</v>
      </c>
      <c r="J72" s="9" t="b">
        <v>0</v>
      </c>
    </row>
    <row r="73" ht="15.75" customHeight="1">
      <c r="A73" s="5">
        <v>14.0</v>
      </c>
      <c r="B73" s="5">
        <v>20111.0</v>
      </c>
      <c r="C73" s="5">
        <v>98.28831194467104</v>
      </c>
      <c r="D73" s="5">
        <v>97.05413471729842</v>
      </c>
      <c r="E73" s="5">
        <v>-1.7116880553289633</v>
      </c>
      <c r="F73" s="5">
        <v>-2.9458652827015754</v>
      </c>
      <c r="G73" s="5">
        <v>1.675597503531323</v>
      </c>
      <c r="H73" s="5">
        <v>4.6214627862328985</v>
      </c>
      <c r="I73" s="9" t="b">
        <v>1</v>
      </c>
      <c r="J73" s="9" t="b">
        <v>1</v>
      </c>
    </row>
    <row r="74" ht="15.75" customHeight="1">
      <c r="A74" s="5">
        <v>15.0</v>
      </c>
      <c r="B74" s="5">
        <v>20111.0</v>
      </c>
      <c r="C74" s="5">
        <v>101.04032903834752</v>
      </c>
      <c r="D74" s="5">
        <v>99.74008169693292</v>
      </c>
      <c r="E74" s="5">
        <v>1.0403290383475223</v>
      </c>
      <c r="F74" s="5">
        <v>-0.2599183030670815</v>
      </c>
      <c r="G74" s="5">
        <v>2.0543270927045665</v>
      </c>
      <c r="H74" s="5">
        <v>2.314245395771648</v>
      </c>
      <c r="I74" s="9" t="b">
        <v>1</v>
      </c>
      <c r="J74" s="9" t="b">
        <v>1</v>
      </c>
    </row>
    <row r="75" ht="15.75" customHeight="1">
      <c r="A75" s="5">
        <v>16.0</v>
      </c>
      <c r="B75" s="5">
        <v>20111.0</v>
      </c>
      <c r="C75" s="5">
        <v>98.0806142034549</v>
      </c>
      <c r="D75" s="5">
        <v>105.25231719876416</v>
      </c>
      <c r="E75" s="5">
        <v>-1.9193857965451002</v>
      </c>
      <c r="F75" s="5">
        <v>5.25231719876416</v>
      </c>
      <c r="G75" s="5">
        <v>6.229199878343472</v>
      </c>
      <c r="H75" s="5">
        <v>0.9768826795793117</v>
      </c>
      <c r="I75" s="9" t="b">
        <v>1</v>
      </c>
      <c r="J75" s="9" t="b">
        <v>0</v>
      </c>
    </row>
    <row r="76" ht="15.75" customHeight="1">
      <c r="A76" s="5">
        <v>17.0</v>
      </c>
      <c r="B76" s="5">
        <v>20111.0</v>
      </c>
      <c r="C76" s="5">
        <v>106.4056779430312</v>
      </c>
      <c r="D76" s="5">
        <v>103.86680305960968</v>
      </c>
      <c r="E76" s="5">
        <v>6.405677943031193</v>
      </c>
      <c r="F76" s="5">
        <v>3.86680305960968</v>
      </c>
      <c r="G76" s="5">
        <v>-1.2901826485875345</v>
      </c>
      <c r="H76" s="5">
        <v>-5.156985708197214</v>
      </c>
      <c r="I76" s="9" t="b">
        <v>1</v>
      </c>
      <c r="J76" s="9" t="b">
        <v>1</v>
      </c>
    </row>
    <row r="77" ht="15.75" customHeight="1">
      <c r="A77" s="5">
        <v>1.0</v>
      </c>
      <c r="B77" s="5">
        <v>20121.0</v>
      </c>
      <c r="C77" s="5">
        <v>103.84615384615384</v>
      </c>
      <c r="D77" s="5">
        <v>103.3092037228542</v>
      </c>
      <c r="E77" s="5">
        <v>3.8461538461538396</v>
      </c>
      <c r="F77" s="5">
        <v>3.309203722854207</v>
      </c>
      <c r="G77" s="5">
        <v>-3.5075825334544897</v>
      </c>
      <c r="H77" s="5">
        <v>-6.8167862563086965</v>
      </c>
      <c r="I77" s="9" t="b">
        <v>1</v>
      </c>
      <c r="J77" s="9" t="b">
        <v>1</v>
      </c>
    </row>
    <row r="78" ht="15.75" customHeight="1">
      <c r="A78" s="5">
        <v>2.0</v>
      </c>
      <c r="B78" s="5">
        <v>20121.0</v>
      </c>
      <c r="C78" s="5">
        <v>95.68204121687928</v>
      </c>
      <c r="D78" s="5">
        <v>92.94566253574833</v>
      </c>
      <c r="E78" s="5">
        <v>-4.317958783120716</v>
      </c>
      <c r="F78" s="5">
        <v>-7.054337464251674</v>
      </c>
      <c r="G78" s="5">
        <v>-6.767806170123059</v>
      </c>
      <c r="H78" s="5">
        <v>0.2865312941286149</v>
      </c>
      <c r="I78" s="9" t="b">
        <v>1</v>
      </c>
      <c r="J78" s="9" t="b">
        <v>0</v>
      </c>
    </row>
    <row r="79" ht="15.75" customHeight="1">
      <c r="A79" s="5">
        <v>5.0</v>
      </c>
      <c r="B79" s="5">
        <v>20121.0</v>
      </c>
      <c r="C79" s="5">
        <v>99.00891972249752</v>
      </c>
      <c r="D79" s="5">
        <v>95.14285714285715</v>
      </c>
      <c r="E79" s="5">
        <v>-0.9910802775024763</v>
      </c>
      <c r="F79" s="5">
        <v>-4.857142857142847</v>
      </c>
      <c r="G79" s="5">
        <v>-5.1801088462124945</v>
      </c>
      <c r="H79" s="5">
        <v>-0.32296598906964746</v>
      </c>
      <c r="I79" s="9" t="b">
        <v>1</v>
      </c>
      <c r="J79" s="9" t="b">
        <v>0</v>
      </c>
    </row>
    <row r="80" ht="15.75" customHeight="1">
      <c r="A80" s="5">
        <v>6.0</v>
      </c>
      <c r="B80" s="5">
        <v>20121.0</v>
      </c>
      <c r="C80" s="5">
        <v>98.40162754814035</v>
      </c>
      <c r="D80" s="5">
        <v>98.2236205220602</v>
      </c>
      <c r="E80" s="5">
        <v>-1.598372451859646</v>
      </c>
      <c r="F80" s="5">
        <v>-1.7763794779397983</v>
      </c>
      <c r="G80" s="5">
        <v>-2.5604349864681075</v>
      </c>
      <c r="H80" s="5">
        <v>-0.7840555085283092</v>
      </c>
      <c r="I80" s="9" t="b">
        <v>1</v>
      </c>
      <c r="J80" s="9" t="b">
        <v>0</v>
      </c>
    </row>
    <row r="81" ht="15.75" customHeight="1">
      <c r="A81" s="5">
        <v>7.0</v>
      </c>
      <c r="B81" s="5">
        <v>20121.0</v>
      </c>
      <c r="C81" s="5">
        <v>105.53070340834805</v>
      </c>
      <c r="D81" s="5">
        <v>100.62131436048509</v>
      </c>
      <c r="E81" s="5">
        <v>5.530703408348046</v>
      </c>
      <c r="F81" s="5">
        <v>0.621314360485087</v>
      </c>
      <c r="G81" s="5">
        <v>-0.29863065673250144</v>
      </c>
      <c r="H81" s="5">
        <v>-0.9199450172175885</v>
      </c>
      <c r="I81" s="9" t="b">
        <v>1</v>
      </c>
      <c r="J81" s="9" t="b">
        <v>1</v>
      </c>
    </row>
    <row r="82" ht="15.75" customHeight="1">
      <c r="A82" s="5">
        <v>8.0</v>
      </c>
      <c r="B82" s="5">
        <v>20121.0</v>
      </c>
      <c r="C82" s="5">
        <v>96.27335978711992</v>
      </c>
      <c r="D82" s="5">
        <v>95.27718057221055</v>
      </c>
      <c r="E82" s="5">
        <v>-3.726640212880085</v>
      </c>
      <c r="F82" s="5">
        <v>-4.722819427789446</v>
      </c>
      <c r="G82" s="5">
        <v>-1.2839675577662857</v>
      </c>
      <c r="H82" s="5">
        <v>3.4388518700231603</v>
      </c>
      <c r="I82" s="9" t="b">
        <v>1</v>
      </c>
      <c r="J82" s="9" t="b">
        <v>0</v>
      </c>
    </row>
    <row r="83" ht="15.75" customHeight="1">
      <c r="A83" s="5">
        <v>9.0</v>
      </c>
      <c r="B83" s="5">
        <v>20121.0</v>
      </c>
      <c r="C83" s="5">
        <v>99.86606222954872</v>
      </c>
      <c r="D83" s="5">
        <v>97.30950707760265</v>
      </c>
      <c r="E83" s="5">
        <v>-0.13393777045128274</v>
      </c>
      <c r="F83" s="5">
        <v>-2.690492922397354</v>
      </c>
      <c r="G83" s="5">
        <v>-4.650637871414509</v>
      </c>
      <c r="H83" s="5">
        <v>-1.9601449490171552</v>
      </c>
      <c r="I83" s="9" t="b">
        <v>1</v>
      </c>
      <c r="J83" s="9" t="b">
        <v>0</v>
      </c>
    </row>
    <row r="84" ht="15.75" customHeight="1">
      <c r="A84" s="5">
        <v>10.0</v>
      </c>
      <c r="B84" s="5">
        <v>20121.0</v>
      </c>
      <c r="C84" s="5">
        <v>94.4580002916183</v>
      </c>
      <c r="D84" s="5">
        <v>102.01125766498198</v>
      </c>
      <c r="E84" s="5">
        <v>-5.541999708381695</v>
      </c>
      <c r="F84" s="5">
        <v>2.011257664981983</v>
      </c>
      <c r="G84" s="5">
        <v>-3.2955380165334613</v>
      </c>
      <c r="H84" s="5">
        <v>-5.306795681515444</v>
      </c>
      <c r="I84" s="9" t="b">
        <v>1</v>
      </c>
      <c r="J84" s="9" t="b">
        <v>1</v>
      </c>
    </row>
    <row r="85" ht="15.75" customHeight="1">
      <c r="A85" s="5">
        <v>11.0</v>
      </c>
      <c r="B85" s="5">
        <v>20121.0</v>
      </c>
      <c r="C85" s="5">
        <v>101.6344108129728</v>
      </c>
      <c r="D85" s="5">
        <v>100.7466035764182</v>
      </c>
      <c r="E85" s="5">
        <v>1.6344108129728028</v>
      </c>
      <c r="F85" s="5">
        <v>0.7466035764181953</v>
      </c>
      <c r="G85" s="5">
        <v>-2.1471721869127824</v>
      </c>
      <c r="H85" s="5">
        <v>-2.8937757633309777</v>
      </c>
      <c r="I85" s="9" t="b">
        <v>1</v>
      </c>
      <c r="J85" s="9" t="b">
        <v>1</v>
      </c>
    </row>
    <row r="86" ht="15.75" customHeight="1">
      <c r="A86" s="5">
        <v>12.0</v>
      </c>
      <c r="B86" s="5">
        <v>20121.0</v>
      </c>
      <c r="C86" s="5">
        <v>98.86363636363636</v>
      </c>
      <c r="D86" s="5">
        <v>102.1680216802168</v>
      </c>
      <c r="E86" s="5">
        <v>-1.1363636363636402</v>
      </c>
      <c r="F86" s="5">
        <v>2.168021680216796</v>
      </c>
      <c r="G86" s="5">
        <v>-0.13565634895961187</v>
      </c>
      <c r="H86" s="5">
        <v>-2.303678029176408</v>
      </c>
      <c r="I86" s="9" t="b">
        <v>1</v>
      </c>
      <c r="J86" s="9" t="b">
        <v>1</v>
      </c>
    </row>
    <row r="87" ht="15.75" customHeight="1">
      <c r="A87" s="5">
        <v>13.0</v>
      </c>
      <c r="B87" s="5">
        <v>20121.0</v>
      </c>
      <c r="C87" s="5">
        <v>105.6564298839139</v>
      </c>
      <c r="D87" s="5">
        <v>92.49763124880938</v>
      </c>
      <c r="E87" s="5">
        <v>5.656429883913901</v>
      </c>
      <c r="F87" s="5">
        <v>-7.502368751190616</v>
      </c>
      <c r="G87" s="5">
        <v>-5.688812684722855</v>
      </c>
      <c r="H87" s="5">
        <v>1.8135560664677612</v>
      </c>
      <c r="I87" s="9" t="b">
        <v>1</v>
      </c>
      <c r="J87" s="9" t="b">
        <v>0</v>
      </c>
    </row>
    <row r="88" ht="15.75" customHeight="1">
      <c r="A88" s="5">
        <v>14.0</v>
      </c>
      <c r="B88" s="5">
        <v>20121.0</v>
      </c>
      <c r="C88" s="5">
        <v>99.4682397645068</v>
      </c>
      <c r="D88" s="5">
        <v>99.33145881370564</v>
      </c>
      <c r="E88" s="5">
        <v>-0.531760235493195</v>
      </c>
      <c r="F88" s="5">
        <v>-0.6685411862943624</v>
      </c>
      <c r="G88" s="5">
        <v>-1.3790246611401713</v>
      </c>
      <c r="H88" s="5">
        <v>-0.7104834748458089</v>
      </c>
      <c r="I88" s="9" t="b">
        <v>1</v>
      </c>
      <c r="J88" s="9" t="b">
        <v>0</v>
      </c>
    </row>
    <row r="89" ht="15.75" customHeight="1">
      <c r="A89" s="5">
        <v>15.0</v>
      </c>
      <c r="B89" s="5">
        <v>20121.0</v>
      </c>
      <c r="C89" s="5">
        <v>101.91339375629408</v>
      </c>
      <c r="D89" s="5">
        <v>97.76512651090442</v>
      </c>
      <c r="E89" s="5">
        <v>1.9133937562940844</v>
      </c>
      <c r="F89" s="5">
        <v>-2.234873489095577</v>
      </c>
      <c r="G89" s="5">
        <v>-4.428690877088027</v>
      </c>
      <c r="H89" s="5">
        <v>-2.19381738799245</v>
      </c>
      <c r="I89" s="9" t="b">
        <v>1</v>
      </c>
      <c r="J89" s="9" t="b">
        <v>0</v>
      </c>
    </row>
    <row r="90" ht="15.75" customHeight="1">
      <c r="A90" s="5">
        <v>16.0</v>
      </c>
      <c r="B90" s="5">
        <v>20121.0</v>
      </c>
      <c r="C90" s="5">
        <v>121.74863387978144</v>
      </c>
      <c r="D90" s="5">
        <v>109.00195694716244</v>
      </c>
      <c r="E90" s="5">
        <v>21.748633879781437</v>
      </c>
      <c r="F90" s="5">
        <v>9.00195694716244</v>
      </c>
      <c r="G90" s="5">
        <v>-2.3868830425724186</v>
      </c>
      <c r="H90" s="5">
        <v>-11.388839989734858</v>
      </c>
      <c r="I90" s="9" t="b">
        <v>1</v>
      </c>
      <c r="J90" s="9" t="b">
        <v>1</v>
      </c>
    </row>
    <row r="91" ht="15.75" customHeight="1">
      <c r="A91" s="5">
        <v>17.0</v>
      </c>
      <c r="B91" s="5">
        <v>20121.0</v>
      </c>
      <c r="C91" s="5">
        <v>99.16244442146626</v>
      </c>
      <c r="D91" s="5">
        <v>94.75348285742515</v>
      </c>
      <c r="E91" s="5">
        <v>-0.8375555785337383</v>
      </c>
      <c r="F91" s="5">
        <v>-5.246517142574845</v>
      </c>
      <c r="G91" s="5">
        <v>-6.398717290121613</v>
      </c>
      <c r="H91" s="5">
        <v>-1.1522001475467682</v>
      </c>
      <c r="I91" s="9" t="b">
        <v>1</v>
      </c>
      <c r="J91" s="9" t="b">
        <v>0</v>
      </c>
    </row>
    <row r="92" ht="15.75" customHeight="1">
      <c r="A92" s="5">
        <v>1.0</v>
      </c>
      <c r="B92" s="5">
        <v>20131.0</v>
      </c>
      <c r="C92" s="5">
        <v>100.98360655737706</v>
      </c>
      <c r="D92" s="5">
        <v>92.49249249249247</v>
      </c>
      <c r="E92" s="5">
        <v>0.9836065573770583</v>
      </c>
      <c r="F92" s="5">
        <v>-7.507507507507526</v>
      </c>
      <c r="G92" s="5">
        <v>-7.4132605552532755</v>
      </c>
      <c r="H92" s="5">
        <v>0.09424695225425062</v>
      </c>
      <c r="I92" s="9" t="b">
        <v>1</v>
      </c>
      <c r="J92" s="9" t="b">
        <v>0</v>
      </c>
    </row>
    <row r="93" ht="15.75" customHeight="1">
      <c r="A93" s="5">
        <v>2.0</v>
      </c>
      <c r="B93" s="5">
        <v>20131.0</v>
      </c>
      <c r="C93" s="5">
        <v>100.5324813631523</v>
      </c>
      <c r="D93" s="5">
        <v>96.82051282051285</v>
      </c>
      <c r="E93" s="5">
        <v>0.5324813631523</v>
      </c>
      <c r="F93" s="5">
        <v>-3.179487179487154</v>
      </c>
      <c r="G93" s="5">
        <v>-2.5618733196196897</v>
      </c>
      <c r="H93" s="5">
        <v>0.6176138598674643</v>
      </c>
      <c r="I93" s="9" t="b">
        <v>1</v>
      </c>
      <c r="J93" s="9" t="b">
        <v>0</v>
      </c>
    </row>
    <row r="94" ht="15.75" customHeight="1">
      <c r="A94" s="5">
        <v>5.0</v>
      </c>
      <c r="B94" s="5">
        <v>20131.0</v>
      </c>
      <c r="C94" s="5">
        <v>96.29093383007329</v>
      </c>
      <c r="D94" s="5">
        <v>95.03789865510734</v>
      </c>
      <c r="E94" s="5">
        <v>-3.7090661699267145</v>
      </c>
      <c r="F94" s="5">
        <v>-4.962101344892659</v>
      </c>
      <c r="G94" s="5">
        <v>-3.9275463964271506</v>
      </c>
      <c r="H94" s="5">
        <v>1.0345549484655083</v>
      </c>
      <c r="I94" s="9" t="b">
        <v>1</v>
      </c>
      <c r="J94" s="9" t="b">
        <v>0</v>
      </c>
    </row>
    <row r="95" ht="15.75" customHeight="1">
      <c r="A95" s="5">
        <v>6.0</v>
      </c>
      <c r="B95" s="5">
        <v>20131.0</v>
      </c>
      <c r="C95" s="5">
        <v>96.73302711782416</v>
      </c>
      <c r="D95" s="5">
        <v>92.54668385163184</v>
      </c>
      <c r="E95" s="5">
        <v>-3.2669728821758355</v>
      </c>
      <c r="F95" s="5">
        <v>-7.45331614836816</v>
      </c>
      <c r="G95" s="5">
        <v>-12.049766437246468</v>
      </c>
      <c r="H95" s="5">
        <v>-4.596450288878309</v>
      </c>
      <c r="I95" s="9" t="b">
        <v>1</v>
      </c>
      <c r="J95" s="9" t="b">
        <v>0</v>
      </c>
    </row>
    <row r="96" ht="15.75" customHeight="1">
      <c r="A96" s="5">
        <v>7.0</v>
      </c>
      <c r="B96" s="5">
        <v>20131.0</v>
      </c>
      <c r="C96" s="5">
        <v>93.38112074152968</v>
      </c>
      <c r="D96" s="5">
        <v>87.8961678800976</v>
      </c>
      <c r="E96" s="5">
        <v>-6.618879258470315</v>
      </c>
      <c r="F96" s="5">
        <v>-12.103832119902407</v>
      </c>
      <c r="G96" s="5">
        <v>-9.626855234658416</v>
      </c>
      <c r="H96" s="5">
        <v>2.4769768852439906</v>
      </c>
      <c r="I96" s="9" t="b">
        <v>1</v>
      </c>
      <c r="J96" s="9" t="b">
        <v>0</v>
      </c>
    </row>
    <row r="97" ht="15.75" customHeight="1">
      <c r="A97" s="5">
        <v>8.0</v>
      </c>
      <c r="B97" s="5">
        <v>20131.0</v>
      </c>
      <c r="C97" s="5">
        <v>97.56368602008726</v>
      </c>
      <c r="D97" s="5">
        <v>93.70492104489291</v>
      </c>
      <c r="E97" s="5">
        <v>-2.4363139799127396</v>
      </c>
      <c r="F97" s="5">
        <v>-6.295078955107087</v>
      </c>
      <c r="G97" s="5">
        <v>-6.070816888822694</v>
      </c>
      <c r="H97" s="5">
        <v>0.2242620662843926</v>
      </c>
      <c r="I97" s="9" t="b">
        <v>1</v>
      </c>
      <c r="J97" s="9" t="b">
        <v>0</v>
      </c>
    </row>
    <row r="98" ht="15.75" customHeight="1">
      <c r="A98" s="5">
        <v>9.0</v>
      </c>
      <c r="B98" s="5">
        <v>20131.0</v>
      </c>
      <c r="C98" s="5">
        <v>98.41509433962264</v>
      </c>
      <c r="D98" s="5">
        <v>94.17105127411531</v>
      </c>
      <c r="E98" s="5">
        <v>-1.584905660377359</v>
      </c>
      <c r="F98" s="5">
        <v>-5.828948725884686</v>
      </c>
      <c r="G98" s="5">
        <v>-6.005937050223453</v>
      </c>
      <c r="H98" s="5">
        <v>-0.1769883243387671</v>
      </c>
      <c r="I98" s="9" t="b">
        <v>1</v>
      </c>
      <c r="J98" s="9" t="b">
        <v>0</v>
      </c>
    </row>
    <row r="99" ht="15.75" customHeight="1">
      <c r="A99" s="5">
        <v>10.0</v>
      </c>
      <c r="B99" s="5">
        <v>20131.0</v>
      </c>
      <c r="C99" s="5">
        <v>106.82039417691853</v>
      </c>
      <c r="D99" s="5">
        <v>102.08146506829026</v>
      </c>
      <c r="E99" s="5">
        <v>6.820394176918526</v>
      </c>
      <c r="F99" s="5">
        <v>2.0814650682902567</v>
      </c>
      <c r="G99" s="5">
        <v>-2.867323104510322</v>
      </c>
      <c r="H99" s="5">
        <v>-4.948788172800579</v>
      </c>
      <c r="I99" s="9" t="b">
        <v>1</v>
      </c>
      <c r="J99" s="9" t="b">
        <v>1</v>
      </c>
    </row>
    <row r="100" ht="15.75" customHeight="1">
      <c r="A100" s="5">
        <v>11.0</v>
      </c>
      <c r="B100" s="5">
        <v>20131.0</v>
      </c>
      <c r="C100" s="5">
        <v>89.01774163211552</v>
      </c>
      <c r="D100" s="5">
        <v>89.78899377242486</v>
      </c>
      <c r="E100" s="5">
        <v>-10.982258367884484</v>
      </c>
      <c r="F100" s="5">
        <v>-10.21100622757514</v>
      </c>
      <c r="G100" s="5">
        <v>-8.264824350259781</v>
      </c>
      <c r="H100" s="5">
        <v>1.9461818773153592</v>
      </c>
      <c r="I100" s="9" t="b">
        <v>1</v>
      </c>
      <c r="J100" s="9" t="b">
        <v>0</v>
      </c>
    </row>
    <row r="101" ht="15.75" customHeight="1">
      <c r="A101" s="5">
        <v>12.0</v>
      </c>
      <c r="B101" s="5">
        <v>20131.0</v>
      </c>
      <c r="C101" s="5">
        <v>96.9298245614035</v>
      </c>
      <c r="D101" s="5">
        <v>97.70114942528735</v>
      </c>
      <c r="E101" s="5">
        <v>-3.0701754385964932</v>
      </c>
      <c r="F101" s="5">
        <v>-2.2988505747126453</v>
      </c>
      <c r="G101" s="5">
        <v>-3.2860569793741856</v>
      </c>
      <c r="H101" s="5">
        <v>-0.9872064046615403</v>
      </c>
      <c r="I101" s="9" t="b">
        <v>1</v>
      </c>
      <c r="J101" s="9" t="b">
        <v>0</v>
      </c>
    </row>
    <row r="102" ht="15.75" customHeight="1">
      <c r="A102" s="5">
        <v>13.0</v>
      </c>
      <c r="B102" s="5">
        <v>20131.0</v>
      </c>
      <c r="C102" s="5">
        <v>95.75366583649108</v>
      </c>
      <c r="D102" s="5">
        <v>95.60833205349245</v>
      </c>
      <c r="E102" s="5">
        <v>-4.246334163508919</v>
      </c>
      <c r="F102" s="5">
        <v>-4.391667946507553</v>
      </c>
      <c r="G102" s="5">
        <v>-6.023068915790009</v>
      </c>
      <c r="H102" s="5">
        <v>-1.6314009692824554</v>
      </c>
      <c r="I102" s="9" t="b">
        <v>1</v>
      </c>
      <c r="J102" s="9" t="b">
        <v>0</v>
      </c>
    </row>
    <row r="103" ht="15.75" customHeight="1">
      <c r="A103" s="5">
        <v>14.0</v>
      </c>
      <c r="B103" s="5">
        <v>20131.0</v>
      </c>
      <c r="C103" s="5">
        <v>98.90893800772032</v>
      </c>
      <c r="D103" s="5">
        <v>94.07326541066416</v>
      </c>
      <c r="E103" s="5">
        <v>-1.091061992279677</v>
      </c>
      <c r="F103" s="5">
        <v>-5.926734589335837</v>
      </c>
      <c r="G103" s="5">
        <v>-9.528222877774661</v>
      </c>
      <c r="H103" s="5">
        <v>-3.6014882884388246</v>
      </c>
      <c r="I103" s="9" t="b">
        <v>1</v>
      </c>
      <c r="J103" s="9" t="b">
        <v>0</v>
      </c>
    </row>
    <row r="104" ht="15.75" customHeight="1">
      <c r="A104" s="5">
        <v>15.0</v>
      </c>
      <c r="B104" s="5">
        <v>20131.0</v>
      </c>
      <c r="C104" s="5">
        <v>93.1842385516507</v>
      </c>
      <c r="D104" s="5">
        <v>86.46245059288538</v>
      </c>
      <c r="E104" s="5">
        <v>-6.815761448349306</v>
      </c>
      <c r="F104" s="5">
        <v>-13.537549407114625</v>
      </c>
      <c r="G104" s="5">
        <v>-9.677156815824528</v>
      </c>
      <c r="H104" s="5">
        <v>3.860392591290097</v>
      </c>
      <c r="I104" s="9" t="b">
        <v>1</v>
      </c>
      <c r="J104" s="9" t="b">
        <v>0</v>
      </c>
    </row>
    <row r="105" ht="15.75" customHeight="1">
      <c r="A105" s="5">
        <v>16.0</v>
      </c>
      <c r="B105" s="5">
        <v>20131.0</v>
      </c>
      <c r="C105" s="5">
        <v>97.7710233029382</v>
      </c>
      <c r="D105" s="5">
        <v>86.62477558348294</v>
      </c>
      <c r="E105" s="5">
        <v>-2.228976697061796</v>
      </c>
      <c r="F105" s="5">
        <v>-13.375224416517057</v>
      </c>
      <c r="G105" s="5">
        <v>-6.678070665469549</v>
      </c>
      <c r="H105" s="5">
        <v>6.697153751047508</v>
      </c>
      <c r="I105" s="9" t="b">
        <v>1</v>
      </c>
      <c r="J105" s="9" t="b">
        <v>0</v>
      </c>
    </row>
    <row r="106" ht="15.75" customHeight="1">
      <c r="A106" s="5">
        <v>17.0</v>
      </c>
      <c r="B106" s="5">
        <v>20131.0</v>
      </c>
      <c r="C106" s="5">
        <v>95.97751818382191</v>
      </c>
      <c r="D106" s="5">
        <v>90.8133472367049</v>
      </c>
      <c r="E106" s="5">
        <v>-4.022481816178086</v>
      </c>
      <c r="F106" s="5">
        <v>-9.1866527632951</v>
      </c>
      <c r="G106" s="5">
        <v>-5.055077108678974</v>
      </c>
      <c r="H106" s="5">
        <v>4.131575654616126</v>
      </c>
      <c r="I106" s="9" t="b">
        <v>1</v>
      </c>
      <c r="J106" s="9" t="b">
        <v>0</v>
      </c>
    </row>
    <row r="107" ht="15.75" customHeight="1">
      <c r="A107" s="5">
        <v>1.0</v>
      </c>
      <c r="B107" s="5">
        <v>20141.0</v>
      </c>
      <c r="C107" s="5">
        <v>101.1904761904762</v>
      </c>
      <c r="D107" s="5">
        <v>101.1904761904762</v>
      </c>
      <c r="E107" s="5">
        <v>1.190476190476204</v>
      </c>
      <c r="F107" s="5">
        <v>1.190476190476204</v>
      </c>
      <c r="G107" s="5">
        <v>-0.541504699525297</v>
      </c>
      <c r="H107" s="5">
        <v>-1.731980890001501</v>
      </c>
      <c r="I107" s="9" t="b">
        <v>1</v>
      </c>
      <c r="J107" s="9" t="b">
        <v>1</v>
      </c>
    </row>
    <row r="108" ht="15.75" customHeight="1">
      <c r="A108" s="5">
        <v>2.0</v>
      </c>
      <c r="B108" s="5">
        <v>20141.0</v>
      </c>
      <c r="C108" s="5">
        <v>97.72234273318873</v>
      </c>
      <c r="D108" s="5">
        <v>95.44491525423727</v>
      </c>
      <c r="E108" s="5">
        <v>-2.277657266811275</v>
      </c>
      <c r="F108" s="5">
        <v>-4.555084745762727</v>
      </c>
      <c r="G108" s="5">
        <v>-3.534518119907548</v>
      </c>
      <c r="H108" s="5">
        <v>1.0205666258551789</v>
      </c>
      <c r="I108" s="9" t="b">
        <v>1</v>
      </c>
      <c r="J108" s="9" t="b">
        <v>0</v>
      </c>
    </row>
    <row r="109" ht="15.75" customHeight="1">
      <c r="A109" s="5">
        <v>5.0</v>
      </c>
      <c r="B109" s="5">
        <v>20141.0</v>
      </c>
      <c r="C109" s="5">
        <v>107.4937022593982</v>
      </c>
      <c r="D109" s="5">
        <v>104.687177254382</v>
      </c>
      <c r="E109" s="5">
        <v>7.493702259398205</v>
      </c>
      <c r="F109" s="5">
        <v>4.687177254381993</v>
      </c>
      <c r="G109" s="5">
        <v>6.113579351825793</v>
      </c>
      <c r="H109" s="5">
        <v>1.4264020974438</v>
      </c>
      <c r="I109" s="9" t="b">
        <v>1</v>
      </c>
      <c r="J109" s="9" t="b">
        <v>0</v>
      </c>
    </row>
    <row r="110" ht="15.75" customHeight="1">
      <c r="A110" s="5">
        <v>6.0</v>
      </c>
      <c r="B110" s="5">
        <v>20141.0</v>
      </c>
      <c r="C110" s="5">
        <v>99.48495363097491</v>
      </c>
      <c r="D110" s="5">
        <v>101.69905267849488</v>
      </c>
      <c r="E110" s="5">
        <v>-0.5150463690250859</v>
      </c>
      <c r="F110" s="5">
        <v>1.6990526784948798</v>
      </c>
      <c r="G110" s="5">
        <v>2.4974160581858973</v>
      </c>
      <c r="H110" s="5">
        <v>0.7983633796910174</v>
      </c>
      <c r="I110" s="9" t="b">
        <v>1</v>
      </c>
      <c r="J110" s="9" t="b">
        <v>0</v>
      </c>
    </row>
    <row r="111" ht="15.75" customHeight="1">
      <c r="A111" s="5">
        <v>7.0</v>
      </c>
      <c r="B111" s="5">
        <v>20141.0</v>
      </c>
      <c r="C111" s="5">
        <v>96.57215109039208</v>
      </c>
      <c r="D111" s="5">
        <v>97.3241860934773</v>
      </c>
      <c r="E111" s="5">
        <v>-3.427848909607917</v>
      </c>
      <c r="F111" s="5">
        <v>-2.6758139065227056</v>
      </c>
      <c r="G111" s="5">
        <v>1.228328529469458</v>
      </c>
      <c r="H111" s="5">
        <v>3.9041424359921635</v>
      </c>
      <c r="I111" s="9" t="b">
        <v>1</v>
      </c>
      <c r="J111" s="9" t="b">
        <v>1</v>
      </c>
    </row>
    <row r="112" ht="15.75" customHeight="1">
      <c r="A112" s="5">
        <v>8.0</v>
      </c>
      <c r="B112" s="5">
        <v>20141.0</v>
      </c>
      <c r="C112" s="5">
        <v>100.81118747243664</v>
      </c>
      <c r="D112" s="5">
        <v>100.50533760808608</v>
      </c>
      <c r="E112" s="5">
        <v>0.811187472436643</v>
      </c>
      <c r="F112" s="5">
        <v>0.5053376080860801</v>
      </c>
      <c r="G112" s="5">
        <v>-1.0436142216936894</v>
      </c>
      <c r="H112" s="5">
        <v>-1.5489518297797695</v>
      </c>
      <c r="I112" s="9" t="b">
        <v>1</v>
      </c>
      <c r="J112" s="9" t="b">
        <v>1</v>
      </c>
    </row>
    <row r="113" ht="15.75" customHeight="1">
      <c r="A113" s="5">
        <v>9.0</v>
      </c>
      <c r="B113" s="5">
        <v>20141.0</v>
      </c>
      <c r="C113" s="5">
        <v>99.11033958988824</v>
      </c>
      <c r="D113" s="5">
        <v>100.0766871165644</v>
      </c>
      <c r="E113" s="5">
        <v>-0.8896604101117589</v>
      </c>
      <c r="F113" s="5">
        <v>0.07668711656440053</v>
      </c>
      <c r="G113" s="5">
        <v>1.4199329574045239</v>
      </c>
      <c r="H113" s="5">
        <v>1.3432458408401233</v>
      </c>
      <c r="I113" s="9" t="b">
        <v>1</v>
      </c>
      <c r="J113" s="9" t="b">
        <v>0</v>
      </c>
    </row>
    <row r="114" ht="15.75" customHeight="1">
      <c r="A114" s="5">
        <v>10.0</v>
      </c>
      <c r="B114" s="5">
        <v>20141.0</v>
      </c>
      <c r="C114" s="5">
        <v>103.99116948459636</v>
      </c>
      <c r="D114" s="5">
        <v>100.24506530205986</v>
      </c>
      <c r="E114" s="5">
        <v>3.9911694845963552</v>
      </c>
      <c r="F114" s="5">
        <v>0.24506530205985655</v>
      </c>
      <c r="G114" s="5">
        <v>0.08745338419913207</v>
      </c>
      <c r="H114" s="5">
        <v>-0.15761191786072448</v>
      </c>
      <c r="I114" s="9" t="b">
        <v>1</v>
      </c>
      <c r="J114" s="9" t="b">
        <v>0</v>
      </c>
    </row>
    <row r="115" ht="15.75" customHeight="1">
      <c r="A115" s="5">
        <v>11.0</v>
      </c>
      <c r="B115" s="5">
        <v>20141.0</v>
      </c>
      <c r="C115" s="5">
        <v>102.91435874691744</v>
      </c>
      <c r="D115" s="5">
        <v>101.05895290275944</v>
      </c>
      <c r="E115" s="5">
        <v>2.9143587469174435</v>
      </c>
      <c r="F115" s="5">
        <v>1.0589529027594438</v>
      </c>
      <c r="G115" s="5">
        <v>5.0010495711553915</v>
      </c>
      <c r="H115" s="5">
        <v>3.9420966683959477</v>
      </c>
      <c r="I115" s="9" t="b">
        <v>1</v>
      </c>
      <c r="J115" s="9" t="b">
        <v>0</v>
      </c>
    </row>
    <row r="116" ht="15.75" customHeight="1">
      <c r="A116" s="5">
        <v>12.0</v>
      </c>
      <c r="B116" s="5">
        <v>20141.0</v>
      </c>
      <c r="C116" s="5">
        <v>99.04430929626412</v>
      </c>
      <c r="D116" s="5">
        <v>103.16742081447966</v>
      </c>
      <c r="E116" s="5">
        <v>-0.9556907037358826</v>
      </c>
      <c r="F116" s="5">
        <v>3.167420814479655</v>
      </c>
      <c r="G116" s="5">
        <v>0.8676416897725359</v>
      </c>
      <c r="H116" s="5">
        <v>-2.2997791247071193</v>
      </c>
      <c r="I116" s="9" t="b">
        <v>1</v>
      </c>
      <c r="J116" s="9" t="b">
        <v>0</v>
      </c>
    </row>
    <row r="117" ht="15.75" customHeight="1">
      <c r="A117" s="5">
        <v>13.0</v>
      </c>
      <c r="B117" s="5">
        <v>20141.0</v>
      </c>
      <c r="C117" s="5">
        <v>102.14958040600222</v>
      </c>
      <c r="D117" s="5">
        <v>102.27009325322108</v>
      </c>
      <c r="E117" s="5">
        <v>2.1495804060022152</v>
      </c>
      <c r="F117" s="5">
        <v>2.270093253221077</v>
      </c>
      <c r="G117" s="5">
        <v>1.6228158991422825</v>
      </c>
      <c r="H117" s="5">
        <v>-0.6472773540787946</v>
      </c>
      <c r="I117" s="9" t="b">
        <v>1</v>
      </c>
      <c r="J117" s="9" t="b">
        <v>0</v>
      </c>
    </row>
    <row r="118" ht="15.75" customHeight="1">
      <c r="A118" s="5">
        <v>14.0</v>
      </c>
      <c r="B118" s="5">
        <v>20141.0</v>
      </c>
      <c r="C118" s="5">
        <v>98.75657757779904</v>
      </c>
      <c r="D118" s="5">
        <v>98.38198213170422</v>
      </c>
      <c r="E118" s="5">
        <v>-1.2434224222009647</v>
      </c>
      <c r="F118" s="5">
        <v>-1.6180178682957802</v>
      </c>
      <c r="G118" s="5">
        <v>2.3549703297494284</v>
      </c>
      <c r="H118" s="5">
        <v>3.9729881980452086</v>
      </c>
      <c r="I118" s="9" t="b">
        <v>1</v>
      </c>
      <c r="J118" s="9" t="b">
        <v>1</v>
      </c>
    </row>
    <row r="119" ht="15.75" customHeight="1">
      <c r="A119" s="5">
        <v>15.0</v>
      </c>
      <c r="B119" s="5">
        <v>20141.0</v>
      </c>
      <c r="C119" s="5">
        <v>101.94285714285714</v>
      </c>
      <c r="D119" s="5">
        <v>101.94285714285714</v>
      </c>
      <c r="E119" s="5">
        <v>1.942857142857136</v>
      </c>
      <c r="F119" s="5">
        <v>1.942857142857136</v>
      </c>
      <c r="G119" s="5">
        <v>2.1284430824846545</v>
      </c>
      <c r="H119" s="5">
        <v>0.18558593962751857</v>
      </c>
      <c r="I119" s="9" t="b">
        <v>1</v>
      </c>
      <c r="J119" s="9" t="b">
        <v>0</v>
      </c>
    </row>
    <row r="120" ht="15.75" customHeight="1">
      <c r="A120" s="5">
        <v>16.0</v>
      </c>
      <c r="B120" s="5">
        <v>20141.0</v>
      </c>
      <c r="C120" s="5">
        <v>90.70254306719114</v>
      </c>
      <c r="D120" s="5">
        <v>96.27980680553378</v>
      </c>
      <c r="E120" s="5">
        <v>-9.297456932808856</v>
      </c>
      <c r="F120" s="5">
        <v>-3.720193194466219</v>
      </c>
      <c r="G120" s="5">
        <v>3.2798395918434142</v>
      </c>
      <c r="H120" s="5">
        <v>7.000032786309633</v>
      </c>
      <c r="I120" s="9" t="b">
        <v>1</v>
      </c>
      <c r="J120" s="9" t="b">
        <v>1</v>
      </c>
    </row>
    <row r="121" ht="15.75" customHeight="1">
      <c r="A121" s="5">
        <v>17.0</v>
      </c>
      <c r="B121" s="5">
        <v>20141.0</v>
      </c>
      <c r="C121" s="5">
        <v>105.22648083623692</v>
      </c>
      <c r="D121" s="5">
        <v>104.03031346882534</v>
      </c>
      <c r="E121" s="5">
        <v>5.226480836236917</v>
      </c>
      <c r="F121" s="5">
        <v>4.030313468825341</v>
      </c>
      <c r="G121" s="5">
        <v>3.998488125862809</v>
      </c>
      <c r="H121" s="5">
        <v>-0.0318253429625317</v>
      </c>
      <c r="I121" s="9" t="b">
        <v>1</v>
      </c>
      <c r="J121" s="9" t="b">
        <v>0</v>
      </c>
    </row>
    <row r="122" ht="15.75" customHeight="1">
      <c r="A122" s="5">
        <v>1.0</v>
      </c>
      <c r="B122" s="5">
        <v>20151.0</v>
      </c>
      <c r="C122" s="5">
        <v>101.87224669603523</v>
      </c>
      <c r="D122" s="5">
        <v>98.93048128342244</v>
      </c>
      <c r="E122" s="5">
        <v>1.8722466960352335</v>
      </c>
      <c r="F122" s="5">
        <v>-1.0695187165775621</v>
      </c>
      <c r="G122" s="5">
        <v>-0.591517315902379</v>
      </c>
      <c r="H122" s="5">
        <v>0.47800140067518315</v>
      </c>
      <c r="I122" s="9" t="b">
        <v>1</v>
      </c>
      <c r="J122" s="9" t="b">
        <v>0</v>
      </c>
    </row>
    <row r="123" ht="15.75" customHeight="1">
      <c r="A123" s="5">
        <v>2.0</v>
      </c>
      <c r="B123" s="5">
        <v>20151.0</v>
      </c>
      <c r="C123" s="5">
        <v>101.07296137339056</v>
      </c>
      <c r="D123" s="5">
        <v>104.55049944506104</v>
      </c>
      <c r="E123" s="5">
        <v>1.0729613733905552</v>
      </c>
      <c r="F123" s="5">
        <v>4.550499445061035</v>
      </c>
      <c r="G123" s="5">
        <v>3.4075467643604807</v>
      </c>
      <c r="H123" s="5">
        <v>-1.1429526807005548</v>
      </c>
      <c r="I123" s="9" t="b">
        <v>1</v>
      </c>
      <c r="J123" s="9" t="b">
        <v>0</v>
      </c>
    </row>
    <row r="124" ht="15.75" customHeight="1">
      <c r="A124" s="5">
        <v>5.0</v>
      </c>
      <c r="B124" s="5">
        <v>20151.0</v>
      </c>
      <c r="C124" s="5">
        <v>101.20332006127452</v>
      </c>
      <c r="D124" s="5">
        <v>105.42185215926672</v>
      </c>
      <c r="E124" s="5">
        <v>1.2033200612745247</v>
      </c>
      <c r="F124" s="5">
        <v>5.42185215926672</v>
      </c>
      <c r="G124" s="5">
        <v>-0.730589805111248</v>
      </c>
      <c r="H124" s="5">
        <v>-6.152441964377968</v>
      </c>
      <c r="I124" s="9" t="b">
        <v>1</v>
      </c>
      <c r="J124" s="9" t="b">
        <v>1</v>
      </c>
    </row>
    <row r="125" ht="15.75" customHeight="1">
      <c r="A125" s="5">
        <v>6.0</v>
      </c>
      <c r="B125" s="5">
        <v>20151.0</v>
      </c>
      <c r="C125" s="5">
        <v>98.68863107666222</v>
      </c>
      <c r="D125" s="5">
        <v>96.99405816395664</v>
      </c>
      <c r="E125" s="5">
        <v>-1.3113689233377812</v>
      </c>
      <c r="F125" s="5">
        <v>-3.0059418360433625</v>
      </c>
      <c r="G125" s="5">
        <v>-3.9408685031882773</v>
      </c>
      <c r="H125" s="5">
        <v>-0.9349266671449148</v>
      </c>
      <c r="I125" s="9" t="b">
        <v>1</v>
      </c>
      <c r="J125" s="9" t="b">
        <v>0</v>
      </c>
    </row>
    <row r="126" ht="15.75" customHeight="1">
      <c r="A126" s="5">
        <v>7.0</v>
      </c>
      <c r="B126" s="5">
        <v>20151.0</v>
      </c>
      <c r="C126" s="5">
        <v>99.65937191005628</v>
      </c>
      <c r="D126" s="5">
        <v>105.9463077321378</v>
      </c>
      <c r="E126" s="5">
        <v>-0.3406280899437206</v>
      </c>
      <c r="F126" s="5">
        <v>5.946307732137797</v>
      </c>
      <c r="G126" s="5">
        <v>2.195711686656643</v>
      </c>
      <c r="H126" s="5">
        <v>-3.7505960454811538</v>
      </c>
      <c r="I126" s="9" t="b">
        <v>1</v>
      </c>
      <c r="J126" s="9" t="b">
        <v>0</v>
      </c>
    </row>
    <row r="127" ht="15.75" customHeight="1">
      <c r="A127" s="5">
        <v>8.0</v>
      </c>
      <c r="B127" s="5">
        <v>20151.0</v>
      </c>
      <c r="C127" s="5">
        <v>97.74976122757484</v>
      </c>
      <c r="D127" s="5">
        <v>99.00757569705247</v>
      </c>
      <c r="E127" s="5">
        <v>-2.2502387724251633</v>
      </c>
      <c r="F127" s="5">
        <v>-0.9924243029475264</v>
      </c>
      <c r="G127" s="5">
        <v>0.9825172023963047</v>
      </c>
      <c r="H127" s="5">
        <v>1.974941505343831</v>
      </c>
      <c r="I127" s="9" t="b">
        <v>1</v>
      </c>
      <c r="J127" s="9" t="b">
        <v>1</v>
      </c>
    </row>
    <row r="128" ht="15.75" customHeight="1">
      <c r="A128" s="5">
        <v>9.0</v>
      </c>
      <c r="B128" s="5">
        <v>20151.0</v>
      </c>
      <c r="C128" s="5">
        <v>105.12644467330358</v>
      </c>
      <c r="D128" s="5">
        <v>100.56923918992884</v>
      </c>
      <c r="E128" s="5">
        <v>5.126444673303581</v>
      </c>
      <c r="F128" s="5">
        <v>0.5692391899288367</v>
      </c>
      <c r="G128" s="5">
        <v>0.8666522638496765</v>
      </c>
      <c r="H128" s="5">
        <v>0.2974130739208398</v>
      </c>
      <c r="I128" s="9" t="b">
        <v>1</v>
      </c>
      <c r="J128" s="9" t="b">
        <v>0</v>
      </c>
    </row>
    <row r="129" ht="15.75" customHeight="1">
      <c r="A129" s="5">
        <v>10.0</v>
      </c>
      <c r="B129" s="5">
        <v>20151.0</v>
      </c>
      <c r="C129" s="5">
        <v>99.81877947641196</v>
      </c>
      <c r="D129" s="5">
        <v>98.10398632426104</v>
      </c>
      <c r="E129" s="5">
        <v>-0.18122052358803842</v>
      </c>
      <c r="F129" s="5">
        <v>-1.8960136757389563</v>
      </c>
      <c r="G129" s="5">
        <v>0.9819614848704417</v>
      </c>
      <c r="H129" s="5">
        <v>2.877975160609398</v>
      </c>
      <c r="I129" s="9" t="b">
        <v>1</v>
      </c>
      <c r="J129" s="9" t="b">
        <v>1</v>
      </c>
    </row>
    <row r="130" ht="15.75" customHeight="1">
      <c r="A130" s="5">
        <v>11.0</v>
      </c>
      <c r="B130" s="5">
        <v>20151.0</v>
      </c>
      <c r="C130" s="5">
        <v>98.8655970265378</v>
      </c>
      <c r="D130" s="5">
        <v>103.87098229885156</v>
      </c>
      <c r="E130" s="5">
        <v>-1.1344029734622012</v>
      </c>
      <c r="F130" s="5">
        <v>3.8709822988515583</v>
      </c>
      <c r="G130" s="5">
        <v>0.0992032237795204</v>
      </c>
      <c r="H130" s="5">
        <v>-3.771779075072038</v>
      </c>
      <c r="I130" s="9" t="b">
        <v>1</v>
      </c>
      <c r="J130" s="9" t="b">
        <v>0</v>
      </c>
    </row>
    <row r="131" ht="15.75" customHeight="1">
      <c r="A131" s="5">
        <v>12.0</v>
      </c>
      <c r="B131" s="5">
        <v>20151.0</v>
      </c>
      <c r="C131" s="5">
        <v>99.7391304347826</v>
      </c>
      <c r="D131" s="5">
        <v>100.61403508771932</v>
      </c>
      <c r="E131" s="5">
        <v>-0.2608695652174049</v>
      </c>
      <c r="F131" s="5">
        <v>0.6140350877193157</v>
      </c>
      <c r="G131" s="5">
        <v>4.922569188620973</v>
      </c>
      <c r="H131" s="5">
        <v>4.308534100901658</v>
      </c>
      <c r="I131" s="9" t="b">
        <v>1</v>
      </c>
      <c r="J131" s="9" t="b">
        <v>0</v>
      </c>
    </row>
    <row r="132" ht="15.75" customHeight="1">
      <c r="A132" s="5">
        <v>13.0</v>
      </c>
      <c r="B132" s="5">
        <v>20151.0</v>
      </c>
      <c r="C132" s="5">
        <v>99.41418833074133</v>
      </c>
      <c r="D132" s="5">
        <v>99.38964886996634</v>
      </c>
      <c r="E132" s="5">
        <v>-0.5858116692586748</v>
      </c>
      <c r="F132" s="5">
        <v>-0.6103511300336635</v>
      </c>
      <c r="G132" s="5">
        <v>-1.3605935921072176</v>
      </c>
      <c r="H132" s="5">
        <v>-0.7502424620735542</v>
      </c>
      <c r="I132" s="9" t="b">
        <v>1</v>
      </c>
      <c r="J132" s="9" t="b">
        <v>0</v>
      </c>
    </row>
    <row r="133" ht="15.75" customHeight="1">
      <c r="A133" s="5">
        <v>14.0</v>
      </c>
      <c r="B133" s="5">
        <v>20151.0</v>
      </c>
      <c r="C133" s="5">
        <v>98.65308575645444</v>
      </c>
      <c r="D133" s="5">
        <v>101.98046186975918</v>
      </c>
      <c r="E133" s="5">
        <v>-1.3469142435455552</v>
      </c>
      <c r="F133" s="5">
        <v>1.980461869759182</v>
      </c>
      <c r="G133" s="5">
        <v>1.562297333078977</v>
      </c>
      <c r="H133" s="5">
        <v>-0.41816453668020515</v>
      </c>
      <c r="I133" s="9" t="b">
        <v>1</v>
      </c>
      <c r="J133" s="9" t="b">
        <v>0</v>
      </c>
    </row>
    <row r="134" ht="15.75" customHeight="1">
      <c r="A134" s="5">
        <v>15.0</v>
      </c>
      <c r="B134" s="5">
        <v>20151.0</v>
      </c>
      <c r="C134" s="5">
        <v>103.87685290763966</v>
      </c>
      <c r="D134" s="5">
        <v>102.13004484304932</v>
      </c>
      <c r="E134" s="5">
        <v>3.876852907639659</v>
      </c>
      <c r="F134" s="5">
        <v>2.130044843049319</v>
      </c>
      <c r="G134" s="5">
        <v>0.9950787028264463</v>
      </c>
      <c r="H134" s="5">
        <v>-1.1349661402228728</v>
      </c>
      <c r="I134" s="9" t="b">
        <v>1</v>
      </c>
      <c r="J134" s="9" t="b">
        <v>0</v>
      </c>
    </row>
    <row r="135" ht="15.75" customHeight="1">
      <c r="A135" s="5">
        <v>16.0</v>
      </c>
      <c r="B135" s="5">
        <v>20151.0</v>
      </c>
      <c r="C135" s="5">
        <v>104.69633413118378</v>
      </c>
      <c r="D135" s="5">
        <v>103.07559775747777</v>
      </c>
      <c r="E135" s="5">
        <v>4.696334131183775</v>
      </c>
      <c r="F135" s="5">
        <v>3.075597757477766</v>
      </c>
      <c r="G135" s="5">
        <v>0.17250625424427568</v>
      </c>
      <c r="H135" s="5">
        <v>-2.9030915032334903</v>
      </c>
      <c r="I135" s="9" t="b">
        <v>1</v>
      </c>
      <c r="J135" s="9" t="b">
        <v>0</v>
      </c>
    </row>
    <row r="136" ht="15.75" customHeight="1">
      <c r="A136" s="5">
        <v>17.0</v>
      </c>
      <c r="B136" s="5">
        <v>20151.0</v>
      </c>
      <c r="C136" s="5">
        <v>101.7057321884428</v>
      </c>
      <c r="D136" s="5">
        <v>96.7439293598234</v>
      </c>
      <c r="E136" s="5">
        <v>1.705732188442795</v>
      </c>
      <c r="F136" s="5">
        <v>-3.2560706401766026</v>
      </c>
      <c r="G136" s="5">
        <v>-2.1403167500763765</v>
      </c>
      <c r="H136" s="5">
        <v>1.1157538901002262</v>
      </c>
      <c r="I136" s="9" t="b">
        <v>1</v>
      </c>
      <c r="J136" s="9" t="b">
        <v>0</v>
      </c>
    </row>
    <row r="137" ht="15.75" customHeight="1">
      <c r="A137" s="5">
        <v>1.0</v>
      </c>
      <c r="B137" s="5">
        <v>20161.0</v>
      </c>
      <c r="C137" s="5">
        <v>100.65005417118094</v>
      </c>
      <c r="D137" s="5">
        <v>100.43243243243242</v>
      </c>
      <c r="E137" s="5">
        <v>0.6500541711809404</v>
      </c>
      <c r="F137" s="5">
        <v>0.4324324324324209</v>
      </c>
      <c r="G137" s="5">
        <v>1.6218628284085268</v>
      </c>
      <c r="H137" s="5">
        <v>1.189430395976106</v>
      </c>
      <c r="I137" s="9" t="b">
        <v>1</v>
      </c>
      <c r="J137" s="9" t="b">
        <v>0</v>
      </c>
    </row>
    <row r="138" ht="15.75" customHeight="1">
      <c r="A138" s="5">
        <v>2.0</v>
      </c>
      <c r="B138" s="5">
        <v>20161.0</v>
      </c>
      <c r="C138" s="5">
        <v>100.52301255230124</v>
      </c>
      <c r="D138" s="5">
        <v>102.01698513800424</v>
      </c>
      <c r="E138" s="5">
        <v>0.523012552301239</v>
      </c>
      <c r="F138" s="5">
        <v>2.0169851380042445</v>
      </c>
      <c r="G138" s="5">
        <v>1.9670561828271982</v>
      </c>
      <c r="H138" s="5">
        <v>-0.04992895517704632</v>
      </c>
      <c r="I138" s="9" t="b">
        <v>1</v>
      </c>
      <c r="J138" s="9" t="b">
        <v>0</v>
      </c>
    </row>
    <row r="139" ht="15.75" customHeight="1">
      <c r="A139" s="5">
        <v>5.0</v>
      </c>
      <c r="B139" s="5">
        <v>20161.0</v>
      </c>
      <c r="C139" s="5">
        <v>102.542039567768</v>
      </c>
      <c r="D139" s="5">
        <v>100.14307093880277</v>
      </c>
      <c r="E139" s="5">
        <v>2.5420395677680006</v>
      </c>
      <c r="F139" s="5">
        <v>0.1430709388027651</v>
      </c>
      <c r="G139" s="5">
        <v>3.2530119220881337</v>
      </c>
      <c r="H139" s="5">
        <v>3.1099409832853686</v>
      </c>
      <c r="I139" s="9" t="b">
        <v>1</v>
      </c>
      <c r="J139" s="9" t="b">
        <v>0</v>
      </c>
    </row>
    <row r="140" ht="15.75" customHeight="1">
      <c r="A140" s="5">
        <v>6.0</v>
      </c>
      <c r="B140" s="5">
        <v>20161.0</v>
      </c>
      <c r="C140" s="5">
        <v>97.14838079157074</v>
      </c>
      <c r="D140" s="5">
        <v>96.19913535614802</v>
      </c>
      <c r="E140" s="5">
        <v>-2.8516192084292555</v>
      </c>
      <c r="F140" s="5">
        <v>-3.8008646438519804</v>
      </c>
      <c r="G140" s="5">
        <v>-2.365535945322017</v>
      </c>
      <c r="H140" s="5">
        <v>1.4353286985299634</v>
      </c>
      <c r="I140" s="9" t="b">
        <v>1</v>
      </c>
      <c r="J140" s="9" t="b">
        <v>0</v>
      </c>
    </row>
    <row r="141" ht="15.75" customHeight="1">
      <c r="A141" s="5">
        <v>7.0</v>
      </c>
      <c r="B141" s="5">
        <v>20161.0</v>
      </c>
      <c r="C141" s="5">
        <v>99.50487223484342</v>
      </c>
      <c r="D141" s="5">
        <v>98.58242716183062</v>
      </c>
      <c r="E141" s="5">
        <v>-0.49512776515658175</v>
      </c>
      <c r="F141" s="5">
        <v>-1.4175728381693773</v>
      </c>
      <c r="G141" s="5">
        <v>0.1399423262071986</v>
      </c>
      <c r="H141" s="5">
        <v>1.557515164376576</v>
      </c>
      <c r="I141" s="9" t="b">
        <v>1</v>
      </c>
      <c r="J141" s="9" t="b">
        <v>1</v>
      </c>
    </row>
    <row r="142" ht="15.75" customHeight="1">
      <c r="A142" s="5">
        <v>8.0</v>
      </c>
      <c r="B142" s="5">
        <v>20161.0</v>
      </c>
      <c r="C142" s="5">
        <v>98.8841550010144</v>
      </c>
      <c r="D142" s="5">
        <v>101.26704278810196</v>
      </c>
      <c r="E142" s="5">
        <v>-1.1158449989855939</v>
      </c>
      <c r="F142" s="5">
        <v>1.2670427881019606</v>
      </c>
      <c r="G142" s="5">
        <v>-1.9754457644935552</v>
      </c>
      <c r="H142" s="5">
        <v>-3.242488552595516</v>
      </c>
      <c r="I142" s="9" t="b">
        <v>1</v>
      </c>
      <c r="J142" s="9" t="b">
        <v>1</v>
      </c>
    </row>
    <row r="143" ht="15.75" customHeight="1">
      <c r="A143" s="5">
        <v>9.0</v>
      </c>
      <c r="B143" s="5">
        <v>20161.0</v>
      </c>
      <c r="C143" s="5">
        <v>100.24760469372376</v>
      </c>
      <c r="D143" s="5">
        <v>101.3606182649396</v>
      </c>
      <c r="E143" s="5">
        <v>0.24760469372375837</v>
      </c>
      <c r="F143" s="5">
        <v>1.3606182649396033</v>
      </c>
      <c r="G143" s="5">
        <v>1.3887623741657196</v>
      </c>
      <c r="H143" s="5">
        <v>0.02814410922611632</v>
      </c>
      <c r="I143" s="9" t="b">
        <v>1</v>
      </c>
      <c r="J143" s="9" t="b">
        <v>0</v>
      </c>
    </row>
    <row r="144" ht="15.75" customHeight="1">
      <c r="A144" s="5">
        <v>10.0</v>
      </c>
      <c r="B144" s="5">
        <v>20161.0</v>
      </c>
      <c r="C144" s="5">
        <v>96.38630327705089</v>
      </c>
      <c r="D144" s="5">
        <v>99.54509652363156</v>
      </c>
      <c r="E144" s="5">
        <v>-3.613696722949115</v>
      </c>
      <c r="F144" s="5">
        <v>-0.4549034763684432</v>
      </c>
      <c r="G144" s="5">
        <v>-0.38382270353549686</v>
      </c>
      <c r="H144" s="5">
        <v>0.07108077283294634</v>
      </c>
      <c r="I144" s="9" t="b">
        <v>1</v>
      </c>
      <c r="J144" s="9" t="b">
        <v>0</v>
      </c>
    </row>
    <row r="145" ht="15.75" customHeight="1">
      <c r="A145" s="5">
        <v>11.0</v>
      </c>
      <c r="B145" s="5">
        <v>20161.0</v>
      </c>
      <c r="C145" s="5">
        <v>100.1496007054308</v>
      </c>
      <c r="D145" s="5">
        <v>101.2655615511237</v>
      </c>
      <c r="E145" s="5">
        <v>0.1496007054307995</v>
      </c>
      <c r="F145" s="5">
        <v>1.265561551123696</v>
      </c>
      <c r="G145" s="5">
        <v>2.049621910170285</v>
      </c>
      <c r="H145" s="5">
        <v>0.7840603590465891</v>
      </c>
      <c r="I145" s="9" t="b">
        <v>1</v>
      </c>
      <c r="J145" s="9" t="b">
        <v>0</v>
      </c>
    </row>
    <row r="146" ht="15.75" customHeight="1">
      <c r="A146" s="5">
        <v>12.0</v>
      </c>
      <c r="B146" s="5">
        <v>20161.0</v>
      </c>
      <c r="C146" s="5">
        <v>99.6554694229113</v>
      </c>
      <c r="D146" s="5">
        <v>100.871839581517</v>
      </c>
      <c r="E146" s="5">
        <v>-0.3445305770887046</v>
      </c>
      <c r="F146" s="5">
        <v>0.8718395815169941</v>
      </c>
      <c r="G146" s="5">
        <v>1.1427823958438221</v>
      </c>
      <c r="H146" s="5">
        <v>0.270942814326828</v>
      </c>
      <c r="I146" s="9" t="b">
        <v>1</v>
      </c>
      <c r="J146" s="9" t="b">
        <v>0</v>
      </c>
    </row>
    <row r="147" ht="15.75" customHeight="1">
      <c r="A147" s="5">
        <v>13.0</v>
      </c>
      <c r="B147" s="5">
        <v>20161.0</v>
      </c>
      <c r="C147" s="5">
        <v>102.11501207144576</v>
      </c>
      <c r="D147" s="5">
        <v>99.26944541828767</v>
      </c>
      <c r="E147" s="5">
        <v>2.1150120714457614</v>
      </c>
      <c r="F147" s="5">
        <v>-0.730554581712326</v>
      </c>
      <c r="G147" s="5">
        <v>3.3139028906916446</v>
      </c>
      <c r="H147" s="5">
        <v>4.044457472403971</v>
      </c>
      <c r="I147" s="9" t="b">
        <v>1</v>
      </c>
      <c r="J147" s="9" t="b">
        <v>1</v>
      </c>
    </row>
    <row r="148" ht="15.75" customHeight="1">
      <c r="A148" s="5">
        <v>14.0</v>
      </c>
      <c r="B148" s="5">
        <v>20161.0</v>
      </c>
      <c r="C148" s="5">
        <v>98.6244268336338</v>
      </c>
      <c r="D148" s="5">
        <v>100.49822703617949</v>
      </c>
      <c r="E148" s="5">
        <v>-1.3755731663661948</v>
      </c>
      <c r="F148" s="5">
        <v>0.49822703617948605</v>
      </c>
      <c r="G148" s="5">
        <v>1.3485757152629452</v>
      </c>
      <c r="H148" s="5">
        <v>0.8503486790834591</v>
      </c>
      <c r="I148" s="9" t="b">
        <v>1</v>
      </c>
      <c r="J148" s="9" t="b">
        <v>0</v>
      </c>
    </row>
    <row r="149" ht="15.75" customHeight="1">
      <c r="A149" s="5">
        <v>15.0</v>
      </c>
      <c r="B149" s="5">
        <v>20161.0</v>
      </c>
      <c r="C149" s="5">
        <v>96.4818763326226</v>
      </c>
      <c r="D149" s="5">
        <v>99.34138309549944</v>
      </c>
      <c r="E149" s="5">
        <v>-3.5181236673773952</v>
      </c>
      <c r="F149" s="5">
        <v>-0.6586169045005619</v>
      </c>
      <c r="G149" s="5">
        <v>1.7398400160491212</v>
      </c>
      <c r="H149" s="5">
        <v>2.398456920549683</v>
      </c>
      <c r="I149" s="9" t="b">
        <v>1</v>
      </c>
      <c r="J149" s="9" t="b">
        <v>1</v>
      </c>
    </row>
    <row r="150" ht="15.75" customHeight="1">
      <c r="A150" s="5">
        <v>16.0</v>
      </c>
      <c r="B150" s="5">
        <v>20161.0</v>
      </c>
      <c r="C150" s="5">
        <v>95.51102537691266</v>
      </c>
      <c r="D150" s="5">
        <v>99.91202939457436</v>
      </c>
      <c r="E150" s="5">
        <v>-4.488974623087344</v>
      </c>
      <c r="F150" s="5">
        <v>-0.08797060542563884</v>
      </c>
      <c r="G150" s="5">
        <v>-0.14339152153016732</v>
      </c>
      <c r="H150" s="5">
        <v>-0.055420916104528484</v>
      </c>
      <c r="I150" s="9" t="b">
        <v>1</v>
      </c>
      <c r="J150" s="9" t="b">
        <v>0</v>
      </c>
    </row>
    <row r="151" ht="15.75" customHeight="1">
      <c r="A151" s="5">
        <v>17.0</v>
      </c>
      <c r="B151" s="5">
        <v>20161.0</v>
      </c>
      <c r="C151" s="5">
        <v>100.83850218240296</v>
      </c>
      <c r="D151" s="5">
        <v>100.15972618368512</v>
      </c>
      <c r="E151" s="5">
        <v>0.8385021824029621</v>
      </c>
      <c r="F151" s="5">
        <v>0.15972618368512315</v>
      </c>
      <c r="G151" s="5">
        <v>-4.1995105684775265</v>
      </c>
      <c r="H151" s="5">
        <v>-4.35923675216265</v>
      </c>
      <c r="I151" s="9" t="b">
        <v>1</v>
      </c>
      <c r="J151" s="9" t="b">
        <v>1</v>
      </c>
    </row>
    <row r="152" ht="15.75" customHeight="1">
      <c r="A152" s="5">
        <v>1.0</v>
      </c>
      <c r="B152" s="5">
        <v>20171.0</v>
      </c>
      <c r="C152" s="5">
        <v>97.16859743570036</v>
      </c>
      <c r="D152" s="5">
        <v>103.23509759853202</v>
      </c>
      <c r="E152" s="5">
        <v>-2.831402564299637</v>
      </c>
      <c r="F152" s="5">
        <v>3.235097598532022</v>
      </c>
      <c r="G152" s="5">
        <v>1.7269890890518003</v>
      </c>
      <c r="H152" s="5">
        <v>-1.5081085094802216</v>
      </c>
      <c r="I152" s="9" t="b">
        <v>1</v>
      </c>
      <c r="J152" s="9" t="b">
        <v>0</v>
      </c>
    </row>
    <row r="153" ht="15.75" customHeight="1">
      <c r="A153" s="5">
        <v>2.0</v>
      </c>
      <c r="B153" s="5">
        <v>20171.0</v>
      </c>
      <c r="C153" s="5">
        <v>101.10552763819094</v>
      </c>
      <c r="D153" s="5">
        <v>104.68262226847034</v>
      </c>
      <c r="E153" s="5">
        <v>1.1055276381909351</v>
      </c>
      <c r="F153" s="5">
        <v>4.68262226847034</v>
      </c>
      <c r="G153" s="5">
        <v>5.471405290783871</v>
      </c>
      <c r="H153" s="5">
        <v>0.788783022313531</v>
      </c>
      <c r="I153" s="9" t="b">
        <v>1</v>
      </c>
      <c r="J153" s="9" t="b">
        <v>0</v>
      </c>
    </row>
    <row r="154" ht="15.75" customHeight="1">
      <c r="A154" s="5">
        <v>5.0</v>
      </c>
      <c r="B154" s="5">
        <v>20171.0</v>
      </c>
      <c r="C154" s="5">
        <v>100.44798195944423</v>
      </c>
      <c r="D154" s="5">
        <v>99.70772369980024</v>
      </c>
      <c r="E154" s="5">
        <v>0.4479819594442347</v>
      </c>
      <c r="F154" s="5">
        <v>-0.2922763001997595</v>
      </c>
      <c r="G154" s="5">
        <v>-0.7655485417767505</v>
      </c>
      <c r="H154" s="5">
        <v>-0.473272241576991</v>
      </c>
      <c r="I154" s="9" t="b">
        <v>1</v>
      </c>
      <c r="J154" s="9" t="b">
        <v>0</v>
      </c>
    </row>
    <row r="155" ht="15.75" customHeight="1">
      <c r="A155" s="5">
        <v>6.0</v>
      </c>
      <c r="B155" s="5">
        <v>20171.0</v>
      </c>
      <c r="C155" s="5">
        <v>100.59816914098027</v>
      </c>
      <c r="D155" s="5">
        <v>97.45814314307556</v>
      </c>
      <c r="E155" s="5">
        <v>0.598169140980275</v>
      </c>
      <c r="F155" s="5">
        <v>-2.54185685692444</v>
      </c>
      <c r="G155" s="5">
        <v>-2.5921971457702475</v>
      </c>
      <c r="H155" s="5">
        <v>-0.050340288845807546</v>
      </c>
      <c r="I155" s="9" t="b">
        <v>1</v>
      </c>
      <c r="J155" s="9" t="b">
        <v>0</v>
      </c>
    </row>
    <row r="156" ht="15.75" customHeight="1">
      <c r="A156" s="5">
        <v>7.0</v>
      </c>
      <c r="B156" s="5">
        <v>20171.0</v>
      </c>
      <c r="C156" s="5">
        <v>103.1078638629724</v>
      </c>
      <c r="D156" s="5">
        <v>111.55986749228212</v>
      </c>
      <c r="E156" s="5">
        <v>3.107863862972394</v>
      </c>
      <c r="F156" s="5">
        <v>11.559867492282123</v>
      </c>
      <c r="G156" s="5">
        <v>4.896919933513422</v>
      </c>
      <c r="H156" s="5">
        <v>-6.6629475587687015</v>
      </c>
      <c r="I156" s="9" t="b">
        <v>1</v>
      </c>
      <c r="J156" s="9" t="b">
        <v>0</v>
      </c>
    </row>
    <row r="157" ht="15.75" customHeight="1">
      <c r="A157" s="5">
        <v>8.0</v>
      </c>
      <c r="B157" s="5">
        <v>20171.0</v>
      </c>
      <c r="C157" s="5">
        <v>98.41535433070868</v>
      </c>
      <c r="D157" s="5">
        <v>102.57488715633976</v>
      </c>
      <c r="E157" s="5">
        <v>-1.5846456692913193</v>
      </c>
      <c r="F157" s="5">
        <v>2.5748871563397557</v>
      </c>
      <c r="G157" s="5">
        <v>6.203814238534933</v>
      </c>
      <c r="H157" s="5">
        <v>3.628927082195177</v>
      </c>
      <c r="I157" s="9" t="b">
        <v>1</v>
      </c>
      <c r="J157" s="9" t="b">
        <v>0</v>
      </c>
    </row>
    <row r="158" ht="15.75" customHeight="1">
      <c r="A158" s="5">
        <v>9.0</v>
      </c>
      <c r="B158" s="5">
        <v>20171.0</v>
      </c>
      <c r="C158" s="5">
        <v>99.50922863544224</v>
      </c>
      <c r="D158" s="5">
        <v>100.1610824742268</v>
      </c>
      <c r="E158" s="5">
        <v>-0.4907713645577587</v>
      </c>
      <c r="F158" s="5">
        <v>0.16108247422680222</v>
      </c>
      <c r="G158" s="5">
        <v>0.21052375980379345</v>
      </c>
      <c r="H158" s="5">
        <v>0.049441285576991234</v>
      </c>
      <c r="I158" s="9" t="b">
        <v>1</v>
      </c>
      <c r="J158" s="9" t="b">
        <v>0</v>
      </c>
    </row>
    <row r="159" ht="15.75" customHeight="1">
      <c r="A159" s="5">
        <v>10.0</v>
      </c>
      <c r="B159" s="5">
        <v>20171.0</v>
      </c>
      <c r="C159" s="5">
        <v>100.88435384970332</v>
      </c>
      <c r="D159" s="5">
        <v>108.84307634278284</v>
      </c>
      <c r="E159" s="5">
        <v>0.8843538497033165</v>
      </c>
      <c r="F159" s="5">
        <v>8.843076342782837</v>
      </c>
      <c r="G159" s="5">
        <v>5.406207722581824</v>
      </c>
      <c r="H159" s="5">
        <v>-3.436868620201013</v>
      </c>
      <c r="I159" s="9" t="b">
        <v>1</v>
      </c>
      <c r="J159" s="9" t="b">
        <v>0</v>
      </c>
    </row>
    <row r="160" ht="15.75" customHeight="1">
      <c r="A160" s="5">
        <v>11.0</v>
      </c>
      <c r="B160" s="5">
        <v>20171.0</v>
      </c>
      <c r="C160" s="5">
        <v>98.40296824505504</v>
      </c>
      <c r="D160" s="5">
        <v>102.09821739710524</v>
      </c>
      <c r="E160" s="5">
        <v>-1.5970317549449646</v>
      </c>
      <c r="F160" s="5">
        <v>2.0982173971052447</v>
      </c>
      <c r="G160" s="5">
        <v>1.8929275579273819</v>
      </c>
      <c r="H160" s="5">
        <v>-0.2052898391778628</v>
      </c>
      <c r="I160" s="9" t="b">
        <v>1</v>
      </c>
      <c r="J160" s="9" t="b">
        <v>0</v>
      </c>
    </row>
    <row r="161" ht="15.75" customHeight="1">
      <c r="A161" s="5">
        <v>12.0</v>
      </c>
      <c r="B161" s="5">
        <v>20171.0</v>
      </c>
      <c r="C161" s="5">
        <v>100.4288164665523</v>
      </c>
      <c r="D161" s="5">
        <v>101.21002592912704</v>
      </c>
      <c r="E161" s="5">
        <v>0.42881646655230554</v>
      </c>
      <c r="F161" s="5">
        <v>1.2100259291270419</v>
      </c>
      <c r="G161" s="5">
        <v>3.6697427060505383</v>
      </c>
      <c r="H161" s="5">
        <v>2.4597167769234964</v>
      </c>
      <c r="I161" s="9" t="b">
        <v>1</v>
      </c>
      <c r="J161" s="9" t="b">
        <v>0</v>
      </c>
    </row>
    <row r="162" ht="15.75" customHeight="1">
      <c r="A162" s="5">
        <v>13.0</v>
      </c>
      <c r="B162" s="5">
        <v>20171.0</v>
      </c>
      <c r="C162" s="5">
        <v>101.07115870123717</v>
      </c>
      <c r="D162" s="5">
        <v>107.7205407249461</v>
      </c>
      <c r="E162" s="5">
        <v>1.0711587012371666</v>
      </c>
      <c r="F162" s="5">
        <v>7.720540724946105</v>
      </c>
      <c r="G162" s="5">
        <v>3.1398283125957827</v>
      </c>
      <c r="H162" s="5">
        <v>-4.580712412350322</v>
      </c>
      <c r="I162" s="9" t="b">
        <v>1</v>
      </c>
      <c r="J162" s="9" t="b">
        <v>0</v>
      </c>
    </row>
    <row r="163" ht="15.75" customHeight="1">
      <c r="A163" s="5">
        <v>14.0</v>
      </c>
      <c r="B163" s="5">
        <v>20171.0</v>
      </c>
      <c r="C163" s="5">
        <v>102.88638470008756</v>
      </c>
      <c r="D163" s="5">
        <v>105.39332535917887</v>
      </c>
      <c r="E163" s="5">
        <v>2.886384700087561</v>
      </c>
      <c r="F163" s="5">
        <v>5.393325359178874</v>
      </c>
      <c r="G163" s="5">
        <v>4.172426286799391</v>
      </c>
      <c r="H163" s="5">
        <v>-1.220899072379483</v>
      </c>
      <c r="I163" s="9" t="b">
        <v>1</v>
      </c>
      <c r="J163" s="9" t="b">
        <v>0</v>
      </c>
    </row>
    <row r="164" ht="15.75" customHeight="1">
      <c r="A164" s="5">
        <v>15.0</v>
      </c>
      <c r="B164" s="5">
        <v>20171.0</v>
      </c>
      <c r="C164" s="5">
        <v>98.88324873096448</v>
      </c>
      <c r="D164" s="5">
        <v>107.6243093922652</v>
      </c>
      <c r="E164" s="5">
        <v>-1.1167512690355181</v>
      </c>
      <c r="F164" s="5">
        <v>7.624309392265204</v>
      </c>
      <c r="G164" s="5">
        <v>2.9560639813649647</v>
      </c>
      <c r="H164" s="5">
        <v>-4.668245410900239</v>
      </c>
      <c r="I164" s="9" t="b">
        <v>1</v>
      </c>
      <c r="J164" s="9" t="b">
        <v>0</v>
      </c>
    </row>
    <row r="165" ht="15.75" customHeight="1">
      <c r="A165" s="5">
        <v>16.0</v>
      </c>
      <c r="B165" s="5">
        <v>20171.0</v>
      </c>
      <c r="C165" s="5">
        <v>100.73933662519904</v>
      </c>
      <c r="D165" s="5">
        <v>105.51495322442412</v>
      </c>
      <c r="E165" s="5">
        <v>0.7393366251990443</v>
      </c>
      <c r="F165" s="5">
        <v>5.514953224424119</v>
      </c>
      <c r="G165" s="5">
        <v>3.2171782551233763</v>
      </c>
      <c r="H165" s="5">
        <v>-2.2977749693007423</v>
      </c>
      <c r="I165" s="9" t="b">
        <v>1</v>
      </c>
      <c r="J165" s="9" t="b">
        <v>0</v>
      </c>
    </row>
    <row r="166" ht="15.75" customHeight="1">
      <c r="A166" s="5">
        <v>17.0</v>
      </c>
      <c r="B166" s="5">
        <v>20171.0</v>
      </c>
      <c r="C166" s="5">
        <v>102.12014134275616</v>
      </c>
      <c r="D166" s="5">
        <v>102.05034741997947</v>
      </c>
      <c r="E166" s="5">
        <v>2.120141342756156</v>
      </c>
      <c r="F166" s="5">
        <v>2.050347419979474</v>
      </c>
      <c r="G166" s="5">
        <v>6.180289812734441</v>
      </c>
      <c r="H166" s="5">
        <v>4.129942392754967</v>
      </c>
      <c r="I166" s="9" t="b">
        <v>1</v>
      </c>
      <c r="J166" s="9" t="b">
        <v>0</v>
      </c>
    </row>
    <row r="167" ht="15.75" customHeight="1">
      <c r="A167" s="5">
        <v>1.0</v>
      </c>
      <c r="B167" s="5">
        <v>20181.0</v>
      </c>
      <c r="C167" s="5">
        <v>100.45078164641164</v>
      </c>
      <c r="D167" s="5">
        <v>104.25194196014472</v>
      </c>
      <c r="E167" s="5">
        <v>0.45078164641164165</v>
      </c>
      <c r="F167" s="5">
        <v>4.25194196014472</v>
      </c>
      <c r="G167" s="5">
        <v>6.834825904336683</v>
      </c>
      <c r="H167" s="5">
        <v>2.5828839441919635</v>
      </c>
      <c r="I167" s="9" t="b">
        <v>1</v>
      </c>
      <c r="J167" s="9" t="b">
        <v>0</v>
      </c>
    </row>
    <row r="168" ht="15.75" customHeight="1">
      <c r="A168" s="5">
        <v>2.0</v>
      </c>
      <c r="B168" s="5">
        <v>20181.0</v>
      </c>
      <c r="C168" s="5">
        <v>101.33079847908743</v>
      </c>
      <c r="D168" s="5">
        <v>105.96421471172962</v>
      </c>
      <c r="E168" s="5">
        <v>1.3307984790874343</v>
      </c>
      <c r="F168" s="5">
        <v>5.964214711729625</v>
      </c>
      <c r="G168" s="5">
        <v>8.429612972620237</v>
      </c>
      <c r="H168" s="5">
        <v>2.4653982608906126</v>
      </c>
      <c r="I168" s="9" t="b">
        <v>1</v>
      </c>
      <c r="J168" s="9" t="b">
        <v>0</v>
      </c>
    </row>
    <row r="169" ht="15.75" customHeight="1">
      <c r="A169" s="5">
        <v>5.0</v>
      </c>
      <c r="B169" s="5">
        <v>20181.0</v>
      </c>
      <c r="C169" s="5">
        <v>104.78668210996244</v>
      </c>
      <c r="D169" s="5">
        <v>111.5270085040812</v>
      </c>
      <c r="E169" s="5">
        <v>4.786682109962442</v>
      </c>
      <c r="F169" s="5">
        <v>11.527008504081195</v>
      </c>
      <c r="G169" s="5">
        <v>12.510914827175345</v>
      </c>
      <c r="H169" s="5">
        <v>0.9839063230941498</v>
      </c>
      <c r="I169" s="9" t="b">
        <v>1</v>
      </c>
      <c r="J169" s="9" t="b">
        <v>0</v>
      </c>
    </row>
    <row r="170" ht="15.75" customHeight="1">
      <c r="A170" s="5">
        <v>6.0</v>
      </c>
      <c r="B170" s="5">
        <v>20181.0</v>
      </c>
      <c r="C170" s="5">
        <v>100.45476816524489</v>
      </c>
      <c r="D170" s="5">
        <v>103.51644523166068</v>
      </c>
      <c r="E170" s="5">
        <v>0.45476816524488584</v>
      </c>
      <c r="F170" s="5">
        <v>3.5164452316606827</v>
      </c>
      <c r="G170" s="5">
        <v>8.08821119093266</v>
      </c>
      <c r="H170" s="5">
        <v>4.571765959271977</v>
      </c>
      <c r="I170" s="9" t="b">
        <v>1</v>
      </c>
      <c r="J170" s="9" t="b">
        <v>0</v>
      </c>
    </row>
    <row r="171" ht="15.75" customHeight="1">
      <c r="A171" s="5">
        <v>7.0</v>
      </c>
      <c r="B171" s="5">
        <v>20181.0</v>
      </c>
      <c r="C171" s="5">
        <v>98.41271738042173</v>
      </c>
      <c r="D171" s="5">
        <v>98.18334708098271</v>
      </c>
      <c r="E171" s="5">
        <v>-1.587282619578275</v>
      </c>
      <c r="F171" s="5">
        <v>-1.8166529190172866</v>
      </c>
      <c r="G171" s="5">
        <v>5.551186128671759</v>
      </c>
      <c r="H171" s="5">
        <v>7.367839047689046</v>
      </c>
      <c r="I171" s="9" t="b">
        <v>1</v>
      </c>
      <c r="J171" s="9" t="b">
        <v>1</v>
      </c>
    </row>
    <row r="172" ht="15.75" customHeight="1">
      <c r="A172" s="5">
        <v>8.0</v>
      </c>
      <c r="B172" s="5">
        <v>20181.0</v>
      </c>
      <c r="C172" s="5">
        <v>99.69022265246852</v>
      </c>
      <c r="D172" s="5">
        <v>102.990299029903</v>
      </c>
      <c r="E172" s="5">
        <v>-0.30977734753147956</v>
      </c>
      <c r="F172" s="5">
        <v>2.9902990299029995</v>
      </c>
      <c r="G172" s="5">
        <v>2.1693388258305246</v>
      </c>
      <c r="H172" s="5">
        <v>-0.8209602040724748</v>
      </c>
      <c r="I172" s="9" t="b">
        <v>1</v>
      </c>
      <c r="J172" s="9" t="b">
        <v>0</v>
      </c>
    </row>
    <row r="173" ht="15.75" customHeight="1">
      <c r="A173" s="5">
        <v>9.0</v>
      </c>
      <c r="B173" s="5">
        <v>20181.0</v>
      </c>
      <c r="C173" s="5">
        <v>102.90478187919464</v>
      </c>
      <c r="D173" s="5">
        <v>105.21067867481506</v>
      </c>
      <c r="E173" s="5">
        <v>2.904781879194644</v>
      </c>
      <c r="F173" s="5">
        <v>5.210678674815057</v>
      </c>
      <c r="G173" s="5">
        <v>2.9418677625473455</v>
      </c>
      <c r="H173" s="5">
        <v>-2.2688109122677114</v>
      </c>
      <c r="I173" s="9" t="b">
        <v>1</v>
      </c>
      <c r="J173" s="9" t="b">
        <v>0</v>
      </c>
    </row>
    <row r="174" ht="15.75" customHeight="1">
      <c r="A174" s="5">
        <v>10.0</v>
      </c>
      <c r="B174" s="5">
        <v>20181.0</v>
      </c>
      <c r="C174" s="5">
        <v>97.4014818532104</v>
      </c>
      <c r="D174" s="5">
        <v>98.43088967382782</v>
      </c>
      <c r="E174" s="5">
        <v>-2.5985181467896012</v>
      </c>
      <c r="F174" s="5">
        <v>-1.5691103261721793</v>
      </c>
      <c r="G174" s="5">
        <v>7.0253816080499965</v>
      </c>
      <c r="H174" s="5">
        <v>8.594491934222177</v>
      </c>
      <c r="I174" s="9" t="b">
        <v>1</v>
      </c>
      <c r="J174" s="9" t="b">
        <v>1</v>
      </c>
    </row>
    <row r="175" ht="15.75" customHeight="1">
      <c r="A175" s="5">
        <v>11.0</v>
      </c>
      <c r="B175" s="5">
        <v>20181.0</v>
      </c>
      <c r="C175" s="5">
        <v>101.6925637672265</v>
      </c>
      <c r="D175" s="5">
        <v>104.59546433730766</v>
      </c>
      <c r="E175" s="5">
        <v>1.6925637672265026</v>
      </c>
      <c r="F175" s="5">
        <v>4.595464337307661</v>
      </c>
      <c r="G175" s="5">
        <v>8.110748023256708</v>
      </c>
      <c r="H175" s="5">
        <v>3.515283685949047</v>
      </c>
      <c r="I175" s="9" t="b">
        <v>1</v>
      </c>
      <c r="J175" s="9" t="b">
        <v>0</v>
      </c>
    </row>
    <row r="176" ht="15.75" customHeight="1">
      <c r="A176" s="5">
        <v>12.0</v>
      </c>
      <c r="B176" s="5">
        <v>20181.0</v>
      </c>
      <c r="C176" s="5">
        <v>107.28987993138936</v>
      </c>
      <c r="D176" s="5">
        <v>106.83176771989751</v>
      </c>
      <c r="E176" s="5">
        <v>7.289879931389365</v>
      </c>
      <c r="F176" s="5">
        <v>6.831767719897513</v>
      </c>
      <c r="G176" s="5">
        <v>3.73156067890259</v>
      </c>
      <c r="H176" s="5">
        <v>-3.100207040994923</v>
      </c>
      <c r="I176" s="9" t="b">
        <v>1</v>
      </c>
      <c r="J176" s="9" t="b">
        <v>0</v>
      </c>
    </row>
    <row r="177" ht="15.75" customHeight="1">
      <c r="A177" s="5">
        <v>13.0</v>
      </c>
      <c r="B177" s="5">
        <v>20181.0</v>
      </c>
      <c r="C177" s="5">
        <v>100.26120000046404</v>
      </c>
      <c r="D177" s="5">
        <v>107.32775599730036</v>
      </c>
      <c r="E177" s="5">
        <v>0.26120000046404357</v>
      </c>
      <c r="F177" s="5">
        <v>7.327755997300358</v>
      </c>
      <c r="G177" s="5">
        <v>9.368386715914156</v>
      </c>
      <c r="H177" s="5">
        <v>2.040630718613798</v>
      </c>
      <c r="I177" s="9" t="b">
        <v>1</v>
      </c>
      <c r="J177" s="9" t="b">
        <v>0</v>
      </c>
    </row>
    <row r="178" ht="15.75" customHeight="1">
      <c r="A178" s="5">
        <v>14.0</v>
      </c>
      <c r="B178" s="5">
        <v>20181.0</v>
      </c>
      <c r="C178" s="5">
        <v>101.19381296547591</v>
      </c>
      <c r="D178" s="5">
        <v>104.0961285407058</v>
      </c>
      <c r="E178" s="5">
        <v>1.1938129654759138</v>
      </c>
      <c r="F178" s="5">
        <v>4.096128540705806</v>
      </c>
      <c r="G178" s="5">
        <v>5.200772696015421</v>
      </c>
      <c r="H178" s="5">
        <v>1.1046441553096153</v>
      </c>
      <c r="I178" s="9" t="b">
        <v>1</v>
      </c>
      <c r="J178" s="9" t="b">
        <v>0</v>
      </c>
    </row>
    <row r="179" ht="15.75" customHeight="1">
      <c r="A179" s="5">
        <v>15.0</v>
      </c>
      <c r="B179" s="5">
        <v>20181.0</v>
      </c>
      <c r="C179" s="5">
        <v>101.93423597678915</v>
      </c>
      <c r="D179" s="5">
        <v>108.2135523613963</v>
      </c>
      <c r="E179" s="5">
        <v>1.9342359767891537</v>
      </c>
      <c r="F179" s="5">
        <v>8.213552361396296</v>
      </c>
      <c r="G179" s="5">
        <v>8.574739940626275</v>
      </c>
      <c r="H179" s="5">
        <v>0.3611875792299788</v>
      </c>
      <c r="I179" s="9" t="b">
        <v>1</v>
      </c>
      <c r="J179" s="9" t="b">
        <v>0</v>
      </c>
    </row>
    <row r="180" ht="15.75" customHeight="1">
      <c r="A180" s="5">
        <v>16.0</v>
      </c>
      <c r="B180" s="5">
        <v>20181.0</v>
      </c>
      <c r="C180" s="5">
        <v>106.28101423448784</v>
      </c>
      <c r="D180" s="5">
        <v>110.33929947702748</v>
      </c>
      <c r="E180" s="5">
        <v>6.2810142344878415</v>
      </c>
      <c r="F180" s="5">
        <v>10.339299477027481</v>
      </c>
      <c r="G180" s="5">
        <v>10.307689514977202</v>
      </c>
      <c r="H180" s="5">
        <v>-0.031609962050278995</v>
      </c>
      <c r="I180" s="9" t="b">
        <v>1</v>
      </c>
      <c r="J180" s="9" t="b">
        <v>0</v>
      </c>
    </row>
    <row r="181" ht="15.75" customHeight="1">
      <c r="A181" s="5">
        <v>17.0</v>
      </c>
      <c r="B181" s="5">
        <v>20181.0</v>
      </c>
      <c r="C181" s="5">
        <v>102.7600411946447</v>
      </c>
      <c r="D181" s="5">
        <v>111.37403728094652</v>
      </c>
      <c r="E181" s="5">
        <v>2.7600411946446997</v>
      </c>
      <c r="F181" s="5">
        <v>11.374037280946524</v>
      </c>
      <c r="G181" s="5">
        <v>15.29658840895154</v>
      </c>
      <c r="H181" s="5">
        <v>3.922551128005015</v>
      </c>
      <c r="I181" s="9" t="b">
        <v>1</v>
      </c>
      <c r="J181" s="9" t="b">
        <v>0</v>
      </c>
    </row>
    <row r="182" ht="15.75" customHeight="1">
      <c r="A182" s="5">
        <v>1.0</v>
      </c>
      <c r="B182" s="5">
        <v>20191.0</v>
      </c>
      <c r="C182" s="5">
        <v>104.196462156134</v>
      </c>
      <c r="D182" s="5">
        <v>114.11424264467396</v>
      </c>
      <c r="E182" s="5">
        <v>4.196462156134004</v>
      </c>
      <c r="F182" s="5">
        <v>14.114242644673965</v>
      </c>
      <c r="G182" s="5">
        <v>14.429832027292356</v>
      </c>
      <c r="H182" s="5">
        <v>0.3155893826183913</v>
      </c>
      <c r="I182" s="9" t="b">
        <v>1</v>
      </c>
      <c r="J182" s="9" t="b">
        <v>0</v>
      </c>
    </row>
    <row r="183" ht="15.75" customHeight="1">
      <c r="A183" s="5">
        <v>2.0</v>
      </c>
      <c r="B183" s="5">
        <v>20191.0</v>
      </c>
      <c r="C183" s="5">
        <v>105.8362369337979</v>
      </c>
      <c r="D183" s="5">
        <v>113.97748592870543</v>
      </c>
      <c r="E183" s="5">
        <v>5.836236933797906</v>
      </c>
      <c r="F183" s="5">
        <v>13.977485928705434</v>
      </c>
      <c r="G183" s="5">
        <v>14.566844593117168</v>
      </c>
      <c r="H183" s="5">
        <v>0.5893586644117335</v>
      </c>
      <c r="I183" s="9" t="b">
        <v>1</v>
      </c>
      <c r="J183" s="9" t="b">
        <v>0</v>
      </c>
    </row>
    <row r="184" ht="15.75" customHeight="1">
      <c r="A184" s="5">
        <v>5.0</v>
      </c>
      <c r="B184" s="5">
        <v>20191.0</v>
      </c>
      <c r="C184" s="5">
        <v>105.58352862862274</v>
      </c>
      <c r="D184" s="5">
        <v>111.54372447525232</v>
      </c>
      <c r="E184" s="5">
        <v>5.583528628622744</v>
      </c>
      <c r="F184" s="5">
        <v>11.543724475252318</v>
      </c>
      <c r="G184" s="5">
        <v>12.756877110763277</v>
      </c>
      <c r="H184" s="5">
        <v>1.2131526355109585</v>
      </c>
      <c r="I184" s="9" t="b">
        <v>1</v>
      </c>
      <c r="J184" s="9" t="b">
        <v>0</v>
      </c>
    </row>
    <row r="185" ht="15.75" customHeight="1">
      <c r="A185" s="5">
        <v>6.0</v>
      </c>
      <c r="B185" s="5">
        <v>20191.0</v>
      </c>
      <c r="C185" s="5">
        <v>102.24988946211056</v>
      </c>
      <c r="D185" s="5">
        <v>105.70603542379212</v>
      </c>
      <c r="E185" s="5">
        <v>2.249889462110559</v>
      </c>
      <c r="F185" s="5">
        <v>5.706035423792116</v>
      </c>
      <c r="G185" s="5">
        <v>6.409942629459087</v>
      </c>
      <c r="H185" s="5">
        <v>0.7039072056669706</v>
      </c>
      <c r="I185" s="9" t="b">
        <v>1</v>
      </c>
      <c r="J185" s="9" t="b">
        <v>0</v>
      </c>
    </row>
    <row r="186" ht="15.75" customHeight="1">
      <c r="A186" s="5">
        <v>7.0</v>
      </c>
      <c r="B186" s="5">
        <v>20191.0</v>
      </c>
      <c r="C186" s="5">
        <v>100.70921801304658</v>
      </c>
      <c r="D186" s="5">
        <v>112.114270997759</v>
      </c>
      <c r="E186" s="5">
        <v>0.7092180130465806</v>
      </c>
      <c r="F186" s="5">
        <v>12.114270997758993</v>
      </c>
      <c r="G186" s="5">
        <v>11.3941203819512</v>
      </c>
      <c r="H186" s="5">
        <v>-0.7201506158077926</v>
      </c>
      <c r="I186" s="9" t="b">
        <v>1</v>
      </c>
      <c r="J186" s="9" t="b">
        <v>0</v>
      </c>
    </row>
    <row r="187" ht="15.75" customHeight="1">
      <c r="A187" s="5">
        <v>8.0</v>
      </c>
      <c r="B187" s="5">
        <v>20191.0</v>
      </c>
      <c r="C187" s="5">
        <v>103.37749580145548</v>
      </c>
      <c r="D187" s="5">
        <v>107.59370751602252</v>
      </c>
      <c r="E187" s="5">
        <v>3.3774958014554812</v>
      </c>
      <c r="F187" s="5">
        <v>7.593707516022519</v>
      </c>
      <c r="G187" s="5">
        <v>9.732104009116348</v>
      </c>
      <c r="H187" s="5">
        <v>2.138396493093829</v>
      </c>
      <c r="I187" s="9" t="b">
        <v>1</v>
      </c>
      <c r="J187" s="9" t="b">
        <v>0</v>
      </c>
    </row>
    <row r="188" ht="15.75" customHeight="1">
      <c r="A188" s="5">
        <v>9.0</v>
      </c>
      <c r="B188" s="5">
        <v>20191.0</v>
      </c>
      <c r="C188" s="5">
        <v>101.13041080783016</v>
      </c>
      <c r="D188" s="5">
        <v>112.13696117395293</v>
      </c>
      <c r="E188" s="5">
        <v>1.1304108078301596</v>
      </c>
      <c r="F188" s="5">
        <v>12.136961173952926</v>
      </c>
      <c r="G188" s="5">
        <v>14.241899265131664</v>
      </c>
      <c r="H188" s="5">
        <v>2.104938091178738</v>
      </c>
      <c r="I188" s="9" t="b">
        <v>1</v>
      </c>
      <c r="J188" s="9" t="b">
        <v>0</v>
      </c>
    </row>
    <row r="189" ht="15.75" customHeight="1">
      <c r="A189" s="5">
        <v>10.0</v>
      </c>
      <c r="B189" s="5">
        <v>20191.0</v>
      </c>
      <c r="C189" s="5">
        <v>98.5076353196592</v>
      </c>
      <c r="D189" s="5">
        <v>109.40276928329196</v>
      </c>
      <c r="E189" s="5">
        <v>-1.492364680340799</v>
      </c>
      <c r="F189" s="5">
        <v>9.40276928329196</v>
      </c>
      <c r="G189" s="5">
        <v>10.972462268621896</v>
      </c>
      <c r="H189" s="5">
        <v>1.5696929853299366</v>
      </c>
      <c r="I189" s="9" t="b">
        <v>1</v>
      </c>
      <c r="J189" s="9" t="b">
        <v>0</v>
      </c>
    </row>
    <row r="190" ht="15.75" customHeight="1">
      <c r="A190" s="5">
        <v>11.0</v>
      </c>
      <c r="B190" s="5">
        <v>20191.0</v>
      </c>
      <c r="C190" s="5">
        <v>100.56569048439836</v>
      </c>
      <c r="D190" s="5">
        <v>108.40741993467778</v>
      </c>
      <c r="E190" s="5">
        <v>0.5656904843983597</v>
      </c>
      <c r="F190" s="5">
        <v>8.407419934677776</v>
      </c>
      <c r="G190" s="5">
        <v>9.096607686243008</v>
      </c>
      <c r="H190" s="5">
        <v>0.6891877515652318</v>
      </c>
      <c r="I190" s="9" t="b">
        <v>1</v>
      </c>
      <c r="J190" s="9" t="b">
        <v>0</v>
      </c>
    </row>
    <row r="191" ht="15.75" customHeight="1">
      <c r="A191" s="5">
        <v>12.0</v>
      </c>
      <c r="B191" s="5">
        <v>20191.0</v>
      </c>
      <c r="C191" s="5">
        <v>102.55417956656348</v>
      </c>
      <c r="D191" s="5">
        <v>105.91526778577138</v>
      </c>
      <c r="E191" s="5">
        <v>2.5541795665634766</v>
      </c>
      <c r="F191" s="5">
        <v>5.915267785771377</v>
      </c>
      <c r="G191" s="5">
        <v>7.957437375253185</v>
      </c>
      <c r="H191" s="5">
        <v>2.0421695894818077</v>
      </c>
      <c r="I191" s="9" t="b">
        <v>1</v>
      </c>
      <c r="J191" s="9" t="b">
        <v>0</v>
      </c>
    </row>
    <row r="192" ht="15.75" customHeight="1">
      <c r="A192" s="5">
        <v>13.0</v>
      </c>
      <c r="B192" s="5">
        <v>20191.0</v>
      </c>
      <c r="C192" s="5">
        <v>99.19167709501475</v>
      </c>
      <c r="D192" s="5">
        <v>112.19115899865582</v>
      </c>
      <c r="E192" s="5">
        <v>-0.8083229049852463</v>
      </c>
      <c r="F192" s="5">
        <v>12.191158998655823</v>
      </c>
      <c r="G192" s="5">
        <v>16.023200283866256</v>
      </c>
      <c r="H192" s="5">
        <v>3.8320412852104333</v>
      </c>
      <c r="I192" s="9" t="b">
        <v>1</v>
      </c>
      <c r="J192" s="9" t="b">
        <v>0</v>
      </c>
    </row>
    <row r="193" ht="15.75" customHeight="1">
      <c r="A193" s="5">
        <v>14.0</v>
      </c>
      <c r="B193" s="5">
        <v>20191.0</v>
      </c>
      <c r="C193" s="5">
        <v>101.34285107886777</v>
      </c>
      <c r="D193" s="5">
        <v>107.42336000214348</v>
      </c>
      <c r="E193" s="5">
        <v>1.342851078867767</v>
      </c>
      <c r="F193" s="5">
        <v>7.4233600021434825</v>
      </c>
      <c r="G193" s="5">
        <v>11.256436300977235</v>
      </c>
      <c r="H193" s="5">
        <v>3.8330762988337526</v>
      </c>
      <c r="I193" s="9" t="b">
        <v>1</v>
      </c>
      <c r="J193" s="9" t="b">
        <v>0</v>
      </c>
    </row>
    <row r="194" ht="15.75" customHeight="1">
      <c r="A194" s="5">
        <v>15.0</v>
      </c>
      <c r="B194" s="5">
        <v>20191.0</v>
      </c>
      <c r="C194" s="5">
        <v>100.54794520547944</v>
      </c>
      <c r="D194" s="5">
        <v>104.45920303605313</v>
      </c>
      <c r="E194" s="5">
        <v>0.5479452054794365</v>
      </c>
      <c r="F194" s="5">
        <v>4.459203036053125</v>
      </c>
      <c r="G194" s="5">
        <v>8.529100057312466</v>
      </c>
      <c r="H194" s="5">
        <v>4.06989702125934</v>
      </c>
      <c r="I194" s="9" t="b">
        <v>1</v>
      </c>
      <c r="J194" s="9" t="b">
        <v>0</v>
      </c>
    </row>
    <row r="195" ht="15.75" customHeight="1">
      <c r="A195" s="5">
        <v>16.0</v>
      </c>
      <c r="B195" s="5">
        <v>20191.0</v>
      </c>
      <c r="C195" s="5">
        <v>108.18095044527796</v>
      </c>
      <c r="D195" s="5">
        <v>106.5929804738332</v>
      </c>
      <c r="E195" s="5">
        <v>8.180950445277958</v>
      </c>
      <c r="F195" s="5">
        <v>6.592980473833194</v>
      </c>
      <c r="G195" s="5">
        <v>14.393411251281595</v>
      </c>
      <c r="H195" s="5">
        <v>7.800430777448401</v>
      </c>
      <c r="I195" s="9" t="b">
        <v>1</v>
      </c>
      <c r="J195" s="9" t="b">
        <v>0</v>
      </c>
    </row>
    <row r="196" ht="15.75" customHeight="1">
      <c r="A196" s="5">
        <v>17.0</v>
      </c>
      <c r="B196" s="5">
        <v>20191.0</v>
      </c>
      <c r="C196" s="5">
        <v>103.10751019883406</v>
      </c>
      <c r="D196" s="5">
        <v>115.47669136820711</v>
      </c>
      <c r="E196" s="5">
        <v>3.1075101988340634</v>
      </c>
      <c r="F196" s="5">
        <v>15.476691368207113</v>
      </c>
      <c r="G196" s="5">
        <v>14.669535264926271</v>
      </c>
      <c r="H196" s="5">
        <v>-0.8071561032808425</v>
      </c>
      <c r="I196" s="9" t="b">
        <v>1</v>
      </c>
      <c r="J196" s="9" t="b">
        <v>0</v>
      </c>
    </row>
    <row r="197" ht="15.75" customHeight="1">
      <c r="A197" s="5">
        <v>1.0</v>
      </c>
      <c r="B197" s="5">
        <v>20201.0</v>
      </c>
      <c r="C197" s="5">
        <v>104.24406029577106</v>
      </c>
      <c r="D197" s="5">
        <v>110.5251528619721</v>
      </c>
      <c r="E197" s="5">
        <v>4.244060295771064</v>
      </c>
      <c r="F197" s="5">
        <v>10.525152861972103</v>
      </c>
      <c r="G197" s="5">
        <v>13.800581865425698</v>
      </c>
      <c r="H197" s="5">
        <v>3.2754290034535956</v>
      </c>
      <c r="I197" s="9" t="b">
        <v>1</v>
      </c>
      <c r="J197" s="9" t="b">
        <v>0</v>
      </c>
    </row>
    <row r="198" ht="15.75" customHeight="1">
      <c r="A198" s="5">
        <v>2.0</v>
      </c>
      <c r="B198" s="5">
        <v>20201.0</v>
      </c>
      <c r="C198" s="5">
        <v>101.40014738393516</v>
      </c>
      <c r="D198" s="5">
        <v>113.25102880658436</v>
      </c>
      <c r="E198" s="5">
        <v>1.4001473839351632</v>
      </c>
      <c r="F198" s="5">
        <v>13.251028806584358</v>
      </c>
      <c r="G198" s="5">
        <v>12.368739026134179</v>
      </c>
      <c r="H198" s="5">
        <v>-0.8822897804501793</v>
      </c>
      <c r="I198" s="9" t="b">
        <v>1</v>
      </c>
      <c r="J198" s="9" t="b">
        <v>0</v>
      </c>
    </row>
    <row r="199" ht="15.75" customHeight="1">
      <c r="A199" s="5">
        <v>5.0</v>
      </c>
      <c r="B199" s="5">
        <v>20201.0</v>
      </c>
      <c r="C199" s="5">
        <v>107.86812191690544</v>
      </c>
      <c r="D199" s="5">
        <v>115.64319084991594</v>
      </c>
      <c r="E199" s="5">
        <v>7.868121916905437</v>
      </c>
      <c r="F199" s="5">
        <v>15.643190849915939</v>
      </c>
      <c r="G199" s="5">
        <v>15.116047180566984</v>
      </c>
      <c r="H199" s="5">
        <v>-0.5271436693489555</v>
      </c>
      <c r="I199" s="9" t="b">
        <v>1</v>
      </c>
      <c r="J199" s="9" t="b">
        <v>0</v>
      </c>
    </row>
    <row r="200" ht="15.75" customHeight="1">
      <c r="A200" s="5">
        <v>6.0</v>
      </c>
      <c r="B200" s="5">
        <v>20201.0</v>
      </c>
      <c r="C200" s="5">
        <v>101.68171471518676</v>
      </c>
      <c r="D200" s="5">
        <v>112.76457145426512</v>
      </c>
      <c r="E200" s="5">
        <v>1.6817147151867573</v>
      </c>
      <c r="F200" s="5">
        <v>12.764571454265123</v>
      </c>
      <c r="G200" s="5">
        <v>16.002445906582153</v>
      </c>
      <c r="H200" s="5">
        <v>3.2378744523170297</v>
      </c>
      <c r="I200" s="9" t="b">
        <v>1</v>
      </c>
      <c r="J200" s="9" t="b">
        <v>0</v>
      </c>
    </row>
    <row r="201" ht="15.75" customHeight="1">
      <c r="A201" s="5">
        <v>7.0</v>
      </c>
      <c r="B201" s="5">
        <v>20201.0</v>
      </c>
      <c r="C201" s="5">
        <v>107.3341865398538</v>
      </c>
      <c r="D201" s="5">
        <v>118.9281172837563</v>
      </c>
      <c r="E201" s="5">
        <v>7.334186539853803</v>
      </c>
      <c r="F201" s="5">
        <v>18.928117283756293</v>
      </c>
      <c r="G201" s="5">
        <v>16.684774665614732</v>
      </c>
      <c r="H201" s="5">
        <v>-2.243342618141561</v>
      </c>
      <c r="I201" s="9" t="b">
        <v>1</v>
      </c>
      <c r="J201" s="9" t="b">
        <v>0</v>
      </c>
    </row>
    <row r="202" ht="15.75" customHeight="1">
      <c r="A202" s="5">
        <v>8.0</v>
      </c>
      <c r="B202" s="5">
        <v>20201.0</v>
      </c>
      <c r="C202" s="5">
        <v>102.21674876847293</v>
      </c>
      <c r="D202" s="5">
        <v>112.36462093862816</v>
      </c>
      <c r="E202" s="5">
        <v>2.2167487684729252</v>
      </c>
      <c r="F202" s="5">
        <v>12.364620938628164</v>
      </c>
      <c r="G202" s="5">
        <v>13.931067818179743</v>
      </c>
      <c r="H202" s="5">
        <v>1.5664468795515791</v>
      </c>
      <c r="I202" s="9" t="b">
        <v>1</v>
      </c>
      <c r="J202" s="9" t="b">
        <v>0</v>
      </c>
    </row>
    <row r="203" ht="15.75" customHeight="1">
      <c r="A203" s="5">
        <v>9.0</v>
      </c>
      <c r="B203" s="5">
        <v>20201.0</v>
      </c>
      <c r="C203" s="5">
        <v>99.50766747376916</v>
      </c>
      <c r="D203" s="5">
        <v>112.04107597237368</v>
      </c>
      <c r="E203" s="5">
        <v>-0.49233252623083956</v>
      </c>
      <c r="F203" s="5">
        <v>12.041075972373676</v>
      </c>
      <c r="G203" s="5">
        <v>12.055391753873025</v>
      </c>
      <c r="H203" s="5">
        <v>0.014315781499348645</v>
      </c>
      <c r="I203" s="9" t="b">
        <v>1</v>
      </c>
      <c r="J203" s="9" t="b">
        <v>0</v>
      </c>
    </row>
    <row r="204" ht="15.75" customHeight="1">
      <c r="A204" s="5">
        <v>10.0</v>
      </c>
      <c r="B204" s="5">
        <v>20201.0</v>
      </c>
      <c r="C204" s="5">
        <v>100.07732104512412</v>
      </c>
      <c r="D204" s="5">
        <v>109.88643366050144</v>
      </c>
      <c r="E204" s="5">
        <v>0.07732104512412263</v>
      </c>
      <c r="F204" s="5">
        <v>9.886433660501439</v>
      </c>
      <c r="G204" s="5">
        <v>9.93105887180512</v>
      </c>
      <c r="H204" s="5">
        <v>0.04462521130368202</v>
      </c>
      <c r="I204" s="9" t="b">
        <v>1</v>
      </c>
      <c r="J204" s="9" t="b">
        <v>0</v>
      </c>
    </row>
    <row r="205" ht="15.75" customHeight="1">
      <c r="A205" s="5">
        <v>11.0</v>
      </c>
      <c r="B205" s="5">
        <v>20201.0</v>
      </c>
      <c r="C205" s="5">
        <v>101.35758367765352</v>
      </c>
      <c r="D205" s="5">
        <v>108.54313274961784</v>
      </c>
      <c r="E205" s="5">
        <v>1.3575836776535226</v>
      </c>
      <c r="F205" s="5">
        <v>8.54313274961784</v>
      </c>
      <c r="G205" s="5">
        <v>11.013365077507697</v>
      </c>
      <c r="H205" s="5">
        <v>2.470232327889857</v>
      </c>
      <c r="I205" s="9" t="b">
        <v>1</v>
      </c>
      <c r="J205" s="9" t="b">
        <v>0</v>
      </c>
    </row>
    <row r="206" ht="15.75" customHeight="1">
      <c r="A206" s="5">
        <v>12.0</v>
      </c>
      <c r="B206" s="5">
        <v>20201.0</v>
      </c>
      <c r="C206" s="5">
        <v>104.42857142857144</v>
      </c>
      <c r="D206" s="5">
        <v>110.33962264150942</v>
      </c>
      <c r="E206" s="5">
        <v>4.428571428571445</v>
      </c>
      <c r="F206" s="5">
        <v>10.339622641509422</v>
      </c>
      <c r="G206" s="5">
        <v>17.511675385258485</v>
      </c>
      <c r="H206" s="5">
        <v>7.172052743749063</v>
      </c>
      <c r="I206" s="9" t="b">
        <v>1</v>
      </c>
      <c r="J206" s="9" t="b">
        <v>0</v>
      </c>
    </row>
    <row r="207" ht="15.75" customHeight="1">
      <c r="A207" s="5">
        <v>13.0</v>
      </c>
      <c r="B207" s="5">
        <v>20201.0</v>
      </c>
      <c r="C207" s="5">
        <v>100.65633174693764</v>
      </c>
      <c r="D207" s="5">
        <v>114.6712577961434</v>
      </c>
      <c r="E207" s="5">
        <v>0.6563317469376386</v>
      </c>
      <c r="F207" s="5">
        <v>14.671257796143394</v>
      </c>
      <c r="G207" s="5">
        <v>10.818857619490906</v>
      </c>
      <c r="H207" s="5">
        <v>-3.8524001766524876</v>
      </c>
      <c r="I207" s="9" t="b">
        <v>1</v>
      </c>
      <c r="J207" s="9" t="b">
        <v>0</v>
      </c>
    </row>
    <row r="208" ht="15.75" customHeight="1">
      <c r="A208" s="5">
        <v>14.0</v>
      </c>
      <c r="B208" s="5">
        <v>20201.0</v>
      </c>
      <c r="C208" s="5">
        <v>102.0501199296462</v>
      </c>
      <c r="D208" s="5">
        <v>111.03638156483706</v>
      </c>
      <c r="E208" s="5">
        <v>2.0501199296462005</v>
      </c>
      <c r="F208" s="5">
        <v>11.036381564837058</v>
      </c>
      <c r="G208" s="5">
        <v>10.866521825574015</v>
      </c>
      <c r="H208" s="5">
        <v>-0.16985973926304254</v>
      </c>
      <c r="I208" s="9" t="b">
        <v>1</v>
      </c>
      <c r="J208" s="9" t="b">
        <v>0</v>
      </c>
    </row>
    <row r="209" ht="15.75" customHeight="1">
      <c r="A209" s="5">
        <v>15.0</v>
      </c>
      <c r="B209" s="5">
        <v>20201.0</v>
      </c>
      <c r="C209" s="5">
        <v>98.204361228124</v>
      </c>
      <c r="D209" s="5">
        <v>116.7570470913845</v>
      </c>
      <c r="E209" s="5">
        <v>-1.7956387718759999</v>
      </c>
      <c r="F209" s="5">
        <v>16.757047091384507</v>
      </c>
      <c r="G209" s="5">
        <v>22.668245174022527</v>
      </c>
      <c r="H209" s="5">
        <v>5.91119808263802</v>
      </c>
      <c r="I209" s="9" t="b">
        <v>1</v>
      </c>
      <c r="J209" s="9" t="b">
        <v>0</v>
      </c>
    </row>
    <row r="210" ht="15.75" customHeight="1">
      <c r="A210" s="5">
        <v>16.0</v>
      </c>
      <c r="B210" s="5">
        <v>20201.0</v>
      </c>
      <c r="C210" s="5">
        <v>111.99867703214056</v>
      </c>
      <c r="D210" s="5">
        <v>127.3679449073483</v>
      </c>
      <c r="E210" s="5">
        <v>11.998677032140563</v>
      </c>
      <c r="F210" s="5">
        <v>27.367944907348303</v>
      </c>
      <c r="G210" s="5">
        <v>19.692587028616092</v>
      </c>
      <c r="H210" s="5">
        <v>-7.6753578787322105</v>
      </c>
      <c r="I210" s="9" t="b">
        <v>1</v>
      </c>
      <c r="J210" s="9" t="b">
        <v>0</v>
      </c>
    </row>
    <row r="211" ht="15.75" customHeight="1">
      <c r="A211" s="5">
        <v>17.0</v>
      </c>
      <c r="B211" s="5">
        <v>20201.0</v>
      </c>
      <c r="C211" s="5">
        <v>101.8899388549194</v>
      </c>
      <c r="D211" s="5">
        <v>111.35832077109656</v>
      </c>
      <c r="E211" s="5">
        <v>1.889938854919393</v>
      </c>
      <c r="F211" s="5">
        <v>11.358320771096558</v>
      </c>
      <c r="G211" s="5">
        <v>9.9727081303582</v>
      </c>
      <c r="H211" s="5">
        <v>-1.3856126407383584</v>
      </c>
      <c r="I211" s="9" t="b">
        <v>1</v>
      </c>
      <c r="J211" s="9" t="b">
        <v>0</v>
      </c>
    </row>
    <row r="212" ht="15.75" customHeight="1">
      <c r="A212" s="5">
        <v>1.0</v>
      </c>
      <c r="B212" s="5">
        <v>20211.0</v>
      </c>
      <c r="C212" s="5">
        <v>100.60269705069892</v>
      </c>
      <c r="D212" s="5">
        <v>107.866920619879</v>
      </c>
      <c r="E212" s="5">
        <v>0.6026970506989215</v>
      </c>
      <c r="F212" s="5">
        <v>7.8669206198789965</v>
      </c>
      <c r="G212" s="5">
        <v>7.2868866304345525</v>
      </c>
      <c r="H212" s="5">
        <v>-0.580033989444444</v>
      </c>
      <c r="I212" s="9" t="b">
        <v>1</v>
      </c>
      <c r="J212" s="9" t="b">
        <v>0</v>
      </c>
    </row>
    <row r="213" ht="15.75" customHeight="1">
      <c r="A213" s="5">
        <v>2.0</v>
      </c>
      <c r="B213" s="5">
        <v>20211.0</v>
      </c>
      <c r="C213" s="5">
        <v>99.78494623655914</v>
      </c>
      <c r="D213" s="5">
        <v>101.16279069767442</v>
      </c>
      <c r="E213" s="5">
        <v>-0.21505376344086358</v>
      </c>
      <c r="F213" s="5">
        <v>1.1627906976744242</v>
      </c>
      <c r="G213" s="5">
        <v>7.907988277847999</v>
      </c>
      <c r="H213" s="5">
        <v>6.745197580173575</v>
      </c>
      <c r="I213" s="9" t="b">
        <v>1</v>
      </c>
      <c r="J213" s="9" t="b">
        <v>0</v>
      </c>
    </row>
    <row r="214" ht="15.75" customHeight="1">
      <c r="A214" s="5">
        <v>5.0</v>
      </c>
      <c r="B214" s="5">
        <v>20211.0</v>
      </c>
      <c r="C214" s="5">
        <v>100.2602109944972</v>
      </c>
      <c r="D214" s="5">
        <v>103.04582120774486</v>
      </c>
      <c r="E214" s="5">
        <v>0.2602109944972</v>
      </c>
      <c r="F214" s="5">
        <v>3.045821207744865</v>
      </c>
      <c r="G214" s="5">
        <v>4.583100955594377</v>
      </c>
      <c r="H214" s="5">
        <v>1.537279747849512</v>
      </c>
      <c r="I214" s="9" t="b">
        <v>1</v>
      </c>
      <c r="J214" s="9" t="b">
        <v>0</v>
      </c>
    </row>
    <row r="215" ht="15.75" customHeight="1">
      <c r="A215" s="5">
        <v>6.0</v>
      </c>
      <c r="B215" s="5">
        <v>20211.0</v>
      </c>
      <c r="C215" s="5">
        <v>102.2039155013425</v>
      </c>
      <c r="D215" s="5">
        <v>107.50471638971352</v>
      </c>
      <c r="E215" s="5">
        <v>2.203915501342493</v>
      </c>
      <c r="F215" s="5">
        <v>7.504716389713522</v>
      </c>
      <c r="G215" s="5">
        <v>7.388550396933047</v>
      </c>
      <c r="H215" s="5">
        <v>-0.11616599278047524</v>
      </c>
      <c r="I215" s="9" t="b">
        <v>1</v>
      </c>
      <c r="J215" s="9" t="b">
        <v>0</v>
      </c>
    </row>
    <row r="216" ht="15.75" customHeight="1">
      <c r="A216" s="5">
        <v>7.0</v>
      </c>
      <c r="B216" s="5">
        <v>20211.0</v>
      </c>
      <c r="C216" s="5">
        <v>102.8842652891629</v>
      </c>
      <c r="D216" s="5">
        <v>107.64081298759498</v>
      </c>
      <c r="E216" s="5">
        <v>2.8842652891628973</v>
      </c>
      <c r="F216" s="5">
        <v>7.640812987594984</v>
      </c>
      <c r="G216" s="5">
        <v>7.921943975737578</v>
      </c>
      <c r="H216" s="5">
        <v>0.28113098814259363</v>
      </c>
      <c r="I216" s="9" t="b">
        <v>1</v>
      </c>
      <c r="J216" s="9" t="b">
        <v>0</v>
      </c>
    </row>
    <row r="217" ht="15.75" customHeight="1">
      <c r="A217" s="5">
        <v>8.0</v>
      </c>
      <c r="B217" s="5">
        <v>20211.0</v>
      </c>
      <c r="C217" s="5">
        <v>101.19225037257826</v>
      </c>
      <c r="D217" s="5">
        <v>109.07630522088354</v>
      </c>
      <c r="E217" s="5">
        <v>1.1922503725782576</v>
      </c>
      <c r="F217" s="5">
        <v>9.07630522088354</v>
      </c>
      <c r="G217" s="5">
        <v>10.656044706365876</v>
      </c>
      <c r="H217" s="5">
        <v>1.5797394854823352</v>
      </c>
      <c r="I217" s="9" t="b">
        <v>1</v>
      </c>
      <c r="J217" s="9" t="b">
        <v>0</v>
      </c>
    </row>
    <row r="218" ht="15.75" customHeight="1">
      <c r="A218" s="5">
        <v>9.0</v>
      </c>
      <c r="B218" s="5">
        <v>20211.0</v>
      </c>
      <c r="C218" s="5">
        <v>102.63462875685698</v>
      </c>
      <c r="D218" s="5">
        <v>107.74596479844269</v>
      </c>
      <c r="E218" s="5">
        <v>2.6346287568569835</v>
      </c>
      <c r="F218" s="5">
        <v>7.745964798442685</v>
      </c>
      <c r="G218" s="5">
        <v>6.75146732894738</v>
      </c>
      <c r="H218" s="5">
        <v>-0.9944974694953048</v>
      </c>
      <c r="I218" s="9" t="b">
        <v>1</v>
      </c>
      <c r="J218" s="9" t="b">
        <v>0</v>
      </c>
    </row>
    <row r="219" ht="15.75" customHeight="1">
      <c r="A219" s="5">
        <v>10.0</v>
      </c>
      <c r="B219" s="5">
        <v>20211.0</v>
      </c>
      <c r="C219" s="5">
        <v>100.89152964792302</v>
      </c>
      <c r="D219" s="5">
        <v>113.79579050520286</v>
      </c>
      <c r="E219" s="5">
        <v>0.8915296479230221</v>
      </c>
      <c r="F219" s="5">
        <v>13.79579050520286</v>
      </c>
      <c r="G219" s="5">
        <v>4.114468594246912</v>
      </c>
      <c r="H219" s="5">
        <v>-9.681321910955948</v>
      </c>
      <c r="I219" s="9" t="b">
        <v>1</v>
      </c>
      <c r="J219" s="9" t="b">
        <v>0</v>
      </c>
    </row>
    <row r="220" ht="15.75" customHeight="1">
      <c r="A220" s="5">
        <v>11.0</v>
      </c>
      <c r="B220" s="5">
        <v>20211.0</v>
      </c>
      <c r="C220" s="5">
        <v>100.5057910268698</v>
      </c>
      <c r="D220" s="5">
        <v>104.91098377574392</v>
      </c>
      <c r="E220" s="5">
        <v>0.5057910268698009</v>
      </c>
      <c r="F220" s="5">
        <v>4.910983775743915</v>
      </c>
      <c r="G220" s="5">
        <v>5.6962771594435635</v>
      </c>
      <c r="H220" s="5">
        <v>0.7852933836996483</v>
      </c>
      <c r="I220" s="9" t="b">
        <v>1</v>
      </c>
      <c r="J220" s="9" t="b">
        <v>0</v>
      </c>
    </row>
    <row r="221" ht="15.75" customHeight="1">
      <c r="A221" s="5">
        <v>12.0</v>
      </c>
      <c r="B221" s="5">
        <v>20211.0</v>
      </c>
      <c r="C221" s="5">
        <v>99.2748846407383</v>
      </c>
      <c r="D221" s="5">
        <v>103.00957592339262</v>
      </c>
      <c r="E221" s="5">
        <v>-0.725115359261693</v>
      </c>
      <c r="F221" s="5">
        <v>3.0095759233926174</v>
      </c>
      <c r="G221" s="5">
        <v>4.712252764899727</v>
      </c>
      <c r="H221" s="5">
        <v>1.7026768415071096</v>
      </c>
      <c r="I221" s="9" t="b">
        <v>1</v>
      </c>
      <c r="J221" s="9" t="b">
        <v>0</v>
      </c>
    </row>
    <row r="222" ht="15.75" customHeight="1">
      <c r="A222" s="5">
        <v>13.0</v>
      </c>
      <c r="B222" s="5">
        <v>20211.0</v>
      </c>
      <c r="C222" s="5">
        <v>99.8381019702372</v>
      </c>
      <c r="D222" s="5">
        <v>107.49085457615853</v>
      </c>
      <c r="E222" s="5">
        <v>-0.16189802976279566</v>
      </c>
      <c r="F222" s="5">
        <v>7.490854576158526</v>
      </c>
      <c r="G222" s="5">
        <v>9.071710364167874</v>
      </c>
      <c r="H222" s="5">
        <v>1.5808557880093481</v>
      </c>
      <c r="I222" s="9" t="b">
        <v>1</v>
      </c>
      <c r="J222" s="9" t="b">
        <v>0</v>
      </c>
    </row>
    <row r="223" ht="15.75" customHeight="1">
      <c r="A223" s="5">
        <v>14.0</v>
      </c>
      <c r="B223" s="5">
        <v>20211.0</v>
      </c>
      <c r="C223" s="5">
        <v>100.31464309785112</v>
      </c>
      <c r="D223" s="5">
        <v>105.58944925520366</v>
      </c>
      <c r="E223" s="5">
        <v>0.31464309785111766</v>
      </c>
      <c r="F223" s="5">
        <v>5.589449255203661</v>
      </c>
      <c r="G223" s="5">
        <v>8.484381530911733</v>
      </c>
      <c r="H223" s="5">
        <v>2.894932275708072</v>
      </c>
      <c r="I223" s="9" t="b">
        <v>1</v>
      </c>
      <c r="J223" s="9" t="b">
        <v>0</v>
      </c>
    </row>
    <row r="224" ht="15.75" customHeight="1">
      <c r="A224" s="5">
        <v>15.0</v>
      </c>
      <c r="B224" s="5">
        <v>20211.0</v>
      </c>
      <c r="C224" s="5">
        <v>101.56637102679096</v>
      </c>
      <c r="D224" s="5">
        <v>109.28478206671667</v>
      </c>
      <c r="E224" s="5">
        <v>1.5663710267909607</v>
      </c>
      <c r="F224" s="5">
        <v>9.284782066716673</v>
      </c>
      <c r="G224" s="5">
        <v>6.180738013804632</v>
      </c>
      <c r="H224" s="5">
        <v>-3.104044052912041</v>
      </c>
      <c r="I224" s="9" t="b">
        <v>1</v>
      </c>
      <c r="J224" s="9" t="b">
        <v>0</v>
      </c>
    </row>
    <row r="225" ht="15.75" customHeight="1">
      <c r="A225" s="5">
        <v>16.0</v>
      </c>
      <c r="B225" s="5">
        <v>20211.0</v>
      </c>
      <c r="C225" s="5">
        <v>96.81722004674756</v>
      </c>
      <c r="D225" s="5">
        <v>94.36499528661967</v>
      </c>
      <c r="E225" s="5">
        <v>-3.1827799532524352</v>
      </c>
      <c r="F225" s="5">
        <v>-5.635004713380326</v>
      </c>
      <c r="G225" s="5">
        <v>2.7481255525134474</v>
      </c>
      <c r="H225" s="5">
        <v>8.383130265893772</v>
      </c>
      <c r="I225" s="9" t="b">
        <v>1</v>
      </c>
      <c r="J225" s="9" t="b">
        <v>1</v>
      </c>
    </row>
    <row r="226" ht="15.75" customHeight="1">
      <c r="A226" s="5">
        <v>17.0</v>
      </c>
      <c r="B226" s="5">
        <v>20211.0</v>
      </c>
      <c r="C226" s="5">
        <v>103.6691683723751</v>
      </c>
      <c r="D226" s="5">
        <v>106.5778193437768</v>
      </c>
      <c r="E226" s="5">
        <v>3.669168372375097</v>
      </c>
      <c r="F226" s="5">
        <v>6.577819343776795</v>
      </c>
      <c r="G226" s="5">
        <v>7.471879008919258</v>
      </c>
      <c r="H226" s="5">
        <v>0.8940596651424624</v>
      </c>
      <c r="I226" s="9" t="b">
        <v>1</v>
      </c>
      <c r="J226" s="9" t="b">
        <v>0</v>
      </c>
    </row>
    <row r="227" ht="15.75" customHeight="1">
      <c r="A227" s="5">
        <v>1.0</v>
      </c>
      <c r="B227" s="5">
        <v>20221.0</v>
      </c>
      <c r="C227" s="5">
        <v>103.7365144239132</v>
      </c>
      <c r="D227" s="5">
        <v>119.831530706003</v>
      </c>
      <c r="E227" s="5">
        <v>3.7365144239132064</v>
      </c>
      <c r="F227" s="5">
        <v>19.831530706002994</v>
      </c>
      <c r="G227" s="5">
        <v>16.46075618410341</v>
      </c>
      <c r="H227" s="5">
        <v>-3.370774521899584</v>
      </c>
      <c r="I227" s="9" t="b">
        <v>1</v>
      </c>
      <c r="J227" s="9" t="b">
        <v>0</v>
      </c>
    </row>
    <row r="228" ht="15.75" customHeight="1">
      <c r="A228" s="5">
        <v>2.0</v>
      </c>
      <c r="B228" s="5">
        <v>20221.0</v>
      </c>
      <c r="C228" s="5">
        <v>100.76873798846894</v>
      </c>
      <c r="D228" s="5">
        <v>113.00287356321842</v>
      </c>
      <c r="E228" s="5">
        <v>0.768737988468942</v>
      </c>
      <c r="F228" s="5">
        <v>13.002873563218415</v>
      </c>
      <c r="G228" s="5">
        <v>10.731878958479935</v>
      </c>
      <c r="H228" s="5">
        <v>-2.2709946047384797</v>
      </c>
      <c r="I228" s="9" t="b">
        <v>1</v>
      </c>
      <c r="J228" s="9" t="b">
        <v>0</v>
      </c>
    </row>
    <row r="229" ht="15.75" customHeight="1">
      <c r="A229" s="5">
        <v>5.0</v>
      </c>
      <c r="B229" s="5">
        <v>20221.0</v>
      </c>
      <c r="C229" s="5">
        <v>106.94995129705676</v>
      </c>
      <c r="D229" s="5">
        <v>118.91501152085344</v>
      </c>
      <c r="E229" s="5">
        <v>6.9499512970567565</v>
      </c>
      <c r="F229" s="5">
        <v>18.91501152085344</v>
      </c>
      <c r="G229" s="5">
        <v>15.80657068637663</v>
      </c>
      <c r="H229" s="5">
        <v>-3.1084408344768093</v>
      </c>
      <c r="I229" s="9" t="b">
        <v>1</v>
      </c>
      <c r="J229" s="9" t="b">
        <v>0</v>
      </c>
    </row>
    <row r="230" ht="15.75" customHeight="1">
      <c r="A230" s="5">
        <v>6.0</v>
      </c>
      <c r="B230" s="5">
        <v>20221.0</v>
      </c>
      <c r="C230" s="5">
        <v>104.98807519553984</v>
      </c>
      <c r="D230" s="5">
        <v>120.42293034052662</v>
      </c>
      <c r="E230" s="5">
        <v>4.988075195539835</v>
      </c>
      <c r="F230" s="5">
        <v>20.42293034052662</v>
      </c>
      <c r="G230" s="5">
        <v>19.816029741385588</v>
      </c>
      <c r="H230" s="5">
        <v>-0.6069005991410314</v>
      </c>
      <c r="I230" s="9" t="b">
        <v>1</v>
      </c>
      <c r="J230" s="9" t="b">
        <v>0</v>
      </c>
    </row>
    <row r="231" ht="15.75" customHeight="1">
      <c r="A231" s="5">
        <v>7.0</v>
      </c>
      <c r="B231" s="5">
        <v>20221.0</v>
      </c>
      <c r="C231" s="5">
        <v>100.70894255015264</v>
      </c>
      <c r="D231" s="5">
        <v>111.498174104409</v>
      </c>
      <c r="E231" s="5">
        <v>0.7089425501526421</v>
      </c>
      <c r="F231" s="5">
        <v>11.498174104409003</v>
      </c>
      <c r="G231" s="5">
        <v>14.465816535229603</v>
      </c>
      <c r="H231" s="5">
        <v>2.9676424308206</v>
      </c>
      <c r="I231" s="9" t="b">
        <v>1</v>
      </c>
      <c r="J231" s="9" t="b">
        <v>0</v>
      </c>
    </row>
    <row r="232" ht="15.75" customHeight="1">
      <c r="A232" s="5">
        <v>8.0</v>
      </c>
      <c r="B232" s="5">
        <v>20221.0</v>
      </c>
      <c r="C232" s="5">
        <v>107.67703507610852</v>
      </c>
      <c r="D232" s="5">
        <v>119.8085419734904</v>
      </c>
      <c r="E232" s="5">
        <v>7.677035076108524</v>
      </c>
      <c r="F232" s="5">
        <v>19.808541973490406</v>
      </c>
      <c r="G232" s="5">
        <v>16.14115856900449</v>
      </c>
      <c r="H232" s="5">
        <v>-3.6673834044859177</v>
      </c>
      <c r="I232" s="9" t="b">
        <v>1</v>
      </c>
      <c r="J232" s="9" t="b">
        <v>0</v>
      </c>
    </row>
    <row r="233" ht="15.75" customHeight="1">
      <c r="A233" s="5">
        <v>9.0</v>
      </c>
      <c r="B233" s="5">
        <v>20221.0</v>
      </c>
      <c r="C233" s="5">
        <v>107.15612743411543</v>
      </c>
      <c r="D233" s="5">
        <v>117.23125564588976</v>
      </c>
      <c r="E233" s="5">
        <v>7.156127434115433</v>
      </c>
      <c r="F233" s="5">
        <v>17.23125564588976</v>
      </c>
      <c r="G233" s="5">
        <v>17.92957830443158</v>
      </c>
      <c r="H233" s="5">
        <v>0.6983226585418194</v>
      </c>
      <c r="I233" s="9" t="b">
        <v>1</v>
      </c>
      <c r="J233" s="9" t="b">
        <v>0</v>
      </c>
    </row>
    <row r="234" ht="15.75" customHeight="1">
      <c r="A234" s="5">
        <v>10.0</v>
      </c>
      <c r="B234" s="5">
        <v>20221.0</v>
      </c>
      <c r="C234" s="5">
        <v>105.4358169331097</v>
      </c>
      <c r="D234" s="5">
        <v>110.2333892453576</v>
      </c>
      <c r="E234" s="5">
        <v>5.435816933109706</v>
      </c>
      <c r="F234" s="5">
        <v>10.2333892453576</v>
      </c>
      <c r="G234" s="5">
        <v>11.094516730765957</v>
      </c>
      <c r="H234" s="5">
        <v>0.8611274854083568</v>
      </c>
      <c r="I234" s="9" t="b">
        <v>1</v>
      </c>
      <c r="J234" s="9" t="b">
        <v>0</v>
      </c>
    </row>
    <row r="235" ht="15.75" customHeight="1">
      <c r="A235" s="5">
        <v>11.0</v>
      </c>
      <c r="B235" s="5">
        <v>20221.0</v>
      </c>
      <c r="C235" s="5">
        <v>104.33678189060107</v>
      </c>
      <c r="D235" s="5">
        <v>113.9645189783408</v>
      </c>
      <c r="E235" s="5">
        <v>4.336781890601074</v>
      </c>
      <c r="F235" s="5">
        <v>13.964518978340806</v>
      </c>
      <c r="G235" s="5">
        <v>11.959055815431574</v>
      </c>
      <c r="H235" s="5">
        <v>-2.0054631629092317</v>
      </c>
      <c r="I235" s="9" t="b">
        <v>1</v>
      </c>
      <c r="J235" s="9" t="b">
        <v>0</v>
      </c>
    </row>
    <row r="236" ht="15.75" customHeight="1">
      <c r="A236" s="5">
        <v>12.0</v>
      </c>
      <c r="B236" s="5">
        <v>20221.0</v>
      </c>
      <c r="C236" s="5">
        <v>97.0625</v>
      </c>
      <c r="D236" s="5">
        <v>103.12084993359896</v>
      </c>
      <c r="E236" s="5">
        <v>-2.9375</v>
      </c>
      <c r="F236" s="5">
        <v>3.1208499335989615</v>
      </c>
      <c r="G236" s="5">
        <v>16.77521238030806</v>
      </c>
      <c r="H236" s="5">
        <v>13.654362446709097</v>
      </c>
      <c r="I236" s="9" t="b">
        <v>1</v>
      </c>
      <c r="J236" s="9" t="b">
        <v>0</v>
      </c>
    </row>
    <row r="237" ht="15.75" customHeight="1">
      <c r="A237" s="5">
        <v>13.0</v>
      </c>
      <c r="B237" s="5">
        <v>20221.0</v>
      </c>
      <c r="C237" s="5">
        <v>106.98588309464994</v>
      </c>
      <c r="D237" s="5">
        <v>122.71386963552789</v>
      </c>
      <c r="E237" s="5">
        <v>6.985883094649935</v>
      </c>
      <c r="F237" s="5">
        <v>22.713869635527885</v>
      </c>
      <c r="G237" s="5">
        <v>17.548944325345907</v>
      </c>
      <c r="H237" s="5">
        <v>-5.164925310181978</v>
      </c>
      <c r="I237" s="9" t="b">
        <v>1</v>
      </c>
      <c r="J237" s="9" t="b">
        <v>0</v>
      </c>
    </row>
    <row r="238" ht="15.75" customHeight="1">
      <c r="A238" s="5">
        <v>14.0</v>
      </c>
      <c r="B238" s="5">
        <v>20221.0</v>
      </c>
      <c r="C238" s="5">
        <v>103.51044643233205</v>
      </c>
      <c r="D238" s="5">
        <v>114.43663307843144</v>
      </c>
      <c r="E238" s="5">
        <v>3.5104464323320457</v>
      </c>
      <c r="F238" s="5">
        <v>14.436633078431441</v>
      </c>
      <c r="G238" s="5">
        <v>12.095356747605358</v>
      </c>
      <c r="H238" s="5">
        <v>-2.3412763308260836</v>
      </c>
      <c r="I238" s="9" t="b">
        <v>1</v>
      </c>
      <c r="J238" s="9" t="b">
        <v>0</v>
      </c>
    </row>
    <row r="239" ht="15.75" customHeight="1">
      <c r="A239" s="5">
        <v>15.0</v>
      </c>
      <c r="B239" s="5">
        <v>20221.0</v>
      </c>
      <c r="C239" s="5">
        <v>102.63367779187584</v>
      </c>
      <c r="D239" s="5">
        <v>114.0916174836627</v>
      </c>
      <c r="E239" s="5">
        <v>2.63367779187584</v>
      </c>
      <c r="F239" s="5">
        <v>14.091617483662702</v>
      </c>
      <c r="G239" s="5">
        <v>14.100359947157504</v>
      </c>
      <c r="H239" s="5">
        <v>0.008742463494801456</v>
      </c>
      <c r="I239" s="9" t="b">
        <v>1</v>
      </c>
      <c r="J239" s="9" t="b">
        <v>0</v>
      </c>
    </row>
    <row r="240" ht="15.75" customHeight="1">
      <c r="A240" s="5">
        <v>16.0</v>
      </c>
      <c r="B240" s="5">
        <v>20221.0</v>
      </c>
      <c r="C240" s="5">
        <v>100.63085921266396</v>
      </c>
      <c r="D240" s="5">
        <v>118.62898426806352</v>
      </c>
      <c r="E240" s="5">
        <v>0.6308592126639638</v>
      </c>
      <c r="F240" s="5">
        <v>18.62898426806352</v>
      </c>
      <c r="G240" s="5">
        <v>20.562505341669237</v>
      </c>
      <c r="H240" s="5">
        <v>1.9335210736057178</v>
      </c>
      <c r="I240" s="9" t="b">
        <v>1</v>
      </c>
      <c r="J240" s="9" t="b">
        <v>0</v>
      </c>
    </row>
    <row r="241" ht="15.75" customHeight="1">
      <c r="A241" s="5">
        <v>17.0</v>
      </c>
      <c r="B241" s="5">
        <v>20221.0</v>
      </c>
      <c r="C241" s="5">
        <v>107.97904493250051</v>
      </c>
      <c r="D241" s="5">
        <v>117.56489945155391</v>
      </c>
      <c r="E241" s="5">
        <v>7.979044932500514</v>
      </c>
      <c r="F241" s="5">
        <v>17.564899451553913</v>
      </c>
      <c r="G241" s="5">
        <v>12.827178184579102</v>
      </c>
      <c r="H241" s="5">
        <v>-4.737721266974811</v>
      </c>
      <c r="I241" s="9" t="b">
        <v>1</v>
      </c>
      <c r="J241" s="9" t="b">
        <v>0</v>
      </c>
    </row>
    <row r="242" ht="15.75" customHeight="1">
      <c r="A242" s="5">
        <v>1.0</v>
      </c>
      <c r="B242" s="5">
        <v>20231.0</v>
      </c>
      <c r="C242" s="5">
        <v>103.48493797991728</v>
      </c>
      <c r="D242" s="5">
        <v>107.48466257668711</v>
      </c>
      <c r="E242" s="5">
        <v>3.4849379799172766</v>
      </c>
      <c r="F242" s="5">
        <v>7.484662576687114</v>
      </c>
      <c r="G242" s="5">
        <v>4.737558125279073</v>
      </c>
      <c r="H242" s="5">
        <v>-2.747104451408041</v>
      </c>
      <c r="I242" s="9" t="b">
        <v>1</v>
      </c>
      <c r="J242" s="9" t="b">
        <v>0</v>
      </c>
    </row>
    <row r="243" ht="15.75" customHeight="1">
      <c r="A243" s="5">
        <v>2.0</v>
      </c>
      <c r="B243" s="5">
        <v>20231.0</v>
      </c>
      <c r="C243" s="5">
        <v>100.06242197253434</v>
      </c>
      <c r="D243" s="5">
        <v>101.90718372536554</v>
      </c>
      <c r="E243" s="5">
        <v>0.06242197253433801</v>
      </c>
      <c r="F243" s="5">
        <v>1.9071837253655417</v>
      </c>
      <c r="G243" s="5">
        <v>6.879567842389567</v>
      </c>
      <c r="H243" s="5">
        <v>4.972384117024025</v>
      </c>
      <c r="I243" s="9" t="b">
        <v>1</v>
      </c>
      <c r="J243" s="9" t="b">
        <v>0</v>
      </c>
    </row>
    <row r="244" ht="15.75" customHeight="1">
      <c r="A244" s="5">
        <v>5.0</v>
      </c>
      <c r="B244" s="5">
        <v>20231.0</v>
      </c>
      <c r="C244" s="5">
        <v>103.75910767184124</v>
      </c>
      <c r="D244" s="5">
        <v>105.61316704542016</v>
      </c>
      <c r="E244" s="5">
        <v>3.7591076718412353</v>
      </c>
      <c r="F244" s="5">
        <v>5.613167045420155</v>
      </c>
      <c r="G244" s="5">
        <v>5.021795653410033</v>
      </c>
      <c r="H244" s="5">
        <v>-0.5913713920101227</v>
      </c>
      <c r="I244" s="9" t="b">
        <v>1</v>
      </c>
      <c r="J244" s="9" t="b">
        <v>0</v>
      </c>
    </row>
    <row r="245" ht="15.75" customHeight="1">
      <c r="A245" s="5">
        <v>6.0</v>
      </c>
      <c r="B245" s="5">
        <v>20231.0</v>
      </c>
      <c r="C245" s="5">
        <v>99.48215250143176</v>
      </c>
      <c r="D245" s="5">
        <v>107.97713130202004</v>
      </c>
      <c r="E245" s="5">
        <v>-0.5178474985682442</v>
      </c>
      <c r="F245" s="5">
        <v>7.977131302020041</v>
      </c>
      <c r="G245" s="5">
        <v>7.400884894817561</v>
      </c>
      <c r="H245" s="5">
        <v>-0.57624640720248</v>
      </c>
      <c r="I245" s="9" t="b">
        <v>1</v>
      </c>
      <c r="J245" s="9" t="b">
        <v>0</v>
      </c>
    </row>
    <row r="246" ht="15.75" customHeight="1">
      <c r="A246" s="5">
        <v>7.0</v>
      </c>
      <c r="B246" s="5">
        <v>20231.0</v>
      </c>
      <c r="C246" s="5">
        <v>99.9188143178252</v>
      </c>
      <c r="D246" s="5">
        <v>111.90229768016304</v>
      </c>
      <c r="E246" s="5">
        <v>-0.08118568217480515</v>
      </c>
      <c r="F246" s="5">
        <v>11.902297680163045</v>
      </c>
      <c r="G246" s="5">
        <v>5.916091523537914</v>
      </c>
      <c r="H246" s="5">
        <v>-5.986206156625131</v>
      </c>
      <c r="I246" s="9" t="b">
        <v>1</v>
      </c>
      <c r="J246" s="9" t="b">
        <v>0</v>
      </c>
    </row>
    <row r="247" ht="15.75" customHeight="1">
      <c r="A247" s="5">
        <v>8.0</v>
      </c>
      <c r="B247" s="5">
        <v>20231.0</v>
      </c>
      <c r="C247" s="5">
        <v>103.8634940513463</v>
      </c>
      <c r="D247" s="5">
        <v>101.9483712354026</v>
      </c>
      <c r="E247" s="5">
        <v>3.8634940513462936</v>
      </c>
      <c r="F247" s="5">
        <v>1.948371235402604</v>
      </c>
      <c r="G247" s="5">
        <v>-0.6951841315936735</v>
      </c>
      <c r="H247" s="5">
        <v>-2.6435553669962775</v>
      </c>
      <c r="I247" s="9" t="b">
        <v>1</v>
      </c>
      <c r="J247" s="9" t="b">
        <v>1</v>
      </c>
    </row>
    <row r="248" ht="15.75" customHeight="1">
      <c r="A248" s="5">
        <v>9.0</v>
      </c>
      <c r="B248" s="5">
        <v>20231.0</v>
      </c>
      <c r="C248" s="5">
        <v>97.67633278460175</v>
      </c>
      <c r="D248" s="5">
        <v>99.06247993321776</v>
      </c>
      <c r="E248" s="5">
        <v>-2.3236672153982454</v>
      </c>
      <c r="F248" s="5">
        <v>-0.9375200667822412</v>
      </c>
      <c r="G248" s="5">
        <v>0.1846742567533033</v>
      </c>
      <c r="H248" s="5">
        <v>1.1221943235355445</v>
      </c>
      <c r="I248" s="9" t="b">
        <v>1</v>
      </c>
      <c r="J248" s="9" t="b">
        <v>1</v>
      </c>
    </row>
    <row r="249" ht="15.75" customHeight="1">
      <c r="A249" s="5">
        <v>10.0</v>
      </c>
      <c r="B249" s="5">
        <v>20231.0</v>
      </c>
      <c r="C249" s="5">
        <v>103.60780625952025</v>
      </c>
      <c r="D249" s="5">
        <v>109.61854684671384</v>
      </c>
      <c r="E249" s="5">
        <v>3.6078062595202454</v>
      </c>
      <c r="F249" s="5">
        <v>9.61854684671384</v>
      </c>
      <c r="G249" s="5">
        <v>11.770939090022248</v>
      </c>
      <c r="H249" s="5">
        <v>2.152392243308407</v>
      </c>
      <c r="I249" s="9" t="b">
        <v>1</v>
      </c>
      <c r="J249" s="9" t="b">
        <v>0</v>
      </c>
    </row>
    <row r="250" ht="15.75" customHeight="1">
      <c r="A250" s="5">
        <v>11.0</v>
      </c>
      <c r="B250" s="5">
        <v>20231.0</v>
      </c>
      <c r="C250" s="5">
        <v>100.28299303209631</v>
      </c>
      <c r="D250" s="5">
        <v>104.85282932153976</v>
      </c>
      <c r="E250" s="5">
        <v>0.2829930320963143</v>
      </c>
      <c r="F250" s="5">
        <v>4.852829321539758</v>
      </c>
      <c r="G250" s="5">
        <v>6.6205846728452755</v>
      </c>
      <c r="H250" s="5">
        <v>1.7677553513055173</v>
      </c>
      <c r="I250" s="9" t="b">
        <v>1</v>
      </c>
      <c r="J250" s="9" t="b">
        <v>0</v>
      </c>
    </row>
    <row r="251" ht="15.75" customHeight="1">
      <c r="A251" s="5">
        <v>12.0</v>
      </c>
      <c r="B251" s="5">
        <v>20231.0</v>
      </c>
      <c r="C251" s="5">
        <v>100.43997485857952</v>
      </c>
      <c r="D251" s="5">
        <v>102.89761751448808</v>
      </c>
      <c r="E251" s="5">
        <v>0.439974858579518</v>
      </c>
      <c r="F251" s="5">
        <v>2.8976175144880756</v>
      </c>
      <c r="G251" s="5">
        <v>5.614746949724592</v>
      </c>
      <c r="H251" s="5">
        <v>2.717129435236516</v>
      </c>
      <c r="I251" s="9" t="b">
        <v>1</v>
      </c>
      <c r="J251" s="9" t="b">
        <v>0</v>
      </c>
    </row>
    <row r="252" ht="15.75" customHeight="1">
      <c r="A252" s="5">
        <v>13.0</v>
      </c>
      <c r="B252" s="5">
        <v>20231.0</v>
      </c>
      <c r="C252" s="5">
        <v>97.3859388169974</v>
      </c>
      <c r="D252" s="5">
        <v>103.37630248547728</v>
      </c>
      <c r="E252" s="5">
        <v>-2.6140611830026046</v>
      </c>
      <c r="F252" s="5">
        <v>3.3763024854772823</v>
      </c>
      <c r="G252" s="5">
        <v>2.013382570475164</v>
      </c>
      <c r="H252" s="5">
        <v>-1.3629199150021183</v>
      </c>
      <c r="I252" s="9" t="b">
        <v>1</v>
      </c>
      <c r="J252" s="9" t="b">
        <v>0</v>
      </c>
    </row>
    <row r="253" ht="15.75" customHeight="1">
      <c r="A253" s="5">
        <v>14.0</v>
      </c>
      <c r="B253" s="5">
        <v>20231.0</v>
      </c>
      <c r="C253" s="5">
        <v>98.19808717310671</v>
      </c>
      <c r="D253" s="5">
        <v>99.82140783923133</v>
      </c>
      <c r="E253" s="5">
        <v>-1.801912826893286</v>
      </c>
      <c r="F253" s="5">
        <v>-0.17859216076867312</v>
      </c>
      <c r="G253" s="5">
        <v>5.789610446901561</v>
      </c>
      <c r="H253" s="5">
        <v>5.968202607670234</v>
      </c>
      <c r="I253" s="9" t="b">
        <v>1</v>
      </c>
      <c r="J253" s="9" t="b">
        <v>1</v>
      </c>
    </row>
    <row r="254" ht="15.75" customHeight="1">
      <c r="A254" s="5">
        <v>15.0</v>
      </c>
      <c r="B254" s="5">
        <v>20231.0</v>
      </c>
      <c r="C254" s="5">
        <v>99.8401219919228</v>
      </c>
      <c r="D254" s="5">
        <v>112.93473033127688</v>
      </c>
      <c r="E254" s="5">
        <v>-0.1598780080772002</v>
      </c>
      <c r="F254" s="5">
        <v>12.934730331276882</v>
      </c>
      <c r="G254" s="5">
        <v>5.444570196327203</v>
      </c>
      <c r="H254" s="5">
        <v>-7.4901601349496785</v>
      </c>
      <c r="I254" s="9" t="b">
        <v>1</v>
      </c>
      <c r="J254" s="9" t="b">
        <v>0</v>
      </c>
    </row>
    <row r="255" ht="15.75" customHeight="1">
      <c r="A255" s="5">
        <v>16.0</v>
      </c>
      <c r="B255" s="5">
        <v>20231.0</v>
      </c>
      <c r="C255" s="5">
        <v>105.27830645711867</v>
      </c>
      <c r="D255" s="5">
        <v>115.2701798190526</v>
      </c>
      <c r="E255" s="5">
        <v>5.278306457118674</v>
      </c>
      <c r="F255" s="5">
        <v>15.2701798190526</v>
      </c>
      <c r="G255" s="5">
        <v>11.871193069349918</v>
      </c>
      <c r="H255" s="5">
        <v>-3.398986749702683</v>
      </c>
      <c r="I255" s="9" t="b">
        <v>1</v>
      </c>
      <c r="J255" s="9" t="b">
        <v>0</v>
      </c>
    </row>
    <row r="256" ht="15.75" customHeight="1">
      <c r="A256" s="5">
        <v>17.0</v>
      </c>
      <c r="B256" s="5">
        <v>20231.0</v>
      </c>
      <c r="C256" s="5">
        <v>102.55721696673788</v>
      </c>
      <c r="D256" s="5">
        <v>104.52198793307208</v>
      </c>
      <c r="E256" s="5">
        <v>2.557216966737883</v>
      </c>
      <c r="F256" s="5">
        <v>4.521987933072083</v>
      </c>
      <c r="G256" s="5">
        <v>5.1519983575818</v>
      </c>
      <c r="H256" s="5">
        <v>0.6300104245097167</v>
      </c>
      <c r="I256" s="9" t="b">
        <v>1</v>
      </c>
      <c r="J256" s="9" t="b">
        <v>0</v>
      </c>
    </row>
    <row r="257" ht="15.75" customHeight="1">
      <c r="A257" s="5">
        <v>1.0</v>
      </c>
      <c r="B257" s="5">
        <v>20241.0</v>
      </c>
      <c r="C257" s="5">
        <v>103.86447856008468</v>
      </c>
      <c r="D257" s="5">
        <v>111.986301369863</v>
      </c>
      <c r="E257" s="5">
        <v>3.8644785600846774</v>
      </c>
      <c r="F257" s="5">
        <v>11.986301369863</v>
      </c>
      <c r="G257" s="5">
        <v>14.466140053494003</v>
      </c>
      <c r="H257" s="5">
        <v>2.4798386836310033</v>
      </c>
      <c r="I257" s="9" t="b">
        <v>1</v>
      </c>
      <c r="J257" s="9" t="b">
        <v>0</v>
      </c>
    </row>
    <row r="258" ht="15.75" customHeight="1">
      <c r="A258" s="5">
        <v>2.0</v>
      </c>
      <c r="B258" s="5">
        <v>20241.0</v>
      </c>
      <c r="C258" s="5">
        <v>104.21760119716696</v>
      </c>
      <c r="D258" s="5">
        <v>114.48982888846602</v>
      </c>
      <c r="E258" s="5">
        <v>4.217601197166957</v>
      </c>
      <c r="F258" s="5">
        <v>14.489828888466022</v>
      </c>
      <c r="G258" s="5">
        <v>13.914077597740459</v>
      </c>
      <c r="H258" s="5">
        <v>-0.5757512907255631</v>
      </c>
      <c r="I258" s="9" t="b">
        <v>1</v>
      </c>
      <c r="J258" s="9" t="b">
        <v>0</v>
      </c>
    </row>
    <row r="259" ht="15.75" customHeight="1">
      <c r="A259" s="5">
        <v>5.0</v>
      </c>
      <c r="B259" s="5">
        <v>20241.0</v>
      </c>
      <c r="C259" s="5">
        <v>105.32193803389664</v>
      </c>
      <c r="D259" s="5">
        <v>115.12392617264057</v>
      </c>
      <c r="E259" s="5">
        <v>5.321938033896643</v>
      </c>
      <c r="F259" s="5">
        <v>15.123926172640566</v>
      </c>
      <c r="G259" s="5">
        <v>16.71268152691645</v>
      </c>
      <c r="H259" s="5">
        <v>1.5887553542758859</v>
      </c>
      <c r="I259" s="9" t="b">
        <v>1</v>
      </c>
      <c r="J259" s="9" t="b">
        <v>0</v>
      </c>
    </row>
    <row r="260" ht="15.75" customHeight="1">
      <c r="A260" s="5">
        <v>6.0</v>
      </c>
      <c r="B260" s="5">
        <v>20241.0</v>
      </c>
      <c r="C260" s="5">
        <v>103.90425159949204</v>
      </c>
      <c r="D260" s="5">
        <v>113.14700439933632</v>
      </c>
      <c r="E260" s="5">
        <v>3.904251599492042</v>
      </c>
      <c r="F260" s="5">
        <v>13.147004399336325</v>
      </c>
      <c r="G260" s="5">
        <v>15.948909034867897</v>
      </c>
      <c r="H260" s="5">
        <v>2.8019046355315727</v>
      </c>
      <c r="I260" s="9" t="b">
        <v>1</v>
      </c>
      <c r="J260" s="9" t="b">
        <v>0</v>
      </c>
    </row>
    <row r="261" ht="15.75" customHeight="1">
      <c r="A261" s="5">
        <v>7.0</v>
      </c>
      <c r="B261" s="5">
        <v>20241.0</v>
      </c>
      <c r="C261" s="5">
        <v>108.83334936323229</v>
      </c>
      <c r="D261" s="5">
        <v>122.71977170438728</v>
      </c>
      <c r="E261" s="5">
        <v>8.833349363232287</v>
      </c>
      <c r="F261" s="5">
        <v>22.719771704387284</v>
      </c>
      <c r="G261" s="5">
        <v>23.514375963871892</v>
      </c>
      <c r="H261" s="5">
        <v>0.7946042594846077</v>
      </c>
      <c r="I261" s="9" t="b">
        <v>1</v>
      </c>
      <c r="J261" s="9" t="b">
        <v>0</v>
      </c>
    </row>
    <row r="262" ht="15.75" customHeight="1">
      <c r="A262" s="5">
        <v>8.0</v>
      </c>
      <c r="B262" s="5">
        <v>20241.0</v>
      </c>
      <c r="C262" s="5">
        <v>106.69751170795011</v>
      </c>
      <c r="D262" s="5">
        <v>114.00494363055404</v>
      </c>
      <c r="E262" s="5">
        <v>6.697511707950113</v>
      </c>
      <c r="F262" s="5">
        <v>14.004943630554038</v>
      </c>
      <c r="G262" s="5">
        <v>17.13377839127268</v>
      </c>
      <c r="H262" s="5">
        <v>3.128834760718643</v>
      </c>
      <c r="I262" s="9" t="b">
        <v>1</v>
      </c>
      <c r="J262" s="9" t="b">
        <v>0</v>
      </c>
    </row>
    <row r="263" ht="15.75" customHeight="1">
      <c r="A263" s="5">
        <v>9.0</v>
      </c>
      <c r="B263" s="5">
        <v>20241.0</v>
      </c>
      <c r="C263" s="5">
        <v>103.9957378795951</v>
      </c>
      <c r="D263" s="5">
        <v>113.87826537888118</v>
      </c>
      <c r="E263" s="5">
        <v>3.9957378795950973</v>
      </c>
      <c r="F263" s="5">
        <v>13.878265378881181</v>
      </c>
      <c r="G263" s="5">
        <v>12.72025954857745</v>
      </c>
      <c r="H263" s="5">
        <v>-1.1580058303037308</v>
      </c>
      <c r="I263" s="9" t="b">
        <v>1</v>
      </c>
      <c r="J263" s="9" t="b">
        <v>0</v>
      </c>
    </row>
    <row r="264" ht="15.75" customHeight="1">
      <c r="A264" s="5">
        <v>10.0</v>
      </c>
      <c r="B264" s="5">
        <v>20241.0</v>
      </c>
      <c r="C264" s="5">
        <v>105.3452168061018</v>
      </c>
      <c r="D264" s="5">
        <v>114.569281180227</v>
      </c>
      <c r="E264" s="5">
        <v>5.345216806101803</v>
      </c>
      <c r="F264" s="5">
        <v>14.569281180226994</v>
      </c>
      <c r="G264" s="5">
        <v>18.32179786080095</v>
      </c>
      <c r="H264" s="5">
        <v>3.7525166805739545</v>
      </c>
      <c r="I264" s="9" t="b">
        <v>1</v>
      </c>
      <c r="J264" s="9" t="b">
        <v>0</v>
      </c>
    </row>
    <row r="265" ht="15.75" customHeight="1">
      <c r="A265" s="5">
        <v>11.0</v>
      </c>
      <c r="B265" s="5">
        <v>20241.0</v>
      </c>
      <c r="C265" s="5">
        <v>104.44228910085572</v>
      </c>
      <c r="D265" s="5">
        <v>117.1201837400688</v>
      </c>
      <c r="E265" s="5">
        <v>4.442289100855717</v>
      </c>
      <c r="F265" s="5">
        <v>17.120183740068796</v>
      </c>
      <c r="G265" s="5">
        <v>17.543014199804997</v>
      </c>
      <c r="H265" s="5">
        <v>0.4228304597362005</v>
      </c>
      <c r="I265" s="9" t="b">
        <v>1</v>
      </c>
      <c r="J265" s="9" t="b">
        <v>0</v>
      </c>
    </row>
    <row r="266" ht="15.75" customHeight="1">
      <c r="A266" s="5">
        <v>12.0</v>
      </c>
      <c r="B266" s="5">
        <v>20241.0</v>
      </c>
      <c r="C266" s="5">
        <v>100.8017103153394</v>
      </c>
      <c r="D266" s="5">
        <v>118.02252816020024</v>
      </c>
      <c r="E266" s="5">
        <v>0.8017103153394061</v>
      </c>
      <c r="F266" s="5">
        <v>18.02252816020024</v>
      </c>
      <c r="G266" s="5">
        <v>15.772710756972575</v>
      </c>
      <c r="H266" s="5">
        <v>-2.249817403227663</v>
      </c>
      <c r="I266" s="9" t="b">
        <v>1</v>
      </c>
      <c r="J266" s="9" t="b">
        <v>0</v>
      </c>
    </row>
    <row r="267" ht="15.75" customHeight="1">
      <c r="A267" s="5">
        <v>13.0</v>
      </c>
      <c r="B267" s="5">
        <v>20241.0</v>
      </c>
      <c r="C267" s="5">
        <v>102.7704530733672</v>
      </c>
      <c r="D267" s="5">
        <v>112.05893433490506</v>
      </c>
      <c r="E267" s="5">
        <v>2.770453073367193</v>
      </c>
      <c r="F267" s="5">
        <v>12.05893433490506</v>
      </c>
      <c r="G267" s="5">
        <v>18.856217006896834</v>
      </c>
      <c r="H267" s="5">
        <v>6.797282671991773</v>
      </c>
      <c r="I267" s="9" t="b">
        <v>1</v>
      </c>
      <c r="J267" s="9" t="b">
        <v>0</v>
      </c>
    </row>
    <row r="268" ht="15.75" customHeight="1">
      <c r="A268" s="5">
        <v>14.0</v>
      </c>
      <c r="B268" s="5">
        <v>20241.0</v>
      </c>
      <c r="C268" s="5">
        <v>105.82236765043798</v>
      </c>
      <c r="D268" s="5">
        <v>119.17359696403996</v>
      </c>
      <c r="E268" s="5">
        <v>5.822367650437982</v>
      </c>
      <c r="F268" s="5">
        <v>19.17359696403996</v>
      </c>
      <c r="G268" s="5">
        <v>18.772747682154023</v>
      </c>
      <c r="H268" s="5">
        <v>-0.40084928188593594</v>
      </c>
      <c r="I268" s="9" t="b">
        <v>1</v>
      </c>
      <c r="J268" s="9" t="b">
        <v>0</v>
      </c>
    </row>
    <row r="269" ht="15.75" customHeight="1">
      <c r="A269" s="5">
        <v>15.0</v>
      </c>
      <c r="B269" s="5">
        <v>20241.0</v>
      </c>
      <c r="C269" s="5">
        <v>103.15453683345706</v>
      </c>
      <c r="D269" s="5">
        <v>114.81059192239846</v>
      </c>
      <c r="E269" s="5">
        <v>3.1545368334570583</v>
      </c>
      <c r="F269" s="5">
        <v>14.810591922398459</v>
      </c>
      <c r="G269" s="5">
        <v>18.092157933863582</v>
      </c>
      <c r="H269" s="5">
        <v>3.2815660114651237</v>
      </c>
      <c r="I269" s="9" t="b">
        <v>1</v>
      </c>
      <c r="J269" s="9" t="b">
        <v>0</v>
      </c>
    </row>
    <row r="270" ht="15.75" customHeight="1">
      <c r="A270" s="5">
        <v>16.0</v>
      </c>
      <c r="B270" s="5">
        <v>20241.0</v>
      </c>
      <c r="C270" s="5">
        <v>102.4228661823132</v>
      </c>
      <c r="D270" s="5">
        <v>111.49189678264136</v>
      </c>
      <c r="E270" s="5">
        <v>2.4228661823132</v>
      </c>
      <c r="F270" s="5">
        <v>11.491896782641362</v>
      </c>
      <c r="G270" s="5">
        <v>13.16578694994619</v>
      </c>
      <c r="H270" s="5">
        <v>1.6738901673048279</v>
      </c>
      <c r="I270" s="9" t="b">
        <v>1</v>
      </c>
      <c r="J270" s="9" t="b">
        <v>0</v>
      </c>
    </row>
    <row r="271" ht="15.75" customHeight="1">
      <c r="A271" s="5">
        <v>17.0</v>
      </c>
      <c r="B271" s="5">
        <v>20241.0</v>
      </c>
      <c r="C271" s="5">
        <v>107.63841807909604</v>
      </c>
      <c r="D271" s="5">
        <v>113.37776719828614</v>
      </c>
      <c r="E271" s="5">
        <v>7.638418079096041</v>
      </c>
      <c r="F271" s="5">
        <v>13.377767198286136</v>
      </c>
      <c r="G271" s="5">
        <v>14.769866164138868</v>
      </c>
      <c r="H271" s="5">
        <v>1.3920989658527319</v>
      </c>
      <c r="I271" s="9" t="b">
        <v>1</v>
      </c>
      <c r="J271" s="9" t="b">
        <v>0</v>
      </c>
    </row>
    <row r="272" ht="15.75" customHeight="1">
      <c r="A272" s="5">
        <v>1.0</v>
      </c>
      <c r="B272" s="5">
        <v>20251.0</v>
      </c>
      <c r="C272" s="5">
        <v>98.2191780821918</v>
      </c>
      <c r="D272" s="5">
        <v>109.63302752293578</v>
      </c>
      <c r="E272" s="5">
        <v>-1.780821917808197</v>
      </c>
      <c r="F272" s="5">
        <v>9.633027522935777</v>
      </c>
      <c r="G272" s="5">
        <v>14.49617433619721</v>
      </c>
      <c r="H272" s="5">
        <v>4.863146813261434</v>
      </c>
      <c r="I272" s="9" t="b">
        <v>1</v>
      </c>
      <c r="J272" s="9" t="b">
        <v>0</v>
      </c>
    </row>
    <row r="273" ht="15.75" customHeight="1">
      <c r="A273" s="5">
        <v>2.0</v>
      </c>
      <c r="B273" s="5">
        <v>20251.0</v>
      </c>
      <c r="C273" s="5">
        <v>105.88931384441987</v>
      </c>
      <c r="D273" s="5">
        <v>106.16598703169586</v>
      </c>
      <c r="E273" s="5">
        <v>5.889313844419874</v>
      </c>
      <c r="F273" s="5">
        <v>6.165987031695863</v>
      </c>
      <c r="G273" s="5">
        <v>1.8139110009134818</v>
      </c>
      <c r="H273" s="5">
        <v>-4.352076030782381</v>
      </c>
      <c r="I273" s="9" t="b">
        <v>1</v>
      </c>
      <c r="J273" s="9" t="b">
        <v>0</v>
      </c>
    </row>
    <row r="274" ht="15.75" customHeight="1">
      <c r="A274" s="5">
        <v>5.0</v>
      </c>
      <c r="B274" s="5">
        <v>20251.0</v>
      </c>
      <c r="C274" s="5">
        <v>97.81024023281006</v>
      </c>
      <c r="D274" s="5">
        <v>105.894574714846</v>
      </c>
      <c r="E274" s="5">
        <v>-2.1897597671899405</v>
      </c>
      <c r="F274" s="5">
        <v>5.8945747148460015</v>
      </c>
      <c r="G274" s="5">
        <v>6.507153167942592</v>
      </c>
      <c r="H274" s="5">
        <v>0.6125784530965905</v>
      </c>
      <c r="I274" s="9" t="b">
        <v>1</v>
      </c>
      <c r="J274" s="9" t="b">
        <v>0</v>
      </c>
    </row>
    <row r="275" ht="15.75" customHeight="1">
      <c r="A275" s="5">
        <v>6.0</v>
      </c>
      <c r="B275" s="5">
        <v>20251.0</v>
      </c>
      <c r="C275" s="5">
        <v>100.69945752080906</v>
      </c>
      <c r="D275" s="5">
        <v>112.77275374514966</v>
      </c>
      <c r="E275" s="5">
        <v>0.6994575208090623</v>
      </c>
      <c r="F275" s="5">
        <v>12.772753745149657</v>
      </c>
      <c r="G275" s="5">
        <v>10.183756518346332</v>
      </c>
      <c r="H275" s="5">
        <v>-2.5889972268033254</v>
      </c>
      <c r="I275" s="9" t="b">
        <v>1</v>
      </c>
      <c r="J275" s="9" t="b">
        <v>0</v>
      </c>
    </row>
    <row r="276" ht="15.75" customHeight="1">
      <c r="A276" s="5">
        <v>7.0</v>
      </c>
      <c r="B276" s="5">
        <v>20251.0</v>
      </c>
      <c r="C276" s="5">
        <v>100.53703066283497</v>
      </c>
      <c r="D276" s="5">
        <v>111.76628345134736</v>
      </c>
      <c r="E276" s="5">
        <v>0.5370306628349653</v>
      </c>
      <c r="F276" s="5">
        <v>11.766283451347363</v>
      </c>
      <c r="G276" s="5">
        <v>10.393171985012216</v>
      </c>
      <c r="H276" s="5">
        <v>-1.3731114663351462</v>
      </c>
      <c r="I276" s="9" t="b">
        <v>1</v>
      </c>
      <c r="J276" s="9" t="b">
        <v>0</v>
      </c>
    </row>
    <row r="277" ht="15.75" customHeight="1">
      <c r="A277" s="5">
        <v>8.0</v>
      </c>
      <c r="B277" s="5">
        <v>20251.0</v>
      </c>
      <c r="C277" s="5">
        <v>101.43216080402009</v>
      </c>
      <c r="D277" s="5">
        <v>106.74246430460074</v>
      </c>
      <c r="E277" s="5">
        <v>1.4321608040200857</v>
      </c>
      <c r="F277" s="5">
        <v>6.742464304600745</v>
      </c>
      <c r="G277" s="5">
        <v>10.579336431523512</v>
      </c>
      <c r="H277" s="5">
        <v>3.836872126922767</v>
      </c>
      <c r="I277" s="9" t="b">
        <v>1</v>
      </c>
      <c r="J277" s="9" t="b">
        <v>0</v>
      </c>
    </row>
    <row r="278" ht="15.75" customHeight="1">
      <c r="A278" s="5">
        <v>9.0</v>
      </c>
      <c r="B278" s="5">
        <v>20251.0</v>
      </c>
      <c r="C278" s="5">
        <v>101.53020562138038</v>
      </c>
      <c r="D278" s="5">
        <v>108.77163023679417</v>
      </c>
      <c r="E278" s="5">
        <v>1.5302056213803752</v>
      </c>
      <c r="F278" s="5">
        <v>8.771630236794167</v>
      </c>
      <c r="G278" s="5">
        <v>9.755330379132232</v>
      </c>
      <c r="H278" s="5">
        <v>0.9837001423380656</v>
      </c>
      <c r="I278" s="9" t="b">
        <v>1</v>
      </c>
      <c r="J278" s="9" t="b">
        <v>0</v>
      </c>
    </row>
    <row r="279" ht="15.75" customHeight="1">
      <c r="A279" s="5">
        <v>10.0</v>
      </c>
      <c r="B279" s="5">
        <v>20251.0</v>
      </c>
      <c r="C279" s="5">
        <v>104.82342399393492</v>
      </c>
      <c r="D279" s="5">
        <v>112.22927821687954</v>
      </c>
      <c r="E279" s="5">
        <v>4.823423993934924</v>
      </c>
      <c r="F279" s="5">
        <v>12.229278216879536</v>
      </c>
      <c r="G279" s="5">
        <v>11.471858654982437</v>
      </c>
      <c r="H279" s="5">
        <v>-0.7574195618970982</v>
      </c>
      <c r="I279" s="9" t="b">
        <v>1</v>
      </c>
      <c r="J279" s="9" t="b">
        <v>0</v>
      </c>
    </row>
    <row r="280" ht="15.75" customHeight="1">
      <c r="A280" s="5">
        <v>11.0</v>
      </c>
      <c r="B280" s="5">
        <v>20251.0</v>
      </c>
      <c r="C280" s="5">
        <v>98.43044097633684</v>
      </c>
      <c r="D280" s="5">
        <v>105.1628263158533</v>
      </c>
      <c r="E280" s="5">
        <v>-1.5695590236631602</v>
      </c>
      <c r="F280" s="5">
        <v>5.1628263158532945</v>
      </c>
      <c r="G280" s="5">
        <v>8.268554970387232</v>
      </c>
      <c r="H280" s="5">
        <v>3.1057286545339373</v>
      </c>
      <c r="I280" s="9" t="b">
        <v>1</v>
      </c>
      <c r="J280" s="9" t="b">
        <v>0</v>
      </c>
    </row>
    <row r="281" ht="15.75" customHeight="1">
      <c r="A281" s="5">
        <v>12.0</v>
      </c>
      <c r="B281" s="5">
        <v>20251.0</v>
      </c>
      <c r="C281" s="5">
        <v>101.21836925960636</v>
      </c>
      <c r="D281" s="5">
        <v>114.52810180275716</v>
      </c>
      <c r="E281" s="5">
        <v>1.2183692596063622</v>
      </c>
      <c r="F281" s="5">
        <v>14.528101802757163</v>
      </c>
      <c r="G281" s="5">
        <v>14.087309954563532</v>
      </c>
      <c r="H281" s="5">
        <v>-0.4407918481936317</v>
      </c>
      <c r="I281" s="9" t="b">
        <v>1</v>
      </c>
      <c r="J281" s="9" t="b">
        <v>0</v>
      </c>
    </row>
    <row r="282" ht="15.75" customHeight="1">
      <c r="A282" s="5">
        <v>13.0</v>
      </c>
      <c r="B282" s="5">
        <v>20251.0</v>
      </c>
      <c r="C282" s="5">
        <v>99.16056204285285</v>
      </c>
      <c r="D282" s="5">
        <v>103.44407586970146</v>
      </c>
      <c r="E282" s="5">
        <v>-0.8394379571471546</v>
      </c>
      <c r="F282" s="5">
        <v>3.4440758697014644</v>
      </c>
      <c r="G282" s="5">
        <v>5.2536082747346</v>
      </c>
      <c r="H282" s="5">
        <v>1.8095324050331358</v>
      </c>
      <c r="I282" s="9" t="b">
        <v>1</v>
      </c>
      <c r="J282" s="9" t="b">
        <v>0</v>
      </c>
    </row>
    <row r="283" ht="15.75" customHeight="1">
      <c r="A283" s="5">
        <v>14.0</v>
      </c>
      <c r="B283" s="5">
        <v>20251.0</v>
      </c>
      <c r="C283" s="5">
        <v>100.59477424497996</v>
      </c>
      <c r="D283" s="5">
        <v>104.55011694523031</v>
      </c>
      <c r="E283" s="5">
        <v>0.5947742449799591</v>
      </c>
      <c r="F283" s="5">
        <v>4.5501169452303145</v>
      </c>
      <c r="G283" s="5">
        <v>9.511036350250347</v>
      </c>
      <c r="H283" s="5">
        <v>4.960919405020032</v>
      </c>
      <c r="I283" s="9" t="b">
        <v>1</v>
      </c>
      <c r="J283" s="9" t="b">
        <v>0</v>
      </c>
    </row>
    <row r="284" ht="15.75" customHeight="1">
      <c r="A284" s="5">
        <v>15.0</v>
      </c>
      <c r="B284" s="5">
        <v>20251.0</v>
      </c>
      <c r="C284" s="5">
        <v>97.35354608165744</v>
      </c>
      <c r="D284" s="5">
        <v>105.27902376024464</v>
      </c>
      <c r="E284" s="5">
        <v>-2.6464539183425586</v>
      </c>
      <c r="F284" s="5">
        <v>5.279023760244641</v>
      </c>
      <c r="G284" s="5">
        <v>7.412537361834404</v>
      </c>
      <c r="H284" s="5">
        <v>2.1335136015897627</v>
      </c>
      <c r="I284" s="9" t="b">
        <v>1</v>
      </c>
      <c r="J284" s="9" t="b">
        <v>0</v>
      </c>
    </row>
    <row r="285" ht="15.75" customHeight="1">
      <c r="A285" s="5">
        <v>16.0</v>
      </c>
      <c r="B285" s="5">
        <v>20251.0</v>
      </c>
      <c r="C285" s="5">
        <v>101.95003336330312</v>
      </c>
      <c r="D285" s="5">
        <v>108.61197281810615</v>
      </c>
      <c r="E285" s="5">
        <v>1.9500333633031204</v>
      </c>
      <c r="F285" s="5">
        <v>8.611972818106153</v>
      </c>
      <c r="G285" s="5">
        <v>9.333178345846417</v>
      </c>
      <c r="H285" s="5">
        <v>0.7212055277402634</v>
      </c>
      <c r="I285" s="9" t="b">
        <v>1</v>
      </c>
      <c r="J285" s="9" t="b">
        <v>0</v>
      </c>
    </row>
    <row r="286" ht="15.75" customHeight="1">
      <c r="A286" s="5">
        <v>17.0</v>
      </c>
      <c r="B286" s="5">
        <v>20251.0</v>
      </c>
      <c r="C286" s="5">
        <v>105.35301074715896</v>
      </c>
      <c r="D286" s="5">
        <v>107.5372664287214</v>
      </c>
      <c r="E286" s="5">
        <v>5.353010747158962</v>
      </c>
      <c r="F286" s="5">
        <v>7.537266428721395</v>
      </c>
      <c r="G286" s="5">
        <v>6.492454217924704</v>
      </c>
      <c r="H286" s="5">
        <v>-1.0448122107966915</v>
      </c>
      <c r="I286" s="9" t="b">
        <v>1</v>
      </c>
      <c r="J286" s="9" t="b">
        <v>0</v>
      </c>
    </row>
    <row r="287" ht="15.75" customHeight="1">
      <c r="A287" s="5">
        <v>1.0</v>
      </c>
      <c r="B287" s="5">
        <v>20261.0</v>
      </c>
      <c r="C287" s="5">
        <v>97.70536943552088</v>
      </c>
      <c r="D287" s="5">
        <v>98.977219897722</v>
      </c>
      <c r="E287" s="5">
        <v>-2.294630564479121</v>
      </c>
      <c r="F287" s="5">
        <v>-1.0227801022780056</v>
      </c>
      <c r="G287" s="5">
        <v>-4.312149224794027</v>
      </c>
      <c r="H287" s="5">
        <v>-3.289369122516021</v>
      </c>
      <c r="I287" s="9" t="b">
        <v>1</v>
      </c>
      <c r="J287" s="9" t="b">
        <v>0</v>
      </c>
    </row>
    <row r="288" ht="15.75" customHeight="1">
      <c r="A288" s="5">
        <v>2.0</v>
      </c>
      <c r="B288" s="5">
        <v>20261.0</v>
      </c>
      <c r="C288" s="5">
        <v>99.95002498750624</v>
      </c>
      <c r="D288" s="5">
        <v>102.6465046538746</v>
      </c>
      <c r="E288" s="5">
        <v>-0.04997501249376057</v>
      </c>
      <c r="F288" s="5">
        <v>2.646504653874601</v>
      </c>
      <c r="G288" s="5">
        <v>2.960779287362225</v>
      </c>
      <c r="H288" s="5">
        <v>0.3142746334876243</v>
      </c>
      <c r="I288" s="9" t="b">
        <v>1</v>
      </c>
      <c r="J288" s="9" t="b">
        <v>0</v>
      </c>
    </row>
    <row r="289" ht="15.75" customHeight="1">
      <c r="A289" s="5">
        <v>5.0</v>
      </c>
      <c r="B289" s="5">
        <v>20261.0</v>
      </c>
      <c r="C289" s="5">
        <v>99.64125894334175</v>
      </c>
      <c r="D289" s="5">
        <v>100.62037901477274</v>
      </c>
      <c r="E289" s="5">
        <v>-0.3587410566582463</v>
      </c>
      <c r="F289" s="5">
        <v>0.6203790147727375</v>
      </c>
      <c r="G289" s="5">
        <v>0.07621512456263968</v>
      </c>
      <c r="H289" s="5">
        <v>-0.5441638902100978</v>
      </c>
      <c r="I289" s="9" t="b">
        <v>1</v>
      </c>
      <c r="J289" s="9" t="b">
        <v>0</v>
      </c>
    </row>
    <row r="290" ht="15.75" customHeight="1">
      <c r="A290" s="5">
        <v>6.0</v>
      </c>
      <c r="B290" s="5">
        <v>20261.0</v>
      </c>
      <c r="C290" s="5">
        <v>103.58602610248182</v>
      </c>
      <c r="D290" s="5">
        <v>102.27018164278748</v>
      </c>
      <c r="E290" s="5">
        <v>3.5860261024818243</v>
      </c>
      <c r="F290" s="5">
        <v>2.2701816427874775</v>
      </c>
      <c r="G290" s="5">
        <v>0.3033851595475978</v>
      </c>
      <c r="H290" s="5">
        <v>-1.9667964832398797</v>
      </c>
      <c r="I290" s="9" t="b">
        <v>1</v>
      </c>
      <c r="J290" s="9" t="b">
        <v>0</v>
      </c>
    </row>
    <row r="291" ht="15.75" customHeight="1">
      <c r="A291" s="5">
        <v>7.0</v>
      </c>
      <c r="B291" s="5">
        <v>20261.0</v>
      </c>
      <c r="C291" s="5">
        <v>99.73738840941073</v>
      </c>
      <c r="D291" s="5">
        <v>99.68729953099952</v>
      </c>
      <c r="E291" s="5">
        <v>-0.2626115905892732</v>
      </c>
      <c r="F291" s="5">
        <v>-0.3127004690004753</v>
      </c>
      <c r="G291" s="5">
        <v>-0.22349051849187562</v>
      </c>
      <c r="H291" s="5">
        <v>0.0892099505085997</v>
      </c>
      <c r="I291" s="9" t="b">
        <v>1</v>
      </c>
      <c r="J291" s="9" t="b">
        <v>0</v>
      </c>
    </row>
    <row r="292" ht="15.75" customHeight="1">
      <c r="A292" s="5">
        <v>8.0</v>
      </c>
      <c r="B292" s="5">
        <v>20261.0</v>
      </c>
      <c r="C292" s="5">
        <v>99.70760233918128</v>
      </c>
      <c r="D292" s="5">
        <v>101.3623978201635</v>
      </c>
      <c r="E292" s="5">
        <v>-0.29239766081872176</v>
      </c>
      <c r="F292" s="5">
        <v>1.362397820163494</v>
      </c>
      <c r="G292" s="5">
        <v>0.44753629465210665</v>
      </c>
      <c r="H292" s="5">
        <v>-0.9148615255113874</v>
      </c>
      <c r="I292" s="9" t="b">
        <v>1</v>
      </c>
      <c r="J292" s="9" t="b">
        <v>0</v>
      </c>
    </row>
    <row r="293" ht="15.75" customHeight="1">
      <c r="A293" s="5">
        <v>9.0</v>
      </c>
      <c r="B293" s="5">
        <v>20261.0</v>
      </c>
      <c r="C293" s="5">
        <v>100.12714234857349</v>
      </c>
      <c r="D293" s="5">
        <v>103.02998587053222</v>
      </c>
      <c r="E293" s="5">
        <v>0.12714234857348572</v>
      </c>
      <c r="F293" s="5">
        <v>3.029985870532215</v>
      </c>
      <c r="G293" s="5">
        <v>3.4569326371970632</v>
      </c>
      <c r="H293" s="5">
        <v>0.4269467666648481</v>
      </c>
      <c r="I293" s="9" t="b">
        <v>1</v>
      </c>
      <c r="J293" s="9" t="b">
        <v>0</v>
      </c>
    </row>
    <row r="294" ht="15.75" customHeight="1">
      <c r="A294" s="5">
        <v>10.0</v>
      </c>
      <c r="B294" s="5">
        <v>20261.0</v>
      </c>
      <c r="C294" s="5">
        <v>101.994315644466</v>
      </c>
      <c r="D294" s="5">
        <v>102.43551678616411</v>
      </c>
      <c r="E294" s="5">
        <v>1.994315644465999</v>
      </c>
      <c r="F294" s="5">
        <v>2.435516786164115</v>
      </c>
      <c r="G294" s="5">
        <v>2.425187224375014</v>
      </c>
      <c r="H294" s="5">
        <v>-0.01032956178910105</v>
      </c>
      <c r="I294" s="9" t="b">
        <v>1</v>
      </c>
      <c r="J294" s="9" t="b">
        <v>0</v>
      </c>
    </row>
    <row r="295" ht="15.75" customHeight="1">
      <c r="A295" s="5">
        <v>11.0</v>
      </c>
      <c r="B295" s="5">
        <v>20261.0</v>
      </c>
      <c r="C295" s="5">
        <v>99.92604876251326</v>
      </c>
      <c r="D295" s="5">
        <v>102.15386959006264</v>
      </c>
      <c r="E295" s="5">
        <v>-0.07395123748673882</v>
      </c>
      <c r="F295" s="5">
        <v>2.153869590062641</v>
      </c>
      <c r="G295" s="5">
        <v>2.0445276020185643</v>
      </c>
      <c r="H295" s="5">
        <v>-0.10934198804407647</v>
      </c>
      <c r="I295" s="9" t="b">
        <v>1</v>
      </c>
      <c r="J295" s="9" t="b">
        <v>0</v>
      </c>
    </row>
    <row r="296" ht="15.75" customHeight="1">
      <c r="A296" s="5">
        <v>12.0</v>
      </c>
      <c r="B296" s="5">
        <v>20261.0</v>
      </c>
      <c r="C296" s="5">
        <v>105.411877394636</v>
      </c>
      <c r="D296" s="5">
        <v>101.89814814814817</v>
      </c>
      <c r="E296" s="5">
        <v>5.411877394635994</v>
      </c>
      <c r="F296" s="5">
        <v>1.8981481481481666</v>
      </c>
      <c r="G296" s="5">
        <v>2.079080507892317</v>
      </c>
      <c r="H296" s="5">
        <v>0.18093235974415034</v>
      </c>
      <c r="I296" s="9" t="b">
        <v>1</v>
      </c>
      <c r="J296" s="9" t="b">
        <v>0</v>
      </c>
    </row>
    <row r="297" ht="15.75" customHeight="1">
      <c r="A297" s="5">
        <v>13.0</v>
      </c>
      <c r="B297" s="5">
        <v>20261.0</v>
      </c>
      <c r="C297" s="5">
        <v>101.60099497185224</v>
      </c>
      <c r="D297" s="5">
        <v>104.20285932362896</v>
      </c>
      <c r="E297" s="5">
        <v>1.600994971852245</v>
      </c>
      <c r="F297" s="5">
        <v>4.202859323628957</v>
      </c>
      <c r="G297" s="5">
        <v>1.9557202950662544</v>
      </c>
      <c r="H297" s="5">
        <v>-2.247139028562702</v>
      </c>
      <c r="I297" s="9" t="b">
        <v>1</v>
      </c>
      <c r="J297" s="9" t="b">
        <v>0</v>
      </c>
    </row>
    <row r="298" ht="15.75" customHeight="1">
      <c r="A298" s="5">
        <v>14.0</v>
      </c>
      <c r="B298" s="5">
        <v>20261.0</v>
      </c>
      <c r="C298" s="5">
        <v>101.58674611625813</v>
      </c>
      <c r="D298" s="5">
        <v>102.7669784498958</v>
      </c>
      <c r="E298" s="5">
        <v>1.5867461162581264</v>
      </c>
      <c r="F298" s="5">
        <v>2.7669784498958023</v>
      </c>
      <c r="G298" s="5">
        <v>-0.955791396934691</v>
      </c>
      <c r="H298" s="5">
        <v>-3.7227698468304933</v>
      </c>
      <c r="I298" s="9" t="b">
        <v>1</v>
      </c>
      <c r="J298" s="9" t="b">
        <v>1</v>
      </c>
    </row>
    <row r="299" ht="15.75" customHeight="1">
      <c r="A299" s="5">
        <v>15.0</v>
      </c>
      <c r="B299" s="5">
        <v>20261.0</v>
      </c>
      <c r="C299" s="5">
        <v>101.33186090208152</v>
      </c>
      <c r="D299" s="5">
        <v>101.55054202299812</v>
      </c>
      <c r="E299" s="5">
        <v>1.331860902081516</v>
      </c>
      <c r="F299" s="5">
        <v>1.5505420229981155</v>
      </c>
      <c r="G299" s="5">
        <v>-0.33745727430624095</v>
      </c>
      <c r="H299" s="5">
        <v>-1.8879992973043564</v>
      </c>
      <c r="I299" s="9" t="b">
        <v>1</v>
      </c>
      <c r="J299" s="9" t="b">
        <v>1</v>
      </c>
    </row>
    <row r="300" ht="15.75" customHeight="1">
      <c r="A300" s="5">
        <v>16.0</v>
      </c>
      <c r="B300" s="5">
        <v>20261.0</v>
      </c>
      <c r="C300" s="5">
        <v>94.54518166786556</v>
      </c>
      <c r="D300" s="5">
        <v>107.33050308386218</v>
      </c>
      <c r="E300" s="5">
        <v>-5.454818332134437</v>
      </c>
      <c r="F300" s="5">
        <v>7.330503083862183</v>
      </c>
      <c r="G300" s="5">
        <v>8.43517194585852</v>
      </c>
      <c r="H300" s="5">
        <v>1.1046688619963376</v>
      </c>
      <c r="I300" s="9" t="b">
        <v>1</v>
      </c>
      <c r="J300" s="9" t="b">
        <v>0</v>
      </c>
    </row>
    <row r="301" ht="15.75" customHeight="1">
      <c r="A301" s="5">
        <v>17.0</v>
      </c>
      <c r="B301" s="5">
        <v>20261.0</v>
      </c>
      <c r="C301" s="5">
        <v>101.18421191260414</v>
      </c>
      <c r="D301" s="5">
        <v>102.82386235945032</v>
      </c>
      <c r="E301" s="5">
        <v>1.184211912604141</v>
      </c>
      <c r="F301" s="5">
        <v>2.8238623594503167</v>
      </c>
      <c r="G301" s="5">
        <v>-0.4889400304811886</v>
      </c>
      <c r="H301" s="5">
        <v>-3.3128023899315053</v>
      </c>
      <c r="I301" s="9" t="b">
        <v>1</v>
      </c>
      <c r="J301" s="9" t="b">
        <v>1</v>
      </c>
    </row>
    <row r="302" ht="15.75" customHeight="1">
      <c r="A302" s="5">
        <v>1.0</v>
      </c>
      <c r="B302" s="5">
        <v>20072.0</v>
      </c>
      <c r="C302" s="5">
        <v>119.81837728081068</v>
      </c>
      <c r="E302" s="5">
        <v>19.81837728081068</v>
      </c>
      <c r="I302" s="9" t="b">
        <v>0</v>
      </c>
      <c r="J302" s="9" t="b">
        <v>0</v>
      </c>
    </row>
    <row r="303" ht="15.75" customHeight="1">
      <c r="A303" s="5">
        <v>2.0</v>
      </c>
      <c r="B303" s="5">
        <v>20072.0</v>
      </c>
      <c r="C303" s="5">
        <v>105.5621301775148</v>
      </c>
      <c r="E303" s="5">
        <v>5.562130177514803</v>
      </c>
      <c r="I303" s="9" t="b">
        <v>0</v>
      </c>
      <c r="J303" s="9" t="b">
        <v>0</v>
      </c>
    </row>
    <row r="304" ht="15.75" customHeight="1">
      <c r="A304" s="5">
        <v>5.0</v>
      </c>
      <c r="B304" s="5">
        <v>20072.0</v>
      </c>
      <c r="C304" s="5">
        <v>124.92290043938866</v>
      </c>
      <c r="E304" s="5">
        <v>24.922900439388656</v>
      </c>
      <c r="I304" s="9" t="b">
        <v>0</v>
      </c>
      <c r="J304" s="9" t="b">
        <v>0</v>
      </c>
    </row>
    <row r="305" ht="15.75" customHeight="1">
      <c r="A305" s="5">
        <v>6.0</v>
      </c>
      <c r="B305" s="5">
        <v>20072.0</v>
      </c>
      <c r="C305" s="5">
        <v>119.82297356421716</v>
      </c>
      <c r="E305" s="5">
        <v>19.822973564217165</v>
      </c>
      <c r="I305" s="9" t="b">
        <v>0</v>
      </c>
      <c r="J305" s="9" t="b">
        <v>0</v>
      </c>
    </row>
    <row r="306" ht="15.75" customHeight="1">
      <c r="A306" s="5">
        <v>7.0</v>
      </c>
      <c r="B306" s="5">
        <v>20072.0</v>
      </c>
      <c r="C306" s="5">
        <v>116.65297124606676</v>
      </c>
      <c r="E306" s="5">
        <v>16.652971246066755</v>
      </c>
      <c r="I306" s="9" t="b">
        <v>0</v>
      </c>
      <c r="J306" s="9" t="b">
        <v>0</v>
      </c>
    </row>
    <row r="307" ht="15.75" customHeight="1">
      <c r="A307" s="5">
        <v>8.0</v>
      </c>
      <c r="B307" s="5">
        <v>20072.0</v>
      </c>
      <c r="C307" s="5">
        <v>114.6200184771044</v>
      </c>
      <c r="E307" s="5">
        <v>14.620018477104395</v>
      </c>
      <c r="I307" s="9" t="b">
        <v>0</v>
      </c>
      <c r="J307" s="9" t="b">
        <v>0</v>
      </c>
    </row>
    <row r="308" ht="15.75" customHeight="1">
      <c r="A308" s="5">
        <v>9.0</v>
      </c>
      <c r="B308" s="5">
        <v>20072.0</v>
      </c>
      <c r="C308" s="5">
        <v>115.7718358142493</v>
      </c>
      <c r="E308" s="5">
        <v>15.7718358142493</v>
      </c>
      <c r="I308" s="9" t="b">
        <v>0</v>
      </c>
      <c r="J308" s="9" t="b">
        <v>0</v>
      </c>
    </row>
    <row r="309" ht="15.75" customHeight="1">
      <c r="A309" s="5">
        <v>10.0</v>
      </c>
      <c r="B309" s="5">
        <v>20072.0</v>
      </c>
      <c r="I309" s="9" t="b">
        <v>0</v>
      </c>
      <c r="J309" s="9" t="b">
        <v>0</v>
      </c>
    </row>
    <row r="310" ht="15.75" customHeight="1">
      <c r="A310" s="5">
        <v>11.0</v>
      </c>
      <c r="B310" s="5">
        <v>20072.0</v>
      </c>
      <c r="C310" s="5">
        <v>134.29752066115702</v>
      </c>
      <c r="E310" s="5">
        <v>34.29752066115702</v>
      </c>
      <c r="I310" s="9" t="b">
        <v>0</v>
      </c>
      <c r="J310" s="9" t="b">
        <v>0</v>
      </c>
    </row>
    <row r="311" ht="15.75" customHeight="1">
      <c r="A311" s="5">
        <v>12.0</v>
      </c>
      <c r="B311" s="5">
        <v>20072.0</v>
      </c>
      <c r="C311" s="5">
        <v>109.67007963594996</v>
      </c>
      <c r="E311" s="5">
        <v>9.67007963594996</v>
      </c>
      <c r="I311" s="9" t="b">
        <v>0</v>
      </c>
      <c r="J311" s="9" t="b">
        <v>0</v>
      </c>
    </row>
    <row r="312" ht="15.75" customHeight="1">
      <c r="A312" s="5">
        <v>13.0</v>
      </c>
      <c r="B312" s="5">
        <v>20072.0</v>
      </c>
      <c r="C312" s="5">
        <v>105.3658590236992</v>
      </c>
      <c r="E312" s="5">
        <v>5.365859023699201</v>
      </c>
      <c r="I312" s="9" t="b">
        <v>0</v>
      </c>
      <c r="J312" s="9" t="b">
        <v>0</v>
      </c>
    </row>
    <row r="313" ht="15.75" customHeight="1">
      <c r="A313" s="5">
        <v>14.0</v>
      </c>
      <c r="B313" s="5">
        <v>20072.0</v>
      </c>
      <c r="C313" s="5">
        <v>109.49883918502718</v>
      </c>
      <c r="E313" s="5">
        <v>9.49883918502718</v>
      </c>
      <c r="I313" s="9" t="b">
        <v>0</v>
      </c>
      <c r="J313" s="9" t="b">
        <v>0</v>
      </c>
    </row>
    <row r="314" ht="15.75" customHeight="1">
      <c r="A314" s="5">
        <v>15.0</v>
      </c>
      <c r="B314" s="5">
        <v>20072.0</v>
      </c>
      <c r="C314" s="5">
        <v>108.73004495589583</v>
      </c>
      <c r="E314" s="5">
        <v>8.730044955895835</v>
      </c>
      <c r="I314" s="9" t="b">
        <v>0</v>
      </c>
      <c r="J314" s="9" t="b">
        <v>0</v>
      </c>
    </row>
    <row r="315" ht="15.75" customHeight="1">
      <c r="A315" s="5">
        <v>16.0</v>
      </c>
      <c r="B315" s="5">
        <v>20072.0</v>
      </c>
      <c r="C315" s="5">
        <v>121.75673148306296</v>
      </c>
      <c r="E315" s="5">
        <v>21.756731483062964</v>
      </c>
      <c r="I315" s="9" t="b">
        <v>0</v>
      </c>
      <c r="J315" s="9" t="b">
        <v>0</v>
      </c>
    </row>
    <row r="316" ht="15.75" customHeight="1">
      <c r="A316" s="5">
        <v>17.0</v>
      </c>
      <c r="B316" s="5">
        <v>20072.0</v>
      </c>
      <c r="C316" s="5">
        <v>106.7139966472766</v>
      </c>
      <c r="E316" s="5">
        <v>6.713996647276602</v>
      </c>
      <c r="I316" s="9" t="b">
        <v>0</v>
      </c>
      <c r="J316" s="9" t="b">
        <v>0</v>
      </c>
    </row>
    <row r="317" ht="15.75" customHeight="1">
      <c r="A317" s="5">
        <v>1.0</v>
      </c>
      <c r="B317" s="5">
        <v>20082.0</v>
      </c>
      <c r="C317" s="5">
        <v>97.67855392710324</v>
      </c>
      <c r="D317" s="5">
        <v>101.29280143668964</v>
      </c>
      <c r="E317" s="5">
        <v>-2.3214460728967623</v>
      </c>
      <c r="F317" s="5">
        <v>1.2928014366896434</v>
      </c>
      <c r="G317" s="5">
        <v>14.584722236722092</v>
      </c>
      <c r="H317" s="5">
        <v>13.291920800032448</v>
      </c>
      <c r="I317" s="9" t="b">
        <v>1</v>
      </c>
      <c r="J317" s="9" t="b">
        <v>0</v>
      </c>
    </row>
    <row r="318" ht="15.75" customHeight="1">
      <c r="A318" s="5">
        <v>2.0</v>
      </c>
      <c r="B318" s="5">
        <v>20082.0</v>
      </c>
      <c r="C318" s="5">
        <v>103.88446215139442</v>
      </c>
      <c r="D318" s="5">
        <v>116.92825112107624</v>
      </c>
      <c r="E318" s="5">
        <v>3.884462151394416</v>
      </c>
      <c r="F318" s="5">
        <v>16.928251121076244</v>
      </c>
      <c r="G318" s="5">
        <v>4.424416829970568</v>
      </c>
      <c r="H318" s="5">
        <v>-12.503834291105676</v>
      </c>
      <c r="I318" s="9" t="b">
        <v>1</v>
      </c>
      <c r="J318" s="9" t="b">
        <v>0</v>
      </c>
    </row>
    <row r="319" ht="15.75" customHeight="1">
      <c r="A319" s="5">
        <v>5.0</v>
      </c>
      <c r="B319" s="5">
        <v>20082.0</v>
      </c>
      <c r="C319" s="5">
        <v>148.65392388722978</v>
      </c>
      <c r="D319" s="5">
        <v>124.93225671470114</v>
      </c>
      <c r="E319" s="5">
        <v>48.65392388722978</v>
      </c>
      <c r="F319" s="5">
        <v>24.93225671470114</v>
      </c>
      <c r="G319" s="5">
        <v>22.971177820007682</v>
      </c>
      <c r="H319" s="5">
        <v>-1.9610788946934576</v>
      </c>
      <c r="I319" s="9" t="b">
        <v>1</v>
      </c>
      <c r="J319" s="9" t="b">
        <v>0</v>
      </c>
    </row>
    <row r="320" ht="15.75" customHeight="1">
      <c r="A320" s="5">
        <v>6.0</v>
      </c>
      <c r="B320" s="5">
        <v>20082.0</v>
      </c>
      <c r="C320" s="5">
        <v>105.2168770268461</v>
      </c>
      <c r="D320" s="5">
        <v>119.11924188524604</v>
      </c>
      <c r="E320" s="5">
        <v>5.216877026846106</v>
      </c>
      <c r="F320" s="5">
        <v>19.11924188524604</v>
      </c>
      <c r="G320" s="5">
        <v>12.136608474269739</v>
      </c>
      <c r="H320" s="5">
        <v>-6.982633410976302</v>
      </c>
      <c r="I320" s="9" t="b">
        <v>1</v>
      </c>
      <c r="J320" s="9" t="b">
        <v>0</v>
      </c>
    </row>
    <row r="321" ht="15.75" customHeight="1">
      <c r="A321" s="5">
        <v>7.0</v>
      </c>
      <c r="B321" s="5">
        <v>20082.0</v>
      </c>
      <c r="C321" s="5">
        <v>102.1619935658482</v>
      </c>
      <c r="D321" s="5">
        <v>93.8894823152889</v>
      </c>
      <c r="E321" s="5">
        <v>2.1619935658482063</v>
      </c>
      <c r="F321" s="5">
        <v>-6.110517684711098</v>
      </c>
      <c r="G321" s="5">
        <v>-5.0142700025086135</v>
      </c>
      <c r="H321" s="5">
        <v>1.0962476822024847</v>
      </c>
      <c r="I321" s="9" t="b">
        <v>1</v>
      </c>
      <c r="J321" s="9" t="b">
        <v>0</v>
      </c>
    </row>
    <row r="322" ht="15.75" customHeight="1">
      <c r="A322" s="5">
        <v>8.0</v>
      </c>
      <c r="B322" s="5">
        <v>20082.0</v>
      </c>
      <c r="C322" s="5">
        <v>103.86908703841348</v>
      </c>
      <c r="D322" s="5">
        <v>123.15962705386072</v>
      </c>
      <c r="E322" s="5">
        <v>3.8690870384134826</v>
      </c>
      <c r="F322" s="5">
        <v>23.159627053860717</v>
      </c>
      <c r="G322" s="5">
        <v>20.236362901432937</v>
      </c>
      <c r="H322" s="5">
        <v>-2.9232641524277803</v>
      </c>
      <c r="I322" s="9" t="b">
        <v>1</v>
      </c>
      <c r="J322" s="9" t="b">
        <v>0</v>
      </c>
    </row>
    <row r="323" ht="15.75" customHeight="1">
      <c r="A323" s="5">
        <v>9.0</v>
      </c>
      <c r="B323" s="5">
        <v>20082.0</v>
      </c>
      <c r="C323" s="5">
        <v>95.15741647153256</v>
      </c>
      <c r="D323" s="5">
        <v>106.75731871664298</v>
      </c>
      <c r="E323" s="5">
        <v>-4.842583528467443</v>
      </c>
      <c r="F323" s="5">
        <v>6.757318716642985</v>
      </c>
      <c r="G323" s="5">
        <v>0.0700326043030941</v>
      </c>
      <c r="H323" s="5">
        <v>-6.687286112339891</v>
      </c>
      <c r="I323" s="9" t="b">
        <v>1</v>
      </c>
      <c r="J323" s="9" t="b">
        <v>0</v>
      </c>
    </row>
    <row r="324" ht="15.75" customHeight="1">
      <c r="A324" s="5">
        <v>10.0</v>
      </c>
      <c r="B324" s="5">
        <v>20082.0</v>
      </c>
      <c r="C324" s="5">
        <v>101.86363060899129</v>
      </c>
      <c r="D324" s="5">
        <v>101.24063820004667</v>
      </c>
      <c r="E324" s="5">
        <v>1.8636306089912864</v>
      </c>
      <c r="F324" s="5">
        <v>1.240638200046675</v>
      </c>
      <c r="G324" s="5">
        <v>-3.805332071986034</v>
      </c>
      <c r="H324" s="5">
        <v>-5.045970272032709</v>
      </c>
      <c r="I324" s="9" t="b">
        <v>1</v>
      </c>
      <c r="J324" s="9" t="b">
        <v>1</v>
      </c>
    </row>
    <row r="325" ht="15.75" customHeight="1">
      <c r="A325" s="5">
        <v>11.0</v>
      </c>
      <c r="B325" s="5">
        <v>20082.0</v>
      </c>
      <c r="C325" s="5">
        <v>96.36015325670498</v>
      </c>
      <c r="D325" s="5">
        <v>103.17948717948715</v>
      </c>
      <c r="E325" s="5">
        <v>-3.639846743295024</v>
      </c>
      <c r="F325" s="5">
        <v>3.179487179487154</v>
      </c>
      <c r="G325" s="5">
        <v>6.08167968353428</v>
      </c>
      <c r="H325" s="5">
        <v>2.902192504047126</v>
      </c>
      <c r="I325" s="9" t="b">
        <v>1</v>
      </c>
      <c r="J325" s="9" t="b">
        <v>0</v>
      </c>
    </row>
    <row r="326" ht="15.75" customHeight="1">
      <c r="A326" s="5">
        <v>12.0</v>
      </c>
      <c r="B326" s="5">
        <v>20082.0</v>
      </c>
      <c r="C326" s="5">
        <v>102.18009478672984</v>
      </c>
      <c r="D326" s="5">
        <v>111.82572614107882</v>
      </c>
      <c r="E326" s="5">
        <v>2.180094786729839</v>
      </c>
      <c r="F326" s="5">
        <v>11.825726141078817</v>
      </c>
      <c r="G326" s="5">
        <v>4.235724599955004</v>
      </c>
      <c r="H326" s="5">
        <v>-7.590001541123813</v>
      </c>
      <c r="I326" s="9" t="b">
        <v>1</v>
      </c>
      <c r="J326" s="9" t="b">
        <v>0</v>
      </c>
    </row>
    <row r="327" ht="15.75" customHeight="1">
      <c r="A327" s="5">
        <v>13.0</v>
      </c>
      <c r="B327" s="5">
        <v>20082.0</v>
      </c>
      <c r="C327" s="5">
        <v>99.5389478928131</v>
      </c>
      <c r="D327" s="5">
        <v>110.66513928414696</v>
      </c>
      <c r="E327" s="5">
        <v>-0.4610521071869016</v>
      </c>
      <c r="F327" s="5">
        <v>10.66513928414696</v>
      </c>
      <c r="G327" s="5">
        <v>7.760622592173472</v>
      </c>
      <c r="H327" s="5">
        <v>-2.9045166919734884</v>
      </c>
      <c r="I327" s="9" t="b">
        <v>1</v>
      </c>
      <c r="J327" s="9" t="b">
        <v>0</v>
      </c>
    </row>
    <row r="328" ht="15.75" customHeight="1">
      <c r="A328" s="5">
        <v>14.0</v>
      </c>
      <c r="B328" s="5">
        <v>20082.0</v>
      </c>
      <c r="C328" s="5">
        <v>97.70592417972446</v>
      </c>
      <c r="D328" s="5">
        <v>101.33488447459362</v>
      </c>
      <c r="E328" s="5">
        <v>-2.2940758202755376</v>
      </c>
      <c r="F328" s="5">
        <v>1.334884474593622</v>
      </c>
      <c r="G328" s="5">
        <v>5.9925538075642715</v>
      </c>
      <c r="H328" s="5">
        <v>4.65766933297065</v>
      </c>
      <c r="I328" s="9" t="b">
        <v>1</v>
      </c>
      <c r="J328" s="9" t="b">
        <v>0</v>
      </c>
    </row>
    <row r="329" ht="15.75" customHeight="1">
      <c r="A329" s="5">
        <v>15.0</v>
      </c>
      <c r="B329" s="5">
        <v>20082.0</v>
      </c>
      <c r="C329" s="5">
        <v>101.10199230375557</v>
      </c>
      <c r="D329" s="5">
        <v>96.44979199735126</v>
      </c>
      <c r="E329" s="5">
        <v>1.1019923037555657</v>
      </c>
      <c r="F329" s="5">
        <v>-3.550208002648745</v>
      </c>
      <c r="G329" s="5">
        <v>-3.5101382388568747</v>
      </c>
      <c r="H329" s="5">
        <v>0.040069763791870106</v>
      </c>
      <c r="I329" s="9" t="b">
        <v>1</v>
      </c>
      <c r="J329" s="9" t="b">
        <v>0</v>
      </c>
    </row>
    <row r="330" ht="15.75" customHeight="1">
      <c r="A330" s="5">
        <v>16.0</v>
      </c>
      <c r="B330" s="5">
        <v>20082.0</v>
      </c>
      <c r="C330" s="5">
        <v>99.70562771666636</v>
      </c>
      <c r="D330" s="5">
        <v>111.87532737251654</v>
      </c>
      <c r="E330" s="5">
        <v>-0.29437228333364374</v>
      </c>
      <c r="F330" s="5">
        <v>11.875327372516537</v>
      </c>
      <c r="G330" s="5">
        <v>14.735935358507103</v>
      </c>
      <c r="H330" s="5">
        <v>2.8606079859905655</v>
      </c>
      <c r="I330" s="9" t="b">
        <v>1</v>
      </c>
      <c r="J330" s="9" t="b">
        <v>0</v>
      </c>
    </row>
    <row r="331" ht="15.75" customHeight="1">
      <c r="A331" s="5">
        <v>17.0</v>
      </c>
      <c r="B331" s="5">
        <v>20082.0</v>
      </c>
      <c r="C331" s="5">
        <v>98.9588190605898</v>
      </c>
      <c r="D331" s="5">
        <v>106.57671043274924</v>
      </c>
      <c r="E331" s="5">
        <v>-1.0411809394101965</v>
      </c>
      <c r="F331" s="5">
        <v>6.576710432749238</v>
      </c>
      <c r="G331" s="5">
        <v>6.345836834363094</v>
      </c>
      <c r="H331" s="5">
        <v>-0.2308735983861432</v>
      </c>
      <c r="I331" s="9" t="b">
        <v>1</v>
      </c>
      <c r="J331" s="9" t="b">
        <v>0</v>
      </c>
    </row>
    <row r="332" ht="15.75" customHeight="1">
      <c r="A332" s="5">
        <v>1.0</v>
      </c>
      <c r="B332" s="5">
        <v>20092.0</v>
      </c>
      <c r="C332" s="5">
        <v>97.94132879024822</v>
      </c>
      <c r="D332" s="5">
        <v>97.00595445928482</v>
      </c>
      <c r="E332" s="5">
        <v>-2.058671209751779</v>
      </c>
      <c r="F332" s="5">
        <v>-2.9940455407151774</v>
      </c>
      <c r="G332" s="5">
        <v>-10.532756434873702</v>
      </c>
      <c r="H332" s="5">
        <v>-7.538710894158525</v>
      </c>
      <c r="I332" s="9" t="b">
        <v>1</v>
      </c>
      <c r="J332" s="9" t="b">
        <v>0</v>
      </c>
    </row>
    <row r="333" ht="15.75" customHeight="1">
      <c r="A333" s="5">
        <v>2.0</v>
      </c>
      <c r="B333" s="5">
        <v>20092.0</v>
      </c>
      <c r="C333" s="5">
        <v>98.29145728643216</v>
      </c>
      <c r="D333" s="5">
        <v>93.7679769894535</v>
      </c>
      <c r="E333" s="5">
        <v>-1.7085427135678373</v>
      </c>
      <c r="F333" s="5">
        <v>-6.232023010546499</v>
      </c>
      <c r="G333" s="5">
        <v>-7.33149986023146</v>
      </c>
      <c r="H333" s="5">
        <v>-1.0994768496849616</v>
      </c>
      <c r="I333" s="9" t="b">
        <v>1</v>
      </c>
      <c r="J333" s="9" t="b">
        <v>0</v>
      </c>
    </row>
    <row r="334" ht="15.75" customHeight="1">
      <c r="A334" s="5">
        <v>5.0</v>
      </c>
      <c r="B334" s="5">
        <v>20092.0</v>
      </c>
      <c r="C334" s="5">
        <v>99.7262438827986</v>
      </c>
      <c r="D334" s="5">
        <v>79.8039265152936</v>
      </c>
      <c r="E334" s="5">
        <v>-0.27375611720140114</v>
      </c>
      <c r="F334" s="5">
        <v>-20.196073484706403</v>
      </c>
      <c r="G334" s="5">
        <v>-7.16271832596348</v>
      </c>
      <c r="H334" s="5">
        <v>13.033355158742923</v>
      </c>
      <c r="I334" s="9" t="b">
        <v>1</v>
      </c>
      <c r="J334" s="9" t="b">
        <v>0</v>
      </c>
    </row>
    <row r="335" ht="15.75" customHeight="1">
      <c r="A335" s="5">
        <v>6.0</v>
      </c>
      <c r="B335" s="5">
        <v>20092.0</v>
      </c>
      <c r="C335" s="5">
        <v>100.8082600757646</v>
      </c>
      <c r="D335" s="5">
        <v>91.59906055568702</v>
      </c>
      <c r="E335" s="5">
        <v>0.8082600757645935</v>
      </c>
      <c r="F335" s="5">
        <v>-8.400939444312982</v>
      </c>
      <c r="G335" s="5">
        <v>-4.1749423567951975</v>
      </c>
      <c r="H335" s="5">
        <v>4.225997087517785</v>
      </c>
      <c r="I335" s="9" t="b">
        <v>1</v>
      </c>
      <c r="J335" s="9" t="b">
        <v>0</v>
      </c>
    </row>
    <row r="336" ht="15.75" customHeight="1">
      <c r="A336" s="5">
        <v>7.0</v>
      </c>
      <c r="B336" s="5">
        <v>20092.0</v>
      </c>
      <c r="C336" s="5">
        <v>99.97510539450602</v>
      </c>
      <c r="D336" s="5">
        <v>86.1385931316822</v>
      </c>
      <c r="E336" s="5">
        <v>-0.02489460549398359</v>
      </c>
      <c r="F336" s="5">
        <v>-13.8614068683178</v>
      </c>
      <c r="G336" s="5">
        <v>-6.857233961997011</v>
      </c>
      <c r="H336" s="5">
        <v>7.00417290632079</v>
      </c>
      <c r="I336" s="9" t="b">
        <v>1</v>
      </c>
      <c r="J336" s="9" t="b">
        <v>0</v>
      </c>
    </row>
    <row r="337" ht="15.75" customHeight="1">
      <c r="A337" s="5">
        <v>8.0</v>
      </c>
      <c r="B337" s="5">
        <v>20092.0</v>
      </c>
      <c r="C337" s="5">
        <v>99.58133437916644</v>
      </c>
      <c r="D337" s="5">
        <v>97.20340786563958</v>
      </c>
      <c r="E337" s="5">
        <v>-0.41866562083356484</v>
      </c>
      <c r="F337" s="5">
        <v>-2.7965921343604236</v>
      </c>
      <c r="G337" s="5">
        <v>-2.783159009442482</v>
      </c>
      <c r="H337" s="5">
        <v>0.013433124917941797</v>
      </c>
      <c r="I337" s="9" t="b">
        <v>1</v>
      </c>
      <c r="J337" s="9" t="b">
        <v>0</v>
      </c>
    </row>
    <row r="338" ht="15.75" customHeight="1">
      <c r="A338" s="5">
        <v>9.0</v>
      </c>
      <c r="B338" s="5">
        <v>20092.0</v>
      </c>
      <c r="C338" s="5">
        <v>99.24172134941848</v>
      </c>
      <c r="D338" s="5">
        <v>95.72968118438231</v>
      </c>
      <c r="E338" s="5">
        <v>-0.7582786505815164</v>
      </c>
      <c r="F338" s="5">
        <v>-4.270318815617685</v>
      </c>
      <c r="G338" s="5">
        <v>-6.54082305779673</v>
      </c>
      <c r="H338" s="5">
        <v>-2.2705042421790447</v>
      </c>
      <c r="I338" s="9" t="b">
        <v>1</v>
      </c>
      <c r="J338" s="9" t="b">
        <v>0</v>
      </c>
    </row>
    <row r="339" ht="15.75" customHeight="1">
      <c r="A339" s="5">
        <v>10.0</v>
      </c>
      <c r="B339" s="5">
        <v>20092.0</v>
      </c>
      <c r="C339" s="5">
        <v>131.34670530974904</v>
      </c>
      <c r="D339" s="5">
        <v>112.08772116382464</v>
      </c>
      <c r="E339" s="5">
        <v>31.34670530974904</v>
      </c>
      <c r="F339" s="5">
        <v>12.08772116382464</v>
      </c>
      <c r="G339" s="5">
        <v>2.434193704239007</v>
      </c>
      <c r="H339" s="5">
        <v>-9.653527459585632</v>
      </c>
      <c r="I339" s="9" t="b">
        <v>1</v>
      </c>
      <c r="J339" s="9" t="b">
        <v>0</v>
      </c>
    </row>
    <row r="340" ht="15.75" customHeight="1">
      <c r="A340" s="5">
        <v>11.0</v>
      </c>
      <c r="B340" s="5">
        <v>20092.0</v>
      </c>
      <c r="C340" s="5">
        <v>92.9193899782135</v>
      </c>
      <c r="D340" s="5">
        <v>84.79125248508946</v>
      </c>
      <c r="E340" s="5">
        <v>-7.080610021786498</v>
      </c>
      <c r="F340" s="5">
        <v>-15.208747514910542</v>
      </c>
      <c r="G340" s="5">
        <v>-6.990027011219979</v>
      </c>
      <c r="H340" s="5">
        <v>8.218720503690562</v>
      </c>
      <c r="I340" s="9" t="b">
        <v>1</v>
      </c>
      <c r="J340" s="9" t="b">
        <v>0</v>
      </c>
    </row>
    <row r="341" ht="15.75" customHeight="1">
      <c r="A341" s="5">
        <v>12.0</v>
      </c>
      <c r="B341" s="5">
        <v>20092.0</v>
      </c>
      <c r="C341" s="5">
        <v>94.4927536231884</v>
      </c>
      <c r="D341" s="5">
        <v>90.72356215213358</v>
      </c>
      <c r="E341" s="5">
        <v>-5.507246376811594</v>
      </c>
      <c r="F341" s="5">
        <v>-9.276437847866418</v>
      </c>
      <c r="G341" s="5">
        <v>-2.028850501735757</v>
      </c>
      <c r="H341" s="5">
        <v>7.247587346130661</v>
      </c>
      <c r="I341" s="9" t="b">
        <v>1</v>
      </c>
      <c r="J341" s="9" t="b">
        <v>0</v>
      </c>
    </row>
    <row r="342" ht="15.75" customHeight="1">
      <c r="A342" s="5">
        <v>13.0</v>
      </c>
      <c r="B342" s="5">
        <v>20092.0</v>
      </c>
      <c r="C342" s="5">
        <v>96.18477357417736</v>
      </c>
      <c r="D342" s="5">
        <v>94.84820533727898</v>
      </c>
      <c r="E342" s="5">
        <v>-3.815226425822644</v>
      </c>
      <c r="F342" s="5">
        <v>-5.1517946627210165</v>
      </c>
      <c r="G342" s="5">
        <v>-2.6141693749428874</v>
      </c>
      <c r="H342" s="5">
        <v>2.537625287778129</v>
      </c>
      <c r="I342" s="9" t="b">
        <v>1</v>
      </c>
      <c r="J342" s="9" t="b">
        <v>0</v>
      </c>
    </row>
    <row r="343" ht="15.75" customHeight="1">
      <c r="A343" s="5">
        <v>14.0</v>
      </c>
      <c r="B343" s="5">
        <v>20092.0</v>
      </c>
      <c r="C343" s="5">
        <v>101.37088015022364</v>
      </c>
      <c r="D343" s="5">
        <v>95.24278778010502</v>
      </c>
      <c r="E343" s="5">
        <v>1.3708801502236412</v>
      </c>
      <c r="F343" s="5">
        <v>-4.757212219894981</v>
      </c>
      <c r="G343" s="5">
        <v>-8.114918404939875</v>
      </c>
      <c r="H343" s="5">
        <v>-3.3577061850448935</v>
      </c>
      <c r="I343" s="9" t="b">
        <v>1</v>
      </c>
      <c r="J343" s="9" t="b">
        <v>0</v>
      </c>
    </row>
    <row r="344" ht="15.75" customHeight="1">
      <c r="A344" s="5">
        <v>15.0</v>
      </c>
      <c r="B344" s="5">
        <v>20092.0</v>
      </c>
      <c r="C344" s="5">
        <v>93.89312561746614</v>
      </c>
      <c r="D344" s="5">
        <v>91.66616635800536</v>
      </c>
      <c r="E344" s="5">
        <v>-6.10687438253386</v>
      </c>
      <c r="F344" s="5">
        <v>-8.333833641994644</v>
      </c>
      <c r="G344" s="5">
        <v>-6.819301967497637</v>
      </c>
      <c r="H344" s="5">
        <v>1.5145316744970074</v>
      </c>
      <c r="I344" s="9" t="b">
        <v>1</v>
      </c>
      <c r="J344" s="9" t="b">
        <v>0</v>
      </c>
    </row>
    <row r="345" ht="15.75" customHeight="1">
      <c r="A345" s="5">
        <v>16.0</v>
      </c>
      <c r="B345" s="5">
        <v>20092.0</v>
      </c>
      <c r="C345" s="5">
        <v>97.50189653299118</v>
      </c>
      <c r="D345" s="5">
        <v>93.0784653861384</v>
      </c>
      <c r="E345" s="5">
        <v>-2.498103467008818</v>
      </c>
      <c r="F345" s="5">
        <v>-6.921534613861596</v>
      </c>
      <c r="G345" s="5">
        <v>-13.081408980492547</v>
      </c>
      <c r="H345" s="5">
        <v>-6.159874366630952</v>
      </c>
      <c r="I345" s="9" t="b">
        <v>1</v>
      </c>
      <c r="J345" s="9" t="b">
        <v>0</v>
      </c>
    </row>
    <row r="346" ht="15.75" customHeight="1">
      <c r="A346" s="5">
        <v>17.0</v>
      </c>
      <c r="B346" s="5">
        <v>20092.0</v>
      </c>
      <c r="C346" s="5">
        <v>100.30770739676272</v>
      </c>
      <c r="D346" s="5">
        <v>98.02298071316278</v>
      </c>
      <c r="E346" s="5">
        <v>0.30770739676272285</v>
      </c>
      <c r="F346" s="5">
        <v>-1.9770192868372192</v>
      </c>
      <c r="G346" s="5">
        <v>-3.97090871316379</v>
      </c>
      <c r="H346" s="5">
        <v>-1.9938894263265707</v>
      </c>
      <c r="I346" s="9" t="b">
        <v>1</v>
      </c>
      <c r="J346" s="9" t="b">
        <v>0</v>
      </c>
    </row>
    <row r="347" ht="15.75" customHeight="1">
      <c r="A347" s="5">
        <v>1.0</v>
      </c>
      <c r="B347" s="5">
        <v>20102.0</v>
      </c>
      <c r="C347" s="5">
        <v>101.340206185567</v>
      </c>
      <c r="D347" s="5">
        <v>101.70876598627444</v>
      </c>
      <c r="E347" s="5">
        <v>1.3402061855669984</v>
      </c>
      <c r="F347" s="5">
        <v>1.708765986274443</v>
      </c>
      <c r="G347" s="5">
        <v>2.7575649388876577</v>
      </c>
      <c r="H347" s="5">
        <v>1.0487989526132147</v>
      </c>
      <c r="I347" s="9" t="b">
        <v>1</v>
      </c>
      <c r="J347" s="9" t="b">
        <v>0</v>
      </c>
    </row>
    <row r="348" ht="15.75" customHeight="1">
      <c r="A348" s="5">
        <v>2.0</v>
      </c>
      <c r="B348" s="5">
        <v>20102.0</v>
      </c>
      <c r="C348" s="5">
        <v>98.80834160873884</v>
      </c>
      <c r="D348" s="5">
        <v>101.73824130879343</v>
      </c>
      <c r="E348" s="5">
        <v>-1.1916583912611571</v>
      </c>
      <c r="F348" s="5">
        <v>1.7382413087934339</v>
      </c>
      <c r="G348" s="5">
        <v>6.1914897163403815</v>
      </c>
      <c r="H348" s="5">
        <v>4.453248407546948</v>
      </c>
      <c r="I348" s="9" t="b">
        <v>1</v>
      </c>
      <c r="J348" s="9" t="b">
        <v>0</v>
      </c>
    </row>
    <row r="349" ht="15.75" customHeight="1">
      <c r="A349" s="5">
        <v>5.0</v>
      </c>
      <c r="B349" s="5">
        <v>20102.0</v>
      </c>
      <c r="C349" s="5">
        <v>91.43327949096384</v>
      </c>
      <c r="D349" s="5">
        <v>99.00640276993346</v>
      </c>
      <c r="E349" s="5">
        <v>-8.56672050903616</v>
      </c>
      <c r="F349" s="5">
        <v>-0.9935972300665412</v>
      </c>
      <c r="G349" s="5">
        <v>0.8399699391136384</v>
      </c>
      <c r="H349" s="5">
        <v>1.8335671691801796</v>
      </c>
      <c r="I349" s="9" t="b">
        <v>1</v>
      </c>
      <c r="J349" s="9" t="b">
        <v>1</v>
      </c>
    </row>
    <row r="350" ht="15.75" customHeight="1">
      <c r="A350" s="5">
        <v>6.0</v>
      </c>
      <c r="B350" s="5">
        <v>20102.0</v>
      </c>
      <c r="C350" s="5">
        <v>103.24971972326568</v>
      </c>
      <c r="D350" s="5">
        <v>105.73140040682966</v>
      </c>
      <c r="E350" s="5">
        <v>3.2497197232656845</v>
      </c>
      <c r="F350" s="5">
        <v>5.731400406829664</v>
      </c>
      <c r="G350" s="5">
        <v>6.846197923902597</v>
      </c>
      <c r="H350" s="5">
        <v>1.1147975170729332</v>
      </c>
      <c r="I350" s="9" t="b">
        <v>1</v>
      </c>
      <c r="J350" s="9" t="b">
        <v>0</v>
      </c>
    </row>
    <row r="351" ht="15.75" customHeight="1">
      <c r="A351" s="5">
        <v>7.0</v>
      </c>
      <c r="B351" s="5">
        <v>20102.0</v>
      </c>
      <c r="C351" s="5">
        <v>98.326452578061</v>
      </c>
      <c r="D351" s="5">
        <v>110.38011697060364</v>
      </c>
      <c r="E351" s="5">
        <v>-1.6735474219390056</v>
      </c>
      <c r="F351" s="5">
        <v>10.380116970603638</v>
      </c>
      <c r="G351" s="5">
        <v>2.952172007651499</v>
      </c>
      <c r="H351" s="5">
        <v>-7.427944962952139</v>
      </c>
      <c r="I351" s="9" t="b">
        <v>1</v>
      </c>
      <c r="J351" s="9" t="b">
        <v>0</v>
      </c>
    </row>
    <row r="352" ht="15.75" customHeight="1">
      <c r="A352" s="5">
        <v>8.0</v>
      </c>
      <c r="B352" s="5">
        <v>20102.0</v>
      </c>
      <c r="C352" s="5">
        <v>105.11639942728044</v>
      </c>
      <c r="D352" s="5">
        <v>105.97357567170482</v>
      </c>
      <c r="E352" s="5">
        <v>5.116399427280442</v>
      </c>
      <c r="F352" s="5">
        <v>5.973575671704822</v>
      </c>
      <c r="G352" s="5">
        <v>4.042464900753862</v>
      </c>
      <c r="H352" s="5">
        <v>-1.9311107709509603</v>
      </c>
      <c r="I352" s="9" t="b">
        <v>1</v>
      </c>
      <c r="J352" s="9" t="b">
        <v>0</v>
      </c>
    </row>
    <row r="353" ht="15.75" customHeight="1">
      <c r="A353" s="5">
        <v>9.0</v>
      </c>
      <c r="B353" s="5">
        <v>20102.0</v>
      </c>
      <c r="C353" s="5">
        <v>99.16665821379095</v>
      </c>
      <c r="D353" s="5">
        <v>101.49177065232</v>
      </c>
      <c r="E353" s="5">
        <v>-0.8333417862090471</v>
      </c>
      <c r="F353" s="5">
        <v>1.4917706523199996</v>
      </c>
      <c r="G353" s="5">
        <v>1.348318673761173</v>
      </c>
      <c r="H353" s="5">
        <v>-0.14345197855882663</v>
      </c>
      <c r="I353" s="9" t="b">
        <v>1</v>
      </c>
      <c r="J353" s="9" t="b">
        <v>0</v>
      </c>
    </row>
    <row r="354" ht="15.75" customHeight="1">
      <c r="A354" s="5">
        <v>10.0</v>
      </c>
      <c r="B354" s="5">
        <v>20102.0</v>
      </c>
      <c r="C354" s="5">
        <v>119.53404544510606</v>
      </c>
      <c r="D354" s="5">
        <v>99.8692933975293</v>
      </c>
      <c r="E354" s="5">
        <v>19.53404544510606</v>
      </c>
      <c r="F354" s="5">
        <v>-0.13070660247069554</v>
      </c>
      <c r="G354" s="5">
        <v>2.7037544639071376</v>
      </c>
      <c r="H354" s="5">
        <v>2.834461066377833</v>
      </c>
      <c r="I354" s="9" t="b">
        <v>1</v>
      </c>
      <c r="J354" s="9" t="b">
        <v>1</v>
      </c>
    </row>
    <row r="355" ht="15.75" customHeight="1">
      <c r="A355" s="5">
        <v>11.0</v>
      </c>
      <c r="B355" s="5">
        <v>20102.0</v>
      </c>
      <c r="C355" s="5">
        <v>111.66975524475528</v>
      </c>
      <c r="D355" s="5">
        <v>112.32432590855804</v>
      </c>
      <c r="E355" s="5">
        <v>11.66975524475528</v>
      </c>
      <c r="F355" s="5">
        <v>12.324325908558038</v>
      </c>
      <c r="G355" s="5">
        <v>2.1078425392740074</v>
      </c>
      <c r="H355" s="5">
        <v>-10.216483369284031</v>
      </c>
      <c r="I355" s="9" t="b">
        <v>1</v>
      </c>
      <c r="J355" s="9" t="b">
        <v>0</v>
      </c>
    </row>
    <row r="356" ht="15.75" customHeight="1">
      <c r="A356" s="5">
        <v>12.0</v>
      </c>
      <c r="B356" s="5">
        <v>20102.0</v>
      </c>
      <c r="C356" s="5">
        <v>103.28638497652582</v>
      </c>
      <c r="D356" s="5">
        <v>112.47443762781188</v>
      </c>
      <c r="E356" s="5">
        <v>3.2863849765258237</v>
      </c>
      <c r="F356" s="5">
        <v>12.47443762781188</v>
      </c>
      <c r="G356" s="5">
        <v>4.195378074638945</v>
      </c>
      <c r="H356" s="5">
        <v>-8.279059553172935</v>
      </c>
      <c r="I356" s="9" t="b">
        <v>1</v>
      </c>
      <c r="J356" s="9" t="b">
        <v>0</v>
      </c>
    </row>
    <row r="357" ht="15.75" customHeight="1">
      <c r="A357" s="5">
        <v>13.0</v>
      </c>
      <c r="B357" s="5">
        <v>20102.0</v>
      </c>
      <c r="C357" s="5">
        <v>105.30268608796185</v>
      </c>
      <c r="D357" s="5">
        <v>104.05294937354238</v>
      </c>
      <c r="E357" s="5">
        <v>5.302686087961845</v>
      </c>
      <c r="F357" s="5">
        <v>4.052949373542376</v>
      </c>
      <c r="G357" s="5">
        <v>-1.285911849336896</v>
      </c>
      <c r="H357" s="5">
        <v>-5.338861222879272</v>
      </c>
      <c r="I357" s="9" t="b">
        <v>1</v>
      </c>
      <c r="J357" s="9" t="b">
        <v>1</v>
      </c>
    </row>
    <row r="358" ht="15.75" customHeight="1">
      <c r="A358" s="5">
        <v>14.0</v>
      </c>
      <c r="B358" s="5">
        <v>20102.0</v>
      </c>
      <c r="C358" s="5">
        <v>100.95916172144798</v>
      </c>
      <c r="D358" s="5">
        <v>103.34802224210245</v>
      </c>
      <c r="E358" s="5">
        <v>0.959161721447984</v>
      </c>
      <c r="F358" s="5">
        <v>3.348022242102445</v>
      </c>
      <c r="G358" s="5">
        <v>3.372117142914255</v>
      </c>
      <c r="H358" s="5">
        <v>0.024094900811809872</v>
      </c>
      <c r="I358" s="9" t="b">
        <v>1</v>
      </c>
      <c r="J358" s="9" t="b">
        <v>0</v>
      </c>
    </row>
    <row r="359" ht="15.75" customHeight="1">
      <c r="A359" s="5">
        <v>15.0</v>
      </c>
      <c r="B359" s="5">
        <v>20102.0</v>
      </c>
      <c r="C359" s="5">
        <v>101.55980005058464</v>
      </c>
      <c r="D359" s="5">
        <v>111.94020780892836</v>
      </c>
      <c r="E359" s="5">
        <v>1.5598000505846414</v>
      </c>
      <c r="F359" s="5">
        <v>11.940207808928363</v>
      </c>
      <c r="G359" s="5">
        <v>2.6625433687447186</v>
      </c>
      <c r="H359" s="5">
        <v>-9.277664440183646</v>
      </c>
      <c r="I359" s="9" t="b">
        <v>1</v>
      </c>
      <c r="J359" s="9" t="b">
        <v>0</v>
      </c>
    </row>
    <row r="360" ht="15.75" customHeight="1">
      <c r="A360" s="5">
        <v>16.0</v>
      </c>
      <c r="B360" s="5">
        <v>20102.0</v>
      </c>
      <c r="C360" s="5">
        <v>104.01647785787848</v>
      </c>
      <c r="D360" s="5">
        <v>104.71625967701272</v>
      </c>
      <c r="E360" s="5">
        <v>4.016477857878485</v>
      </c>
      <c r="F360" s="5">
        <v>4.716259677012715</v>
      </c>
      <c r="G360" s="5">
        <v>2.7777660945434324</v>
      </c>
      <c r="H360" s="5">
        <v>-1.9384935824692828</v>
      </c>
      <c r="I360" s="9" t="b">
        <v>1</v>
      </c>
      <c r="J360" s="9" t="b">
        <v>0</v>
      </c>
    </row>
    <row r="361" ht="15.75" customHeight="1">
      <c r="A361" s="5">
        <v>17.0</v>
      </c>
      <c r="B361" s="5">
        <v>20102.0</v>
      </c>
      <c r="C361" s="5">
        <v>101.04064054693622</v>
      </c>
      <c r="D361" s="5">
        <v>100.2117725868612</v>
      </c>
      <c r="E361" s="5">
        <v>1.040640546936217</v>
      </c>
      <c r="F361" s="5">
        <v>0.21177258686120126</v>
      </c>
      <c r="G361" s="5">
        <v>3.3924661128210243</v>
      </c>
      <c r="H361" s="5">
        <v>3.180693525959823</v>
      </c>
      <c r="I361" s="9" t="b">
        <v>1</v>
      </c>
      <c r="J361" s="9" t="b">
        <v>0</v>
      </c>
    </row>
    <row r="362" ht="15.75" customHeight="1">
      <c r="A362" s="5">
        <v>1.0</v>
      </c>
      <c r="B362" s="5">
        <v>20112.0</v>
      </c>
      <c r="C362" s="5">
        <v>100.20682523267838</v>
      </c>
      <c r="D362" s="5">
        <v>98.57578840284845</v>
      </c>
      <c r="E362" s="5">
        <v>0.20682523267838349</v>
      </c>
      <c r="F362" s="5">
        <v>-1.4242115971515545</v>
      </c>
      <c r="G362" s="5">
        <v>5.322666126024034</v>
      </c>
      <c r="H362" s="5">
        <v>6.746877723175588</v>
      </c>
      <c r="I362" s="9" t="b">
        <v>1</v>
      </c>
      <c r="J362" s="9" t="b">
        <v>1</v>
      </c>
    </row>
    <row r="363" ht="15.75" customHeight="1">
      <c r="A363" s="5">
        <v>2.0</v>
      </c>
      <c r="B363" s="5">
        <v>20112.0</v>
      </c>
      <c r="C363" s="5">
        <v>98.18875119161106</v>
      </c>
      <c r="D363" s="5">
        <v>103.5175879396985</v>
      </c>
      <c r="E363" s="5">
        <v>-1.8112488083889389</v>
      </c>
      <c r="F363" s="5">
        <v>3.517587939698501</v>
      </c>
      <c r="G363" s="5">
        <v>0.4674954817146082</v>
      </c>
      <c r="H363" s="5">
        <v>-3.050092457983893</v>
      </c>
      <c r="I363" s="9" t="b">
        <v>1</v>
      </c>
      <c r="J363" s="9" t="b">
        <v>0</v>
      </c>
    </row>
    <row r="364" ht="15.75" customHeight="1">
      <c r="A364" s="5">
        <v>5.0</v>
      </c>
      <c r="B364" s="5">
        <v>20112.0</v>
      </c>
      <c r="C364" s="5">
        <v>100.66666666666666</v>
      </c>
      <c r="D364" s="5">
        <v>104.82505126123488</v>
      </c>
      <c r="E364" s="5">
        <v>0.6666666666666572</v>
      </c>
      <c r="F364" s="5">
        <v>4.825051261234876</v>
      </c>
      <c r="G364" s="5">
        <v>-0.9383559066422409</v>
      </c>
      <c r="H364" s="5">
        <v>-5.763407167877117</v>
      </c>
      <c r="I364" s="9" t="b">
        <v>1</v>
      </c>
      <c r="J364" s="9" t="b">
        <v>1</v>
      </c>
    </row>
    <row r="365" ht="15.75" customHeight="1">
      <c r="A365" s="5">
        <v>6.0</v>
      </c>
      <c r="B365" s="5">
        <v>20112.0</v>
      </c>
      <c r="C365" s="5">
        <v>100.81796566894872</v>
      </c>
      <c r="D365" s="5">
        <v>102.54096634541024</v>
      </c>
      <c r="E365" s="5">
        <v>0.817965668948716</v>
      </c>
      <c r="F365" s="5">
        <v>2.54096634541024</v>
      </c>
      <c r="G365" s="5">
        <v>4.924216574717066</v>
      </c>
      <c r="H365" s="5">
        <v>2.3832502293068263</v>
      </c>
      <c r="I365" s="9" t="b">
        <v>1</v>
      </c>
      <c r="J365" s="9" t="b">
        <v>0</v>
      </c>
    </row>
    <row r="366" ht="15.75" customHeight="1">
      <c r="A366" s="5">
        <v>7.0</v>
      </c>
      <c r="B366" s="5">
        <v>20112.0</v>
      </c>
      <c r="C366" s="5">
        <v>97.2354043714719</v>
      </c>
      <c r="D366" s="5">
        <v>100.67591791098648</v>
      </c>
      <c r="E366" s="5">
        <v>-2.764595628528099</v>
      </c>
      <c r="F366" s="5">
        <v>0.6759179109864846</v>
      </c>
      <c r="G366" s="5">
        <v>0.16005072550691057</v>
      </c>
      <c r="H366" s="5">
        <v>-0.515867185479574</v>
      </c>
      <c r="I366" s="9" t="b">
        <v>1</v>
      </c>
      <c r="J366" s="9" t="b">
        <v>0</v>
      </c>
    </row>
    <row r="367" ht="15.75" customHeight="1">
      <c r="A367" s="5">
        <v>8.0</v>
      </c>
      <c r="B367" s="5">
        <v>20112.0</v>
      </c>
      <c r="C367" s="5">
        <v>98.95840688996516</v>
      </c>
      <c r="D367" s="5">
        <v>99.7960422862956</v>
      </c>
      <c r="E367" s="5">
        <v>-1.0415931100348388</v>
      </c>
      <c r="F367" s="5">
        <v>-0.20395771370439775</v>
      </c>
      <c r="G367" s="5">
        <v>0.3280071127064854</v>
      </c>
      <c r="H367" s="5">
        <v>0.5319648264108832</v>
      </c>
      <c r="I367" s="9" t="b">
        <v>1</v>
      </c>
      <c r="J367" s="9" t="b">
        <v>1</v>
      </c>
    </row>
    <row r="368" ht="15.75" customHeight="1">
      <c r="A368" s="5">
        <v>9.0</v>
      </c>
      <c r="B368" s="5">
        <v>20112.0</v>
      </c>
      <c r="C368" s="5">
        <v>97.77130810159622</v>
      </c>
      <c r="D368" s="5">
        <v>99.75181880992754</v>
      </c>
      <c r="E368" s="5">
        <v>-2.228691898403781</v>
      </c>
      <c r="F368" s="5">
        <v>-0.24818119007245798</v>
      </c>
      <c r="G368" s="5">
        <v>0.1444222218254021</v>
      </c>
      <c r="H368" s="5">
        <v>0.3926034118978601</v>
      </c>
      <c r="I368" s="9" t="b">
        <v>1</v>
      </c>
      <c r="J368" s="9" t="b">
        <v>1</v>
      </c>
    </row>
    <row r="369" ht="15.75" customHeight="1">
      <c r="A369" s="5">
        <v>10.0</v>
      </c>
      <c r="B369" s="5">
        <v>20112.0</v>
      </c>
      <c r="C369" s="5">
        <v>90.6148553553913</v>
      </c>
      <c r="D369" s="5">
        <v>82.58856571419605</v>
      </c>
      <c r="E369" s="5">
        <v>-9.385144644608701</v>
      </c>
      <c r="F369" s="5">
        <v>-17.41143428580395</v>
      </c>
      <c r="G369" s="5">
        <v>1.241979474451993</v>
      </c>
      <c r="H369" s="5">
        <v>18.653413760255944</v>
      </c>
      <c r="I369" s="9" t="b">
        <v>1</v>
      </c>
      <c r="J369" s="9" t="b">
        <v>1</v>
      </c>
    </row>
    <row r="370" ht="15.75" customHeight="1">
      <c r="A370" s="5">
        <v>11.0</v>
      </c>
      <c r="B370" s="5">
        <v>20112.0</v>
      </c>
      <c r="C370" s="5">
        <v>101.06827060978875</v>
      </c>
      <c r="D370" s="5">
        <v>92.74778980064092</v>
      </c>
      <c r="E370" s="5">
        <v>1.0682706097887547</v>
      </c>
      <c r="F370" s="5">
        <v>-7.252210199359084</v>
      </c>
      <c r="G370" s="5">
        <v>0.8145135871812537</v>
      </c>
      <c r="H370" s="5">
        <v>8.066723786540337</v>
      </c>
      <c r="I370" s="9" t="b">
        <v>1</v>
      </c>
      <c r="J370" s="9" t="b">
        <v>1</v>
      </c>
    </row>
    <row r="371" ht="15.75" customHeight="1">
      <c r="A371" s="5">
        <v>12.0</v>
      </c>
      <c r="B371" s="5">
        <v>20112.0</v>
      </c>
      <c r="C371" s="5">
        <v>103.1616982836495</v>
      </c>
      <c r="D371" s="5">
        <v>103.81818181818184</v>
      </c>
      <c r="E371" s="5">
        <v>3.1616982836495</v>
      </c>
      <c r="F371" s="5">
        <v>3.8181818181818414</v>
      </c>
      <c r="G371" s="5">
        <v>5.9096827899574045</v>
      </c>
      <c r="H371" s="5">
        <v>2.091500971775563</v>
      </c>
      <c r="I371" s="9" t="b">
        <v>1</v>
      </c>
      <c r="J371" s="9" t="b">
        <v>0</v>
      </c>
    </row>
    <row r="372" ht="15.75" customHeight="1">
      <c r="A372" s="5">
        <v>13.0</v>
      </c>
      <c r="B372" s="5">
        <v>20112.0</v>
      </c>
      <c r="C372" s="5">
        <v>100.66651017178808</v>
      </c>
      <c r="D372" s="5">
        <v>94.75344796633306</v>
      </c>
      <c r="E372" s="5">
        <v>0.6665101717880759</v>
      </c>
      <c r="F372" s="5">
        <v>-5.246552033666944</v>
      </c>
      <c r="G372" s="5">
        <v>-2.759121390357455</v>
      </c>
      <c r="H372" s="5">
        <v>2.487430643309489</v>
      </c>
      <c r="I372" s="9" t="b">
        <v>1</v>
      </c>
      <c r="J372" s="9" t="b">
        <v>0</v>
      </c>
    </row>
    <row r="373" ht="15.75" customHeight="1">
      <c r="A373" s="5">
        <v>14.0</v>
      </c>
      <c r="B373" s="5">
        <v>20112.0</v>
      </c>
      <c r="C373" s="5">
        <v>100.6346433958528</v>
      </c>
      <c r="D373" s="5">
        <v>96.74216852469624</v>
      </c>
      <c r="E373" s="5">
        <v>0.6346433958528053</v>
      </c>
      <c r="F373" s="5">
        <v>-3.2578314753037603</v>
      </c>
      <c r="G373" s="5">
        <v>0.7052308491359183</v>
      </c>
      <c r="H373" s="5">
        <v>3.9630623244396785</v>
      </c>
      <c r="I373" s="9" t="b">
        <v>1</v>
      </c>
      <c r="J373" s="9" t="b">
        <v>1</v>
      </c>
    </row>
    <row r="374" ht="15.75" customHeight="1">
      <c r="A374" s="5">
        <v>15.0</v>
      </c>
      <c r="B374" s="5">
        <v>20112.0</v>
      </c>
      <c r="C374" s="5">
        <v>99.02100264197334</v>
      </c>
      <c r="D374" s="5">
        <v>97.2467737067564</v>
      </c>
      <c r="E374" s="5">
        <v>-0.9789973580266604</v>
      </c>
      <c r="F374" s="5">
        <v>-2.7532262932436</v>
      </c>
      <c r="G374" s="5">
        <v>0.2749418894565592</v>
      </c>
      <c r="H374" s="5">
        <v>3.028168182700159</v>
      </c>
      <c r="I374" s="9" t="b">
        <v>1</v>
      </c>
      <c r="J374" s="9" t="b">
        <v>1</v>
      </c>
    </row>
    <row r="375" ht="15.75" customHeight="1">
      <c r="A375" s="5">
        <v>16.0</v>
      </c>
      <c r="B375" s="5">
        <v>20112.0</v>
      </c>
      <c r="C375" s="5">
        <v>102.64187866927594</v>
      </c>
      <c r="D375" s="5">
        <v>103.86138613861388</v>
      </c>
      <c r="E375" s="5">
        <v>2.6418786692759397</v>
      </c>
      <c r="F375" s="5">
        <v>3.861386138613881</v>
      </c>
      <c r="G375" s="5">
        <v>3.193107797800443</v>
      </c>
      <c r="H375" s="5">
        <v>-0.6682783408134378</v>
      </c>
      <c r="I375" s="9" t="b">
        <v>1</v>
      </c>
      <c r="J375" s="9" t="b">
        <v>0</v>
      </c>
    </row>
    <row r="376" ht="15.75" customHeight="1">
      <c r="A376" s="5">
        <v>17.0</v>
      </c>
      <c r="B376" s="5">
        <v>20112.0</v>
      </c>
      <c r="C376" s="5">
        <v>101.49194743602412</v>
      </c>
      <c r="D376" s="5">
        <v>104.33073325160564</v>
      </c>
      <c r="E376" s="5">
        <v>1.4919474360241196</v>
      </c>
      <c r="F376" s="5">
        <v>4.330733251605636</v>
      </c>
      <c r="G376" s="5">
        <v>1.0746341875277787</v>
      </c>
      <c r="H376" s="5">
        <v>-3.2560990640778575</v>
      </c>
      <c r="I376" s="9" t="b">
        <v>1</v>
      </c>
      <c r="J376" s="9" t="b">
        <v>0</v>
      </c>
    </row>
    <row r="377" ht="15.75" customHeight="1">
      <c r="A377" s="5">
        <v>1.0</v>
      </c>
      <c r="B377" s="5">
        <v>20122.0</v>
      </c>
      <c r="C377" s="5">
        <v>91.29129129129127</v>
      </c>
      <c r="D377" s="5">
        <v>94.11764705882352</v>
      </c>
      <c r="E377" s="5">
        <v>-8.708708708708727</v>
      </c>
      <c r="F377" s="5">
        <v>-5.882352941176478</v>
      </c>
      <c r="G377" s="5">
        <v>-7.714530816997012</v>
      </c>
      <c r="H377" s="5">
        <v>-1.832177875820534</v>
      </c>
      <c r="I377" s="9" t="b">
        <v>1</v>
      </c>
      <c r="J377" s="9" t="b">
        <v>0</v>
      </c>
    </row>
    <row r="378" ht="15.75" customHeight="1">
      <c r="A378" s="5">
        <v>2.0</v>
      </c>
      <c r="B378" s="5">
        <v>20122.0</v>
      </c>
      <c r="C378" s="5">
        <v>98.15384615384616</v>
      </c>
      <c r="D378" s="5">
        <v>92.91262135922332</v>
      </c>
      <c r="E378" s="5">
        <v>-1.8461538461538396</v>
      </c>
      <c r="F378" s="5">
        <v>-7.087378640776677</v>
      </c>
      <c r="G378" s="5">
        <v>-6.161003749680882</v>
      </c>
      <c r="H378" s="5">
        <v>0.9263748910957954</v>
      </c>
      <c r="I378" s="9" t="b">
        <v>1</v>
      </c>
      <c r="J378" s="9" t="b">
        <v>0</v>
      </c>
    </row>
    <row r="379" ht="15.75" customHeight="1">
      <c r="A379" s="5">
        <v>5.0</v>
      </c>
      <c r="B379" s="5">
        <v>20122.0</v>
      </c>
      <c r="C379" s="5">
        <v>98.7987987987988</v>
      </c>
      <c r="D379" s="5">
        <v>93.3774834437086</v>
      </c>
      <c r="E379" s="5">
        <v>-1.2012012012012008</v>
      </c>
      <c r="F379" s="5">
        <v>-6.6225165562914015</v>
      </c>
      <c r="G379" s="5">
        <v>-2.3766551290989035</v>
      </c>
      <c r="H379" s="5">
        <v>4.245861427192498</v>
      </c>
      <c r="I379" s="9" t="b">
        <v>1</v>
      </c>
      <c r="J379" s="9" t="b">
        <v>0</v>
      </c>
    </row>
    <row r="380" ht="15.75" customHeight="1">
      <c r="A380" s="5">
        <v>6.0</v>
      </c>
      <c r="B380" s="5">
        <v>20122.0</v>
      </c>
      <c r="C380" s="5">
        <v>95.63756000624664</v>
      </c>
      <c r="D380" s="5">
        <v>93.17652205516168</v>
      </c>
      <c r="E380" s="5">
        <v>-4.362439993753355</v>
      </c>
      <c r="F380" s="5">
        <v>-6.8234779448383165</v>
      </c>
      <c r="G380" s="5">
        <v>-10.550689174351902</v>
      </c>
      <c r="H380" s="5">
        <v>-3.7272112295135855</v>
      </c>
      <c r="I380" s="9" t="b">
        <v>1</v>
      </c>
      <c r="J380" s="9" t="b">
        <v>0</v>
      </c>
    </row>
    <row r="381" ht="15.75" customHeight="1">
      <c r="A381" s="5">
        <v>7.0</v>
      </c>
      <c r="B381" s="5">
        <v>20122.0</v>
      </c>
      <c r="C381" s="5">
        <v>92.53140867716364</v>
      </c>
      <c r="D381" s="5">
        <v>95.75351715671027</v>
      </c>
      <c r="E381" s="5">
        <v>-7.46859132283636</v>
      </c>
      <c r="F381" s="5">
        <v>-4.246482843289726</v>
      </c>
      <c r="G381" s="5">
        <v>-3.3473130053461086</v>
      </c>
      <c r="H381" s="5">
        <v>0.8991698379436177</v>
      </c>
      <c r="I381" s="9" t="b">
        <v>1</v>
      </c>
      <c r="J381" s="9" t="b">
        <v>0</v>
      </c>
    </row>
    <row r="382" ht="15.75" customHeight="1">
      <c r="A382" s="5">
        <v>8.0</v>
      </c>
      <c r="B382" s="5">
        <v>20122.0</v>
      </c>
      <c r="C382" s="5">
        <v>98.9584245017128</v>
      </c>
      <c r="D382" s="5">
        <v>95.27719752880591</v>
      </c>
      <c r="E382" s="5">
        <v>-1.0415754982872016</v>
      </c>
      <c r="F382" s="5">
        <v>-4.722802471194086</v>
      </c>
      <c r="G382" s="5">
        <v>-1.7814734217996508</v>
      </c>
      <c r="H382" s="5">
        <v>2.9413290493944353</v>
      </c>
      <c r="I382" s="9" t="b">
        <v>1</v>
      </c>
      <c r="J382" s="9" t="b">
        <v>0</v>
      </c>
    </row>
    <row r="383" ht="15.75" customHeight="1">
      <c r="A383" s="5">
        <v>9.0</v>
      </c>
      <c r="B383" s="5">
        <v>20122.0</v>
      </c>
      <c r="C383" s="5">
        <v>100.4126689363458</v>
      </c>
      <c r="D383" s="5">
        <v>99.93839203203616</v>
      </c>
      <c r="E383" s="5">
        <v>0.4126689363457956</v>
      </c>
      <c r="F383" s="5">
        <v>-0.061607967963837496</v>
      </c>
      <c r="G383" s="5">
        <v>-5.061530540144743</v>
      </c>
      <c r="H383" s="5">
        <v>-4.999922572180905</v>
      </c>
      <c r="I383" s="9" t="b">
        <v>1</v>
      </c>
      <c r="J383" s="9" t="b">
        <v>0</v>
      </c>
    </row>
    <row r="384" ht="15.75" customHeight="1">
      <c r="A384" s="5">
        <v>10.0</v>
      </c>
      <c r="B384" s="5">
        <v>20122.0</v>
      </c>
      <c r="C384" s="5">
        <v>106.07202106988618</v>
      </c>
      <c r="D384" s="5">
        <v>119.4124322106725</v>
      </c>
      <c r="E384" s="5">
        <v>6.072021069886176</v>
      </c>
      <c r="F384" s="5">
        <v>19.412432210672506</v>
      </c>
      <c r="G384" s="5">
        <v>-3.3583690438398817</v>
      </c>
      <c r="H384" s="5">
        <v>-22.77080125451239</v>
      </c>
      <c r="I384" s="9" t="b">
        <v>1</v>
      </c>
      <c r="J384" s="9" t="b">
        <v>1</v>
      </c>
    </row>
    <row r="385" ht="15.75" customHeight="1">
      <c r="A385" s="5">
        <v>11.0</v>
      </c>
      <c r="B385" s="5">
        <v>20122.0</v>
      </c>
      <c r="C385" s="5">
        <v>93.6224229744227</v>
      </c>
      <c r="D385" s="5">
        <v>93.32445362287996</v>
      </c>
      <c r="E385" s="5">
        <v>-6.3775770255772954</v>
      </c>
      <c r="F385" s="5">
        <v>-6.6755463771200425</v>
      </c>
      <c r="G385" s="5">
        <v>-6.319022251774042</v>
      </c>
      <c r="H385" s="5">
        <v>0.35652412534600053</v>
      </c>
      <c r="I385" s="9" t="b">
        <v>1</v>
      </c>
      <c r="J385" s="9" t="b">
        <v>0</v>
      </c>
    </row>
    <row r="386" ht="15.75" customHeight="1">
      <c r="A386" s="5">
        <v>12.0</v>
      </c>
      <c r="B386" s="5">
        <v>20122.0</v>
      </c>
      <c r="C386" s="5">
        <v>97.87798408488064</v>
      </c>
      <c r="D386" s="5">
        <v>96.9352014010508</v>
      </c>
      <c r="E386" s="5">
        <v>-2.1220159151193627</v>
      </c>
      <c r="F386" s="5">
        <v>-3.0647985989491957</v>
      </c>
      <c r="G386" s="5">
        <v>-4.855408105269843</v>
      </c>
      <c r="H386" s="5">
        <v>-1.7906095063206475</v>
      </c>
      <c r="I386" s="9" t="b">
        <v>1</v>
      </c>
      <c r="J386" s="9" t="b">
        <v>0</v>
      </c>
    </row>
    <row r="387" ht="15.75" customHeight="1">
      <c r="A387" s="5">
        <v>13.0</v>
      </c>
      <c r="B387" s="5">
        <v>20122.0</v>
      </c>
      <c r="C387" s="5">
        <v>102.55963888880456</v>
      </c>
      <c r="D387" s="5">
        <v>94.23713648917476</v>
      </c>
      <c r="E387" s="5">
        <v>2.5596388888045567</v>
      </c>
      <c r="F387" s="5">
        <v>-5.762863510825241</v>
      </c>
      <c r="G387" s="5">
        <v>-5.936228726852222</v>
      </c>
      <c r="H387" s="5">
        <v>-0.17336521602698074</v>
      </c>
      <c r="I387" s="9" t="b">
        <v>1</v>
      </c>
      <c r="J387" s="9" t="b">
        <v>0</v>
      </c>
    </row>
    <row r="388" ht="15.75" customHeight="1">
      <c r="A388" s="5">
        <v>14.0</v>
      </c>
      <c r="B388" s="5">
        <v>20122.0</v>
      </c>
      <c r="C388" s="5">
        <v>98.42012830674344</v>
      </c>
      <c r="D388" s="5">
        <v>97.14562094571691</v>
      </c>
      <c r="E388" s="5">
        <v>-1.579871693256564</v>
      </c>
      <c r="F388" s="5">
        <v>-2.8543790542830862</v>
      </c>
      <c r="G388" s="5">
        <v>-2.8496094023231278</v>
      </c>
      <c r="H388" s="5">
        <v>0.0047696519599584875</v>
      </c>
      <c r="I388" s="9" t="b">
        <v>1</v>
      </c>
      <c r="J388" s="9" t="b">
        <v>0</v>
      </c>
    </row>
    <row r="389" ht="15.75" customHeight="1">
      <c r="A389" s="5">
        <v>15.0</v>
      </c>
      <c r="B389" s="5">
        <v>20122.0</v>
      </c>
      <c r="C389" s="5">
        <v>92.88537549407114</v>
      </c>
      <c r="D389" s="5">
        <v>91.70731707317074</v>
      </c>
      <c r="E389" s="5">
        <v>-7.114624505928859</v>
      </c>
      <c r="F389" s="5">
        <v>-8.292682926829258</v>
      </c>
      <c r="G389" s="5">
        <v>-8.166527145929637</v>
      </c>
      <c r="H389" s="5">
        <v>0.1261557808996212</v>
      </c>
      <c r="I389" s="9" t="b">
        <v>1</v>
      </c>
      <c r="J389" s="9" t="b">
        <v>0</v>
      </c>
    </row>
    <row r="390" ht="15.75" customHeight="1">
      <c r="A390" s="5">
        <v>16.0</v>
      </c>
      <c r="B390" s="5">
        <v>20122.0</v>
      </c>
      <c r="C390" s="5">
        <v>92.36983842010773</v>
      </c>
      <c r="D390" s="5">
        <v>98.093422306959</v>
      </c>
      <c r="E390" s="5">
        <v>-7.630161579892274</v>
      </c>
      <c r="F390" s="5">
        <v>-1.906577693041001</v>
      </c>
      <c r="G390" s="5">
        <v>-3.1744598040565175</v>
      </c>
      <c r="H390" s="5">
        <v>-1.2678821110155165</v>
      </c>
      <c r="I390" s="9" t="b">
        <v>1</v>
      </c>
      <c r="J390" s="9" t="b">
        <v>0</v>
      </c>
    </row>
    <row r="391" ht="15.75" customHeight="1">
      <c r="A391" s="5">
        <v>17.0</v>
      </c>
      <c r="B391" s="5">
        <v>20122.0</v>
      </c>
      <c r="C391" s="5">
        <v>94.44212721584984</v>
      </c>
      <c r="D391" s="5">
        <v>88.17172897196261</v>
      </c>
      <c r="E391" s="5">
        <v>-5.557872784150163</v>
      </c>
      <c r="F391" s="5">
        <v>-11.828271028037392</v>
      </c>
      <c r="G391" s="5">
        <v>-7.4353852147554855</v>
      </c>
      <c r="H391" s="5">
        <v>4.392885813281906</v>
      </c>
      <c r="I391" s="9" t="b">
        <v>1</v>
      </c>
      <c r="J391" s="9" t="b">
        <v>0</v>
      </c>
    </row>
    <row r="392" ht="15.75" customHeight="1">
      <c r="A392" s="5">
        <v>1.0</v>
      </c>
      <c r="B392" s="5">
        <v>20132.0</v>
      </c>
      <c r="C392" s="5">
        <v>100.1082251082251</v>
      </c>
      <c r="D392" s="5">
        <v>101.42543859649122</v>
      </c>
      <c r="E392" s="5">
        <v>0.10822510822509912</v>
      </c>
      <c r="F392" s="5">
        <v>1.4254385964912188</v>
      </c>
      <c r="G392" s="5">
        <v>-3.0326007205464967</v>
      </c>
      <c r="H392" s="5">
        <v>-4.4580393170377155</v>
      </c>
      <c r="I392" s="9" t="b">
        <v>1</v>
      </c>
      <c r="J392" s="9" t="b">
        <v>1</v>
      </c>
    </row>
    <row r="393" ht="15.75" customHeight="1">
      <c r="A393" s="5">
        <v>2.0</v>
      </c>
      <c r="B393" s="5">
        <v>20132.0</v>
      </c>
      <c r="C393" s="5">
        <v>96.71610169491524</v>
      </c>
      <c r="D393" s="5">
        <v>95.40229885057472</v>
      </c>
      <c r="E393" s="5">
        <v>-3.2838983050847617</v>
      </c>
      <c r="F393" s="5">
        <v>-4.597701149425276</v>
      </c>
      <c r="G393" s="5">
        <v>-3.930449678663206</v>
      </c>
      <c r="H393" s="5">
        <v>0.6672514707620705</v>
      </c>
      <c r="I393" s="9" t="b">
        <v>1</v>
      </c>
      <c r="J393" s="9" t="b">
        <v>0</v>
      </c>
    </row>
    <row r="394" ht="15.75" customHeight="1">
      <c r="A394" s="5">
        <v>5.0</v>
      </c>
      <c r="B394" s="5">
        <v>20132.0</v>
      </c>
      <c r="C394" s="5">
        <v>99.54126657910284</v>
      </c>
      <c r="D394" s="5">
        <v>95.752103468497</v>
      </c>
      <c r="E394" s="5">
        <v>-0.4587334208971612</v>
      </c>
      <c r="F394" s="5">
        <v>-4.247896531503002</v>
      </c>
      <c r="G394" s="5">
        <v>-4.63219931364971</v>
      </c>
      <c r="H394" s="5">
        <v>-0.3843027821467073</v>
      </c>
      <c r="I394" s="9" t="b">
        <v>1</v>
      </c>
      <c r="J394" s="9" t="b">
        <v>0</v>
      </c>
    </row>
    <row r="395" ht="15.75" customHeight="1">
      <c r="A395" s="5">
        <v>6.0</v>
      </c>
      <c r="B395" s="5">
        <v>20132.0</v>
      </c>
      <c r="C395" s="5">
        <v>102.05901449757192</v>
      </c>
      <c r="D395" s="5">
        <v>98.76060564802133</v>
      </c>
      <c r="E395" s="5">
        <v>2.0590144975719227</v>
      </c>
      <c r="F395" s="5">
        <v>-1.2393943519786745</v>
      </c>
      <c r="G395" s="5">
        <v>-7.94458097703269</v>
      </c>
      <c r="H395" s="5">
        <v>-6.705186625054015</v>
      </c>
      <c r="I395" s="9" t="b">
        <v>1</v>
      </c>
      <c r="J395" s="9" t="b">
        <v>0</v>
      </c>
    </row>
    <row r="396" ht="15.75" customHeight="1">
      <c r="A396" s="5">
        <v>7.0</v>
      </c>
      <c r="B396" s="5">
        <v>20132.0</v>
      </c>
      <c r="C396" s="5">
        <v>101.83129585073996</v>
      </c>
      <c r="D396" s="5">
        <v>96.73018927845948</v>
      </c>
      <c r="E396" s="5">
        <v>1.8312958507399628</v>
      </c>
      <c r="F396" s="5">
        <v>-3.269810721540523</v>
      </c>
      <c r="G396" s="5">
        <v>-8.52449351854917</v>
      </c>
      <c r="H396" s="5">
        <v>-5.2546827970086465</v>
      </c>
      <c r="I396" s="9" t="b">
        <v>1</v>
      </c>
      <c r="J396" s="9" t="b">
        <v>0</v>
      </c>
    </row>
    <row r="397" ht="15.75" customHeight="1">
      <c r="A397" s="5">
        <v>8.0</v>
      </c>
      <c r="B397" s="5">
        <v>20132.0</v>
      </c>
      <c r="C397" s="5">
        <v>104.62674876002364</v>
      </c>
      <c r="D397" s="5">
        <v>99.07232538420388</v>
      </c>
      <c r="E397" s="5">
        <v>4.626748760023645</v>
      </c>
      <c r="F397" s="5">
        <v>-0.9276746157961213</v>
      </c>
      <c r="G397" s="5">
        <v>-4.458573214409944</v>
      </c>
      <c r="H397" s="5">
        <v>-3.530898598613823</v>
      </c>
      <c r="I397" s="9" t="b">
        <v>1</v>
      </c>
      <c r="J397" s="9" t="b">
        <v>0</v>
      </c>
    </row>
    <row r="398" ht="15.75" customHeight="1">
      <c r="A398" s="5">
        <v>9.0</v>
      </c>
      <c r="B398" s="5">
        <v>20132.0</v>
      </c>
      <c r="C398" s="5">
        <v>101.65425065731814</v>
      </c>
      <c r="D398" s="5">
        <v>95.3354566937224</v>
      </c>
      <c r="E398" s="5">
        <v>1.6542506573181441</v>
      </c>
      <c r="F398" s="5">
        <v>-4.664543306277594</v>
      </c>
      <c r="G398" s="5">
        <v>-4.539702440066595</v>
      </c>
      <c r="H398" s="5">
        <v>0.12484086621099877</v>
      </c>
      <c r="I398" s="9" t="b">
        <v>1</v>
      </c>
      <c r="J398" s="9" t="b">
        <v>0</v>
      </c>
    </row>
    <row r="399" ht="15.75" customHeight="1">
      <c r="A399" s="5">
        <v>10.0</v>
      </c>
      <c r="B399" s="5">
        <v>20132.0</v>
      </c>
      <c r="C399" s="5">
        <v>96.03666467550735</v>
      </c>
      <c r="D399" s="5">
        <v>92.4236507560158</v>
      </c>
      <c r="E399" s="5">
        <v>-3.963335324492647</v>
      </c>
      <c r="F399" s="5">
        <v>-7.576349243984197</v>
      </c>
      <c r="G399" s="5">
        <v>-2.4232490269941565</v>
      </c>
      <c r="H399" s="5">
        <v>5.15310021699004</v>
      </c>
      <c r="I399" s="9" t="b">
        <v>1</v>
      </c>
      <c r="J399" s="9" t="b">
        <v>0</v>
      </c>
    </row>
    <row r="400" ht="15.75" customHeight="1">
      <c r="A400" s="5">
        <v>11.0</v>
      </c>
      <c r="B400" s="5">
        <v>20132.0</v>
      </c>
      <c r="C400" s="5">
        <v>104.27969326283012</v>
      </c>
      <c r="D400" s="5">
        <v>100.00989540213683</v>
      </c>
      <c r="E400" s="5">
        <v>4.279693262830122</v>
      </c>
      <c r="F400" s="5">
        <v>0.009895402136834264</v>
      </c>
      <c r="G400" s="5">
        <v>-2.3415794955601865</v>
      </c>
      <c r="H400" s="5">
        <v>-2.351474897697021</v>
      </c>
      <c r="I400" s="9" t="b">
        <v>1</v>
      </c>
      <c r="J400" s="9" t="b">
        <v>1</v>
      </c>
    </row>
    <row r="401" ht="15.75" customHeight="1">
      <c r="A401" s="5">
        <v>12.0</v>
      </c>
      <c r="B401" s="5">
        <v>20132.0</v>
      </c>
      <c r="C401" s="5">
        <v>100.81447963800905</v>
      </c>
      <c r="D401" s="5">
        <v>100.63233965672993</v>
      </c>
      <c r="E401" s="5">
        <v>0.8144796380090469</v>
      </c>
      <c r="F401" s="5">
        <v>0.6323396567299255</v>
      </c>
      <c r="G401" s="5">
        <v>1.5447877916813901</v>
      </c>
      <c r="H401" s="5">
        <v>0.9124481349514646</v>
      </c>
      <c r="I401" s="9" t="b">
        <v>1</v>
      </c>
      <c r="J401" s="9" t="b">
        <v>0</v>
      </c>
    </row>
    <row r="402" ht="15.75" customHeight="1">
      <c r="A402" s="5">
        <v>13.0</v>
      </c>
      <c r="B402" s="5">
        <v>20132.0</v>
      </c>
      <c r="C402" s="5">
        <v>102.54880595294892</v>
      </c>
      <c r="D402" s="5">
        <v>95.59823335443672</v>
      </c>
      <c r="E402" s="5">
        <v>2.548805952948925</v>
      </c>
      <c r="F402" s="5">
        <v>-4.401766645563285</v>
      </c>
      <c r="G402" s="5">
        <v>-6.188719011354815</v>
      </c>
      <c r="H402" s="5">
        <v>-1.7869523657915298</v>
      </c>
      <c r="I402" s="9" t="b">
        <v>1</v>
      </c>
      <c r="J402" s="9" t="b">
        <v>0</v>
      </c>
    </row>
    <row r="403" ht="15.75" customHeight="1">
      <c r="A403" s="5">
        <v>14.0</v>
      </c>
      <c r="B403" s="5">
        <v>20132.0</v>
      </c>
      <c r="C403" s="5">
        <v>95.7915042371101</v>
      </c>
      <c r="D403" s="5">
        <v>91.56073820691194</v>
      </c>
      <c r="E403" s="5">
        <v>-4.208495762889896</v>
      </c>
      <c r="F403" s="5">
        <v>-8.439261793088065</v>
      </c>
      <c r="G403" s="5">
        <v>-9.426851437025352</v>
      </c>
      <c r="H403" s="5">
        <v>-0.9875896439372873</v>
      </c>
      <c r="I403" s="9" t="b">
        <v>1</v>
      </c>
      <c r="J403" s="9" t="b">
        <v>0</v>
      </c>
    </row>
    <row r="404" ht="15.75" customHeight="1">
      <c r="A404" s="5">
        <v>15.0</v>
      </c>
      <c r="B404" s="5">
        <v>20132.0</v>
      </c>
      <c r="C404" s="5">
        <v>102.28571428571428</v>
      </c>
      <c r="D404" s="5">
        <v>95.2127659574468</v>
      </c>
      <c r="E404" s="5">
        <v>2.2857142857142776</v>
      </c>
      <c r="F404" s="5">
        <v>-4.7872340425531945</v>
      </c>
      <c r="G404" s="5">
        <v>-5.82784963708508</v>
      </c>
      <c r="H404" s="5">
        <v>-1.0406155945318858</v>
      </c>
      <c r="I404" s="9" t="b">
        <v>1</v>
      </c>
      <c r="J404" s="9" t="b">
        <v>0</v>
      </c>
    </row>
    <row r="405" ht="15.75" customHeight="1">
      <c r="A405" s="5">
        <v>16.0</v>
      </c>
      <c r="B405" s="5">
        <v>20132.0</v>
      </c>
      <c r="C405" s="5">
        <v>109.22279792746114</v>
      </c>
      <c r="D405" s="5">
        <v>102.42954324586977</v>
      </c>
      <c r="E405" s="5">
        <v>9.222797927461144</v>
      </c>
      <c r="F405" s="5">
        <v>2.429543245869766</v>
      </c>
      <c r="G405" s="5">
        <v>0.7851166198986403</v>
      </c>
      <c r="H405" s="5">
        <v>-1.6444266259711258</v>
      </c>
      <c r="I405" s="9" t="b">
        <v>1</v>
      </c>
      <c r="J405" s="9" t="b">
        <v>0</v>
      </c>
    </row>
    <row r="406" ht="15.75" customHeight="1">
      <c r="A406" s="5">
        <v>17.0</v>
      </c>
      <c r="B406" s="5">
        <v>20132.0</v>
      </c>
      <c r="C406" s="5">
        <v>99.43736364680214</v>
      </c>
      <c r="D406" s="5">
        <v>95.61665010489124</v>
      </c>
      <c r="E406" s="5">
        <v>-0.5626363531978598</v>
      </c>
      <c r="F406" s="5">
        <v>-4.383349895108765</v>
      </c>
      <c r="G406" s="5">
        <v>-5.868772342211848</v>
      </c>
      <c r="H406" s="5">
        <v>-1.4854224471030832</v>
      </c>
      <c r="I406" s="9" t="b">
        <v>1</v>
      </c>
      <c r="J406" s="9" t="b">
        <v>0</v>
      </c>
    </row>
    <row r="407" ht="15.75" customHeight="1">
      <c r="A407" s="5">
        <v>1.0</v>
      </c>
      <c r="B407" s="5">
        <v>20142.0</v>
      </c>
      <c r="C407" s="5">
        <v>96.14973262032086</v>
      </c>
      <c r="D407" s="5">
        <v>97.1891891891892</v>
      </c>
      <c r="E407" s="5">
        <v>-3.8502673796791385</v>
      </c>
      <c r="F407" s="5">
        <v>-2.810810810810807</v>
      </c>
      <c r="G407" s="5">
        <v>0.878004710338276</v>
      </c>
      <c r="H407" s="5">
        <v>3.688815521149083</v>
      </c>
      <c r="I407" s="9" t="b">
        <v>1</v>
      </c>
      <c r="J407" s="9" t="b">
        <v>1</v>
      </c>
    </row>
    <row r="408" ht="15.75" customHeight="1">
      <c r="A408" s="5">
        <v>2.0</v>
      </c>
      <c r="B408" s="5">
        <v>20142.0</v>
      </c>
      <c r="C408" s="5">
        <v>102.10876803551608</v>
      </c>
      <c r="D408" s="5">
        <v>100.76670317634174</v>
      </c>
      <c r="E408" s="5">
        <v>2.1087680355160785</v>
      </c>
      <c r="F408" s="5">
        <v>0.7667031763417356</v>
      </c>
      <c r="G408" s="5">
        <v>0.308273978290452</v>
      </c>
      <c r="H408" s="5">
        <v>-0.45842919805128357</v>
      </c>
      <c r="I408" s="9" t="b">
        <v>1</v>
      </c>
      <c r="J408" s="9" t="b">
        <v>0</v>
      </c>
    </row>
    <row r="409" ht="15.75" customHeight="1">
      <c r="A409" s="5">
        <v>5.0</v>
      </c>
      <c r="B409" s="5">
        <v>20142.0</v>
      </c>
      <c r="C409" s="5">
        <v>101.3149809918968</v>
      </c>
      <c r="D409" s="5">
        <v>106.55258605931472</v>
      </c>
      <c r="E409" s="5">
        <v>1.3149809918968032</v>
      </c>
      <c r="F409" s="5">
        <v>6.55258605931472</v>
      </c>
      <c r="G409" s="5">
        <v>2.634793503257149</v>
      </c>
      <c r="H409" s="5">
        <v>-3.917792556057571</v>
      </c>
      <c r="I409" s="9" t="b">
        <v>1</v>
      </c>
      <c r="J409" s="9" t="b">
        <v>0</v>
      </c>
    </row>
    <row r="410" ht="15.75" customHeight="1">
      <c r="A410" s="5">
        <v>6.0</v>
      </c>
      <c r="B410" s="5">
        <v>20142.0</v>
      </c>
      <c r="C410" s="5">
        <v>100.01059766832124</v>
      </c>
      <c r="D410" s="5">
        <v>99.6578606088768</v>
      </c>
      <c r="E410" s="5">
        <v>0.010597668321238984</v>
      </c>
      <c r="F410" s="5">
        <v>-0.34213939112319736</v>
      </c>
      <c r="G410" s="5">
        <v>0.15408193068764398</v>
      </c>
      <c r="H410" s="5">
        <v>0.49622132181084133</v>
      </c>
      <c r="I410" s="9" t="b">
        <v>1</v>
      </c>
      <c r="J410" s="9" t="b">
        <v>1</v>
      </c>
    </row>
    <row r="411" ht="15.75" customHeight="1">
      <c r="A411" s="5">
        <v>7.0</v>
      </c>
      <c r="B411" s="5">
        <v>20142.0</v>
      </c>
      <c r="C411" s="5">
        <v>108.22498981799384</v>
      </c>
      <c r="D411" s="5">
        <v>103.4348916118068</v>
      </c>
      <c r="E411" s="5">
        <v>8.224989817993844</v>
      </c>
      <c r="F411" s="5">
        <v>3.4348916118068047</v>
      </c>
      <c r="G411" s="5">
        <v>5.098657518228866</v>
      </c>
      <c r="H411" s="5">
        <v>1.6637659064220616</v>
      </c>
      <c r="I411" s="9" t="b">
        <v>1</v>
      </c>
      <c r="J411" s="9" t="b">
        <v>0</v>
      </c>
    </row>
    <row r="412" ht="15.75" customHeight="1">
      <c r="A412" s="5">
        <v>8.0</v>
      </c>
      <c r="B412" s="5">
        <v>20142.0</v>
      </c>
      <c r="C412" s="5">
        <v>98.72125615440255</v>
      </c>
      <c r="D412" s="5">
        <v>94.83247158573307</v>
      </c>
      <c r="E412" s="5">
        <v>-1.2787438455974467</v>
      </c>
      <c r="F412" s="5">
        <v>-5.1675284142669256</v>
      </c>
      <c r="G412" s="5">
        <v>-0.03927478448513266</v>
      </c>
      <c r="H412" s="5">
        <v>5.128253629781793</v>
      </c>
      <c r="I412" s="9" t="b">
        <v>1</v>
      </c>
      <c r="J412" s="9" t="b">
        <v>0</v>
      </c>
    </row>
    <row r="413" ht="15.75" customHeight="1">
      <c r="A413" s="5">
        <v>9.0</v>
      </c>
      <c r="B413" s="5">
        <v>20142.0</v>
      </c>
      <c r="C413" s="5">
        <v>101.94854953475644</v>
      </c>
      <c r="D413" s="5">
        <v>100.36641879512878</v>
      </c>
      <c r="E413" s="5">
        <v>1.948549534756438</v>
      </c>
      <c r="F413" s="5">
        <v>0.36641879512878006</v>
      </c>
      <c r="G413" s="5">
        <v>2.3900933361207244</v>
      </c>
      <c r="H413" s="5">
        <v>2.0236745409919443</v>
      </c>
      <c r="I413" s="9" t="b">
        <v>1</v>
      </c>
      <c r="J413" s="9" t="b">
        <v>0</v>
      </c>
    </row>
    <row r="414" ht="15.75" customHeight="1">
      <c r="A414" s="5">
        <v>10.0</v>
      </c>
      <c r="B414" s="5">
        <v>20142.0</v>
      </c>
      <c r="C414" s="5">
        <v>99.8926878777426</v>
      </c>
      <c r="D414" s="5">
        <v>104.2700624114494</v>
      </c>
      <c r="E414" s="5">
        <v>-0.10731212225739739</v>
      </c>
      <c r="F414" s="5">
        <v>4.270062411449402</v>
      </c>
      <c r="G414" s="5">
        <v>0.7036982082853749</v>
      </c>
      <c r="H414" s="5">
        <v>-3.566364203164027</v>
      </c>
      <c r="I414" s="9" t="b">
        <v>1</v>
      </c>
      <c r="J414" s="9" t="b">
        <v>0</v>
      </c>
    </row>
    <row r="415" ht="15.75" customHeight="1">
      <c r="A415" s="5">
        <v>11.0</v>
      </c>
      <c r="B415" s="5">
        <v>20142.0</v>
      </c>
      <c r="C415" s="5">
        <v>101.96816881536664</v>
      </c>
      <c r="D415" s="5">
        <v>98.8188212629299</v>
      </c>
      <c r="E415" s="5">
        <v>1.9681688153666386</v>
      </c>
      <c r="F415" s="5">
        <v>-1.1811787370700984</v>
      </c>
      <c r="G415" s="5">
        <v>2.478336634169187</v>
      </c>
      <c r="H415" s="5">
        <v>3.6595153712392854</v>
      </c>
      <c r="I415" s="9" t="b">
        <v>1</v>
      </c>
      <c r="J415" s="9" t="b">
        <v>1</v>
      </c>
    </row>
    <row r="416" ht="15.75" customHeight="1">
      <c r="A416" s="5">
        <v>12.0</v>
      </c>
      <c r="B416" s="5">
        <v>20142.0</v>
      </c>
      <c r="C416" s="5">
        <v>98.50877192982456</v>
      </c>
      <c r="D416" s="5">
        <v>100.80789946140034</v>
      </c>
      <c r="E416" s="5">
        <v>-1.4912280701754383</v>
      </c>
      <c r="F416" s="5">
        <v>0.8078994614003392</v>
      </c>
      <c r="G416" s="5">
        <v>0.09046348863661624</v>
      </c>
      <c r="H416" s="5">
        <v>-0.717435972763723</v>
      </c>
      <c r="I416" s="9" t="b">
        <v>1</v>
      </c>
      <c r="J416" s="9" t="b">
        <v>0</v>
      </c>
    </row>
    <row r="417" ht="15.75" customHeight="1">
      <c r="A417" s="5">
        <v>13.0</v>
      </c>
      <c r="B417" s="5">
        <v>20142.0</v>
      </c>
      <c r="C417" s="5">
        <v>95.49789800440836</v>
      </c>
      <c r="D417" s="5">
        <v>95.23834864423978</v>
      </c>
      <c r="E417" s="5">
        <v>-4.502101995591644</v>
      </c>
      <c r="F417" s="5">
        <v>-4.761651355760222</v>
      </c>
      <c r="G417" s="5">
        <v>1.7619674424929288</v>
      </c>
      <c r="H417" s="5">
        <v>6.523618798253151</v>
      </c>
      <c r="I417" s="9" t="b">
        <v>1</v>
      </c>
      <c r="J417" s="9" t="b">
        <v>1</v>
      </c>
    </row>
    <row r="418" ht="15.75" customHeight="1">
      <c r="A418" s="5">
        <v>14.0</v>
      </c>
      <c r="B418" s="5">
        <v>20142.0</v>
      </c>
      <c r="C418" s="5">
        <v>100.04562203134276</v>
      </c>
      <c r="D418" s="5">
        <v>102.75114351142732</v>
      </c>
      <c r="E418" s="5">
        <v>0.04562203134275933</v>
      </c>
      <c r="F418" s="5">
        <v>2.7511435114273155</v>
      </c>
      <c r="G418" s="5">
        <v>5.607212748108914</v>
      </c>
      <c r="H418" s="5">
        <v>2.8560692366815985</v>
      </c>
      <c r="I418" s="9" t="b">
        <v>1</v>
      </c>
      <c r="J418" s="9" t="b">
        <v>0</v>
      </c>
    </row>
    <row r="419" ht="15.75" customHeight="1">
      <c r="A419" s="5">
        <v>15.0</v>
      </c>
      <c r="B419" s="5">
        <v>20142.0</v>
      </c>
      <c r="C419" s="5">
        <v>104.37219730941705</v>
      </c>
      <c r="D419" s="5">
        <v>104.02234636871508</v>
      </c>
      <c r="E419" s="5">
        <v>4.3721973094170465</v>
      </c>
      <c r="F419" s="5">
        <v>4.022346368715077</v>
      </c>
      <c r="G419" s="5">
        <v>2.1031205214570248</v>
      </c>
      <c r="H419" s="5">
        <v>-1.9192258472580521</v>
      </c>
      <c r="I419" s="9" t="b">
        <v>1</v>
      </c>
      <c r="J419" s="9" t="b">
        <v>0</v>
      </c>
    </row>
    <row r="420" ht="15.75" customHeight="1">
      <c r="A420" s="5">
        <v>16.0</v>
      </c>
      <c r="B420" s="5">
        <v>20142.0</v>
      </c>
      <c r="C420" s="5">
        <v>108.12536542311184</v>
      </c>
      <c r="D420" s="5">
        <v>95.31242095289304</v>
      </c>
      <c r="E420" s="5">
        <v>8.125365423111845</v>
      </c>
      <c r="F420" s="5">
        <v>-4.687579047106965</v>
      </c>
      <c r="G420" s="5">
        <v>-2.0628327779873445</v>
      </c>
      <c r="H420" s="5">
        <v>2.6247462691196204</v>
      </c>
      <c r="I420" s="9" t="b">
        <v>1</v>
      </c>
      <c r="J420" s="9" t="b">
        <v>0</v>
      </c>
    </row>
    <row r="421" ht="15.75" customHeight="1">
      <c r="A421" s="5">
        <v>17.0</v>
      </c>
      <c r="B421" s="5">
        <v>20142.0</v>
      </c>
      <c r="C421" s="5">
        <v>97.24061810154524</v>
      </c>
      <c r="D421" s="5">
        <v>101.7321016166282</v>
      </c>
      <c r="E421" s="5">
        <v>-2.7593818984547624</v>
      </c>
      <c r="F421" s="5">
        <v>1.7321016166281993</v>
      </c>
      <c r="G421" s="5">
        <v>-1.5560575294777834</v>
      </c>
      <c r="H421" s="5">
        <v>-3.2881591461059827</v>
      </c>
      <c r="I421" s="9" t="b">
        <v>1</v>
      </c>
      <c r="J421" s="9" t="b">
        <v>1</v>
      </c>
    </row>
    <row r="422" ht="15.75" customHeight="1">
      <c r="A422" s="5">
        <v>1.0</v>
      </c>
      <c r="B422" s="5">
        <v>20152.0</v>
      </c>
      <c r="C422" s="5">
        <v>99.7837837837838</v>
      </c>
      <c r="D422" s="5">
        <v>102.66963292547273</v>
      </c>
      <c r="E422" s="5">
        <v>-0.21621621621619624</v>
      </c>
      <c r="F422" s="5">
        <v>2.669632925472726</v>
      </c>
      <c r="G422" s="5">
        <v>0.24721036096519988</v>
      </c>
      <c r="H422" s="5">
        <v>-2.422422564507526</v>
      </c>
      <c r="I422" s="9" t="b">
        <v>1</v>
      </c>
      <c r="J422" s="9" t="b">
        <v>0</v>
      </c>
    </row>
    <row r="423" ht="15.75" customHeight="1">
      <c r="A423" s="5">
        <v>2.0</v>
      </c>
      <c r="B423" s="5">
        <v>20152.0</v>
      </c>
      <c r="C423" s="5">
        <v>100.84925690021232</v>
      </c>
      <c r="D423" s="5">
        <v>103.26086956521738</v>
      </c>
      <c r="E423" s="5">
        <v>0.8492569002123247</v>
      </c>
      <c r="F423" s="5">
        <v>3.2608695652173765</v>
      </c>
      <c r="G423" s="5">
        <v>3.3360418171435313</v>
      </c>
      <c r="H423" s="5">
        <v>0.07517225192615484</v>
      </c>
      <c r="I423" s="9" t="b">
        <v>1</v>
      </c>
      <c r="J423" s="9" t="b">
        <v>0</v>
      </c>
    </row>
    <row r="424" ht="15.75" customHeight="1">
      <c r="A424" s="5">
        <v>5.0</v>
      </c>
      <c r="B424" s="5">
        <v>20152.0</v>
      </c>
      <c r="C424" s="5">
        <v>99.67399254405302</v>
      </c>
      <c r="D424" s="5">
        <v>103.71434513661342</v>
      </c>
      <c r="E424" s="5">
        <v>-0.32600745594697855</v>
      </c>
      <c r="F424" s="5">
        <v>3.7143451366134173</v>
      </c>
      <c r="G424" s="5">
        <v>1.9321517287160583</v>
      </c>
      <c r="H424" s="5">
        <v>-1.782193407897359</v>
      </c>
      <c r="I424" s="9" t="b">
        <v>1</v>
      </c>
      <c r="J424" s="9" t="b">
        <v>0</v>
      </c>
    </row>
    <row r="425" ht="15.75" customHeight="1">
      <c r="A425" s="5">
        <v>6.0</v>
      </c>
      <c r="B425" s="5">
        <v>20152.0</v>
      </c>
      <c r="C425" s="5">
        <v>101.12971548332855</v>
      </c>
      <c r="D425" s="5">
        <v>98.07942092522254</v>
      </c>
      <c r="E425" s="5">
        <v>1.1297154833285532</v>
      </c>
      <c r="F425" s="5">
        <v>-1.9205790747774643</v>
      </c>
      <c r="G425" s="5">
        <v>-0.8572506648889422</v>
      </c>
      <c r="H425" s="5">
        <v>1.063328409888522</v>
      </c>
      <c r="I425" s="9" t="b">
        <v>1</v>
      </c>
      <c r="J425" s="9" t="b">
        <v>0</v>
      </c>
    </row>
    <row r="426" ht="15.75" customHeight="1">
      <c r="A426" s="5">
        <v>7.0</v>
      </c>
      <c r="B426" s="5">
        <v>20152.0</v>
      </c>
      <c r="C426" s="5">
        <v>102.32726938879053</v>
      </c>
      <c r="D426" s="5">
        <v>100.1727640749722</v>
      </c>
      <c r="E426" s="5">
        <v>2.3272693887905262</v>
      </c>
      <c r="F426" s="5">
        <v>0.17276407497220703</v>
      </c>
      <c r="G426" s="5">
        <v>1.149442473864415</v>
      </c>
      <c r="H426" s="5">
        <v>0.9766783988922079</v>
      </c>
      <c r="I426" s="9" t="b">
        <v>1</v>
      </c>
      <c r="J426" s="9" t="b">
        <v>0</v>
      </c>
    </row>
    <row r="427" ht="15.75" customHeight="1">
      <c r="A427" s="5">
        <v>8.0</v>
      </c>
      <c r="B427" s="5">
        <v>20152.0</v>
      </c>
      <c r="C427" s="5">
        <v>99.89576153573948</v>
      </c>
      <c r="D427" s="5">
        <v>100.18548747592448</v>
      </c>
      <c r="E427" s="5">
        <v>-0.10423846426051853</v>
      </c>
      <c r="F427" s="5">
        <v>0.18548747592447512</v>
      </c>
      <c r="G427" s="5">
        <v>1.6647573387721604</v>
      </c>
      <c r="H427" s="5">
        <v>1.4792698628476852</v>
      </c>
      <c r="I427" s="9" t="b">
        <v>1</v>
      </c>
      <c r="J427" s="9" t="b">
        <v>0</v>
      </c>
    </row>
    <row r="428" ht="15.75" customHeight="1">
      <c r="A428" s="5">
        <v>9.0</v>
      </c>
      <c r="B428" s="5">
        <v>20152.0</v>
      </c>
      <c r="C428" s="5">
        <v>100.75106128224664</v>
      </c>
      <c r="D428" s="5">
        <v>99.3879523247074</v>
      </c>
      <c r="E428" s="5">
        <v>0.7510612822466385</v>
      </c>
      <c r="F428" s="5">
        <v>-0.612047675292601</v>
      </c>
      <c r="G428" s="5">
        <v>-3.4375577990598427</v>
      </c>
      <c r="H428" s="5">
        <v>-2.8255101237672418</v>
      </c>
      <c r="I428" s="9" t="b">
        <v>1</v>
      </c>
      <c r="J428" s="9" t="b">
        <v>0</v>
      </c>
    </row>
    <row r="429" ht="15.75" customHeight="1">
      <c r="A429" s="5">
        <v>10.0</v>
      </c>
      <c r="B429" s="5">
        <v>20152.0</v>
      </c>
      <c r="C429" s="5">
        <v>99.0198440314142</v>
      </c>
      <c r="D429" s="5">
        <v>97.2467718215517</v>
      </c>
      <c r="E429" s="5">
        <v>-0.9801559685858052</v>
      </c>
      <c r="F429" s="5">
        <v>-2.753228178448296</v>
      </c>
      <c r="G429" s="5">
        <v>1.982694857015832</v>
      </c>
      <c r="H429" s="5">
        <v>4.735923035464128</v>
      </c>
      <c r="I429" s="9" t="b">
        <v>1</v>
      </c>
      <c r="J429" s="9" t="b">
        <v>1</v>
      </c>
    </row>
    <row r="430" ht="15.75" customHeight="1">
      <c r="A430" s="5">
        <v>11.0</v>
      </c>
      <c r="B430" s="5">
        <v>20152.0</v>
      </c>
      <c r="C430" s="5">
        <v>98.15519441109583</v>
      </c>
      <c r="D430" s="5">
        <v>99.98685452198497</v>
      </c>
      <c r="E430" s="5">
        <v>-1.8448055889041655</v>
      </c>
      <c r="F430" s="5">
        <v>-0.013145478015033518</v>
      </c>
      <c r="G430" s="5">
        <v>0.3418384699155119</v>
      </c>
      <c r="H430" s="5">
        <v>0.35498394793054544</v>
      </c>
      <c r="I430" s="9" t="b">
        <v>1</v>
      </c>
      <c r="J430" s="9" t="b">
        <v>1</v>
      </c>
    </row>
    <row r="431" ht="15.75" customHeight="1">
      <c r="A431" s="5">
        <v>12.0</v>
      </c>
      <c r="B431" s="5">
        <v>20152.0</v>
      </c>
      <c r="C431" s="5">
        <v>98.9537925021796</v>
      </c>
      <c r="D431" s="5">
        <v>101.06856634016027</v>
      </c>
      <c r="E431" s="5">
        <v>-1.0462074978204043</v>
      </c>
      <c r="F431" s="5">
        <v>1.0685663401602739</v>
      </c>
      <c r="G431" s="5">
        <v>1.2835137731681323</v>
      </c>
      <c r="H431" s="5">
        <v>0.21494743300785846</v>
      </c>
      <c r="I431" s="9" t="b">
        <v>1</v>
      </c>
      <c r="J431" s="9" t="b">
        <v>0</v>
      </c>
    </row>
    <row r="432" ht="15.75" customHeight="1">
      <c r="A432" s="5">
        <v>13.0</v>
      </c>
      <c r="B432" s="5">
        <v>20152.0</v>
      </c>
      <c r="C432" s="5">
        <v>97.58909929345508</v>
      </c>
      <c r="D432" s="5">
        <v>101.56607124342192</v>
      </c>
      <c r="E432" s="5">
        <v>-2.410900706544922</v>
      </c>
      <c r="F432" s="5">
        <v>1.5660712434219164</v>
      </c>
      <c r="G432" s="5">
        <v>1.7573986329605162</v>
      </c>
      <c r="H432" s="5">
        <v>0.19132738953859985</v>
      </c>
      <c r="I432" s="9" t="b">
        <v>1</v>
      </c>
      <c r="J432" s="9" t="b">
        <v>0</v>
      </c>
    </row>
    <row r="433" ht="15.75" customHeight="1">
      <c r="A433" s="5">
        <v>14.0</v>
      </c>
      <c r="B433" s="5">
        <v>20152.0</v>
      </c>
      <c r="C433" s="5">
        <v>101.55608952229574</v>
      </c>
      <c r="D433" s="5">
        <v>103.52014116045696</v>
      </c>
      <c r="E433" s="5">
        <v>1.5560895222957356</v>
      </c>
      <c r="F433" s="5">
        <v>3.5201411604569586</v>
      </c>
      <c r="G433" s="5">
        <v>0.07136204377684585</v>
      </c>
      <c r="H433" s="5">
        <v>-3.4487791166801127</v>
      </c>
      <c r="I433" s="9" t="b">
        <v>1</v>
      </c>
      <c r="J433" s="9" t="b">
        <v>0</v>
      </c>
    </row>
    <row r="434" ht="15.75" customHeight="1">
      <c r="A434" s="5">
        <v>15.0</v>
      </c>
      <c r="B434" s="5">
        <v>20152.0</v>
      </c>
      <c r="C434" s="5">
        <v>99.23161361141604</v>
      </c>
      <c r="D434" s="5">
        <v>97.0998925886144</v>
      </c>
      <c r="E434" s="5">
        <v>-0.7683863885839628</v>
      </c>
      <c r="F434" s="5">
        <v>-2.900107411385605</v>
      </c>
      <c r="G434" s="5">
        <v>0.06816971580310138</v>
      </c>
      <c r="H434" s="5">
        <v>2.9682771271887063</v>
      </c>
      <c r="I434" s="9" t="b">
        <v>1</v>
      </c>
      <c r="J434" s="9" t="b">
        <v>1</v>
      </c>
    </row>
    <row r="435" ht="15.75" customHeight="1">
      <c r="A435" s="5">
        <v>16.0</v>
      </c>
      <c r="B435" s="5">
        <v>20152.0</v>
      </c>
      <c r="C435" s="5">
        <v>97.74497492949466</v>
      </c>
      <c r="D435" s="5">
        <v>93.18000155857766</v>
      </c>
      <c r="E435" s="5">
        <v>-2.25502507050534</v>
      </c>
      <c r="F435" s="5">
        <v>-6.819998441422342</v>
      </c>
      <c r="G435" s="5">
        <v>-1.9977688540035232</v>
      </c>
      <c r="H435" s="5">
        <v>4.8222295874188195</v>
      </c>
      <c r="I435" s="9" t="b">
        <v>1</v>
      </c>
      <c r="J435" s="9" t="b">
        <v>0</v>
      </c>
    </row>
    <row r="436" ht="15.75" customHeight="1">
      <c r="A436" s="5">
        <v>17.0</v>
      </c>
      <c r="B436" s="5">
        <v>20152.0</v>
      </c>
      <c r="C436" s="5">
        <v>97.29606389047348</v>
      </c>
      <c r="D436" s="5">
        <v>96.79909194097615</v>
      </c>
      <c r="E436" s="5">
        <v>-2.7039361095265235</v>
      </c>
      <c r="F436" s="5">
        <v>-3.2009080590238455</v>
      </c>
      <c r="G436" s="5">
        <v>1.6028348802435977</v>
      </c>
      <c r="H436" s="5">
        <v>4.803742939267443</v>
      </c>
      <c r="I436" s="9" t="b">
        <v>1</v>
      </c>
      <c r="J436" s="9" t="b">
        <v>1</v>
      </c>
    </row>
    <row r="437" ht="15.75" customHeight="1">
      <c r="A437" s="5">
        <v>1.0</v>
      </c>
      <c r="B437" s="5">
        <v>20162.0</v>
      </c>
      <c r="C437" s="5">
        <v>100.43057050592031</v>
      </c>
      <c r="D437" s="5">
        <v>101.0834236186349</v>
      </c>
      <c r="E437" s="5">
        <v>0.43057050592031487</v>
      </c>
      <c r="F437" s="5">
        <v>1.083423618634896</v>
      </c>
      <c r="G437" s="5">
        <v>0.31777986074321696</v>
      </c>
      <c r="H437" s="5">
        <v>-0.765643757891679</v>
      </c>
      <c r="I437" s="9" t="b">
        <v>1</v>
      </c>
      <c r="J437" s="9" t="b">
        <v>0</v>
      </c>
    </row>
    <row r="438" ht="15.75" customHeight="1">
      <c r="A438" s="5">
        <v>2.0</v>
      </c>
      <c r="B438" s="5">
        <v>20162.0</v>
      </c>
      <c r="C438" s="5">
        <v>102.49739854318418</v>
      </c>
      <c r="D438" s="5">
        <v>103.68421052631578</v>
      </c>
      <c r="E438" s="5">
        <v>2.4973985431841754</v>
      </c>
      <c r="F438" s="5">
        <v>3.6842105263157805</v>
      </c>
      <c r="G438" s="5">
        <v>4.042528017858293</v>
      </c>
      <c r="H438" s="5">
        <v>0.3583174915425129</v>
      </c>
      <c r="I438" s="9" t="b">
        <v>1</v>
      </c>
      <c r="J438" s="9" t="b">
        <v>0</v>
      </c>
    </row>
    <row r="439" ht="15.75" customHeight="1">
      <c r="A439" s="5">
        <v>5.0</v>
      </c>
      <c r="B439" s="5">
        <v>20162.0</v>
      </c>
      <c r="C439" s="5">
        <v>97.5367553883403</v>
      </c>
      <c r="D439" s="5">
        <v>97.99577567516624</v>
      </c>
      <c r="E439" s="5">
        <v>-2.4632446116597038</v>
      </c>
      <c r="F439" s="5">
        <v>-2.004224324833757</v>
      </c>
      <c r="G439" s="5">
        <v>1.1466339554285776</v>
      </c>
      <c r="H439" s="5">
        <v>3.1508582802623346</v>
      </c>
      <c r="I439" s="9" t="b">
        <v>1</v>
      </c>
      <c r="J439" s="9" t="b">
        <v>1</v>
      </c>
    </row>
    <row r="440" ht="15.75" customHeight="1">
      <c r="A440" s="5">
        <v>6.0</v>
      </c>
      <c r="B440" s="5">
        <v>20162.0</v>
      </c>
      <c r="C440" s="5">
        <v>99.1307843713767</v>
      </c>
      <c r="D440" s="5">
        <v>94.29766214733658</v>
      </c>
      <c r="E440" s="5">
        <v>-0.8692156286232944</v>
      </c>
      <c r="F440" s="5">
        <v>-5.702337852663419</v>
      </c>
      <c r="G440" s="5">
        <v>-3.3002296870271453</v>
      </c>
      <c r="H440" s="5">
        <v>2.4021081656362737</v>
      </c>
      <c r="I440" s="9" t="b">
        <v>1</v>
      </c>
      <c r="J440" s="9" t="b">
        <v>0</v>
      </c>
    </row>
    <row r="441" ht="15.75" customHeight="1">
      <c r="A441" s="5">
        <v>7.0</v>
      </c>
      <c r="B441" s="5">
        <v>20162.0</v>
      </c>
      <c r="C441" s="5">
        <v>103.89892790755506</v>
      </c>
      <c r="D441" s="5">
        <v>100.09656813690826</v>
      </c>
      <c r="E441" s="5">
        <v>3.8989279075550627</v>
      </c>
      <c r="F441" s="5">
        <v>0.09656813690826027</v>
      </c>
      <c r="G441" s="5">
        <v>0.020421325095432152</v>
      </c>
      <c r="H441" s="5">
        <v>-0.07614681181282812</v>
      </c>
      <c r="I441" s="9" t="b">
        <v>1</v>
      </c>
      <c r="J441" s="9" t="b">
        <v>0</v>
      </c>
    </row>
    <row r="442" ht="15.75" customHeight="1">
      <c r="A442" s="5">
        <v>8.0</v>
      </c>
      <c r="B442" s="5">
        <v>20162.0</v>
      </c>
      <c r="C442" s="5">
        <v>102.88264259335249</v>
      </c>
      <c r="D442" s="5">
        <v>104.29492512479202</v>
      </c>
      <c r="E442" s="5">
        <v>2.882642593352486</v>
      </c>
      <c r="F442" s="5">
        <v>4.294925124792016</v>
      </c>
      <c r="G442" s="5">
        <v>0.4359710886901569</v>
      </c>
      <c r="H442" s="5">
        <v>-3.858954036101859</v>
      </c>
      <c r="I442" s="9" t="b">
        <v>1</v>
      </c>
      <c r="J442" s="9" t="b">
        <v>0</v>
      </c>
    </row>
    <row r="443" ht="15.75" customHeight="1">
      <c r="A443" s="5">
        <v>9.0</v>
      </c>
      <c r="B443" s="5">
        <v>20162.0</v>
      </c>
      <c r="C443" s="5">
        <v>101.0524054982818</v>
      </c>
      <c r="D443" s="5">
        <v>101.66378565254968</v>
      </c>
      <c r="E443" s="5">
        <v>1.0524054982818</v>
      </c>
      <c r="F443" s="5">
        <v>1.6637856525496773</v>
      </c>
      <c r="G443" s="5">
        <v>2.6654096248277304</v>
      </c>
      <c r="H443" s="5">
        <v>1.001623972278053</v>
      </c>
      <c r="I443" s="9" t="b">
        <v>1</v>
      </c>
      <c r="J443" s="9" t="b">
        <v>0</v>
      </c>
    </row>
    <row r="444" ht="15.75" customHeight="1">
      <c r="A444" s="5">
        <v>10.0</v>
      </c>
      <c r="B444" s="5">
        <v>20162.0</v>
      </c>
      <c r="C444" s="5">
        <v>103.2366061292834</v>
      </c>
      <c r="D444" s="5">
        <v>103.78422650970197</v>
      </c>
      <c r="E444" s="5">
        <v>3.236606129283402</v>
      </c>
      <c r="F444" s="5">
        <v>3.7842265097019663</v>
      </c>
      <c r="G444" s="5">
        <v>1.367103945078596</v>
      </c>
      <c r="H444" s="5">
        <v>-2.4171225646233703</v>
      </c>
      <c r="I444" s="9" t="b">
        <v>1</v>
      </c>
      <c r="J444" s="9" t="b">
        <v>0</v>
      </c>
    </row>
    <row r="445" ht="15.75" customHeight="1">
      <c r="A445" s="5">
        <v>11.0</v>
      </c>
      <c r="B445" s="5">
        <v>20162.0</v>
      </c>
      <c r="C445" s="5">
        <v>101.05090573848156</v>
      </c>
      <c r="D445" s="5">
        <v>104.25303292660206</v>
      </c>
      <c r="E445" s="5">
        <v>1.0509057384815605</v>
      </c>
      <c r="F445" s="5">
        <v>4.25303292660206</v>
      </c>
      <c r="G445" s="5">
        <v>3.6297897524435685</v>
      </c>
      <c r="H445" s="5">
        <v>-0.6232431741584916</v>
      </c>
      <c r="I445" s="9" t="b">
        <v>1</v>
      </c>
      <c r="J445" s="9" t="b">
        <v>0</v>
      </c>
    </row>
    <row r="446" ht="15.75" customHeight="1">
      <c r="A446" s="5">
        <v>12.0</v>
      </c>
      <c r="B446" s="5">
        <v>20162.0</v>
      </c>
      <c r="C446" s="5">
        <v>101.12359550561798</v>
      </c>
      <c r="D446" s="5">
        <v>103.08370044052865</v>
      </c>
      <c r="E446" s="5">
        <v>1.1235955056179847</v>
      </c>
      <c r="F446" s="5">
        <v>3.083700440528645</v>
      </c>
      <c r="G446" s="5">
        <v>2.442380998504823</v>
      </c>
      <c r="H446" s="5">
        <v>-0.6413194420238222</v>
      </c>
      <c r="I446" s="9" t="b">
        <v>1</v>
      </c>
      <c r="J446" s="9" t="b">
        <v>0</v>
      </c>
    </row>
    <row r="447" ht="15.75" customHeight="1">
      <c r="A447" s="5">
        <v>13.0</v>
      </c>
      <c r="B447" s="5">
        <v>20162.0</v>
      </c>
      <c r="C447" s="5">
        <v>105.58621662751148</v>
      </c>
      <c r="D447" s="5">
        <v>107.40426179065273</v>
      </c>
      <c r="E447" s="5">
        <v>5.586216627511476</v>
      </c>
      <c r="F447" s="5">
        <v>7.4042617906527255</v>
      </c>
      <c r="G447" s="5">
        <v>2.5835022722397794</v>
      </c>
      <c r="H447" s="5">
        <v>-4.820759518412946</v>
      </c>
      <c r="I447" s="9" t="b">
        <v>1</v>
      </c>
      <c r="J447" s="9" t="b">
        <v>0</v>
      </c>
    </row>
    <row r="448" ht="15.75" customHeight="1">
      <c r="A448" s="5">
        <v>14.0</v>
      </c>
      <c r="B448" s="5">
        <v>20162.0</v>
      </c>
      <c r="C448" s="5">
        <v>102.40077843668504</v>
      </c>
      <c r="D448" s="5">
        <v>101.33411721955052</v>
      </c>
      <c r="E448" s="5">
        <v>2.4007784366850444</v>
      </c>
      <c r="F448" s="5">
        <v>1.3341172195505209</v>
      </c>
      <c r="G448" s="5">
        <v>1.4588274179744953</v>
      </c>
      <c r="H448" s="5">
        <v>0.12471019842397446</v>
      </c>
      <c r="I448" s="9" t="b">
        <v>1</v>
      </c>
      <c r="J448" s="9" t="b">
        <v>0</v>
      </c>
    </row>
    <row r="449" ht="15.75" customHeight="1">
      <c r="A449" s="5">
        <v>15.0</v>
      </c>
      <c r="B449" s="5">
        <v>20162.0</v>
      </c>
      <c r="C449" s="5">
        <v>103.75690607734806</v>
      </c>
      <c r="D449" s="5">
        <v>103.8716814159292</v>
      </c>
      <c r="E449" s="5">
        <v>3.756906077348063</v>
      </c>
      <c r="F449" s="5">
        <v>3.871681415929203</v>
      </c>
      <c r="G449" s="5">
        <v>2.7209615124306863</v>
      </c>
      <c r="H449" s="5">
        <v>-1.1507199034985165</v>
      </c>
      <c r="I449" s="9" t="b">
        <v>1</v>
      </c>
      <c r="J449" s="9" t="b">
        <v>0</v>
      </c>
    </row>
    <row r="450" ht="15.75" customHeight="1">
      <c r="A450" s="5">
        <v>16.0</v>
      </c>
      <c r="B450" s="5">
        <v>20162.0</v>
      </c>
      <c r="C450" s="5">
        <v>104.72208119152218</v>
      </c>
      <c r="D450" s="5">
        <v>107.04382155518</v>
      </c>
      <c r="E450" s="5">
        <v>4.722081191522179</v>
      </c>
      <c r="F450" s="5">
        <v>7.043821555180003</v>
      </c>
      <c r="G450" s="5">
        <v>4.877540229874566</v>
      </c>
      <c r="H450" s="5">
        <v>-2.1662813253054365</v>
      </c>
      <c r="I450" s="9" t="b">
        <v>1</v>
      </c>
      <c r="J450" s="9" t="b">
        <v>0</v>
      </c>
    </row>
    <row r="451" ht="15.75" customHeight="1">
      <c r="A451" s="5">
        <v>17.0</v>
      </c>
      <c r="B451" s="5">
        <v>20162.0</v>
      </c>
      <c r="C451" s="5">
        <v>101.95922086798042</v>
      </c>
      <c r="D451" s="5">
        <v>104.96013133208255</v>
      </c>
      <c r="E451" s="5">
        <v>1.9592208679804202</v>
      </c>
      <c r="F451" s="5">
        <v>4.960131332082554</v>
      </c>
      <c r="G451" s="5">
        <v>1.5591500420766957</v>
      </c>
      <c r="H451" s="5">
        <v>-3.4009812900058582</v>
      </c>
      <c r="I451" s="9" t="b">
        <v>1</v>
      </c>
      <c r="J451" s="9" t="b">
        <v>0</v>
      </c>
    </row>
    <row r="452" ht="15.75" customHeight="1">
      <c r="A452" s="5">
        <v>1.0</v>
      </c>
      <c r="B452" s="5">
        <v>20172.0</v>
      </c>
      <c r="C452" s="5">
        <v>100.7028193116642</v>
      </c>
      <c r="D452" s="5">
        <v>103.51494896142349</v>
      </c>
      <c r="E452" s="5">
        <v>0.7028193116642001</v>
      </c>
      <c r="F452" s="5">
        <v>3.5149489614234852</v>
      </c>
      <c r="G452" s="5">
        <v>2.8530362509856078</v>
      </c>
      <c r="H452" s="5">
        <v>-0.6619127104378775</v>
      </c>
      <c r="I452" s="9" t="b">
        <v>1</v>
      </c>
      <c r="J452" s="9" t="b">
        <v>0</v>
      </c>
    </row>
    <row r="453" ht="15.75" customHeight="1">
      <c r="A453" s="5">
        <v>2.0</v>
      </c>
      <c r="B453" s="5">
        <v>20172.0</v>
      </c>
      <c r="C453" s="5">
        <v>102.08747514910536</v>
      </c>
      <c r="D453" s="5">
        <v>104.26395939086296</v>
      </c>
      <c r="E453" s="5">
        <v>2.0874751491053587</v>
      </c>
      <c r="F453" s="5">
        <v>4.263959390862965</v>
      </c>
      <c r="G453" s="5">
        <v>3.300170525493029</v>
      </c>
      <c r="H453" s="5">
        <v>-0.9637888653699358</v>
      </c>
      <c r="I453" s="9" t="b">
        <v>1</v>
      </c>
      <c r="J453" s="9" t="b">
        <v>0</v>
      </c>
    </row>
    <row r="454" ht="15.75" customHeight="1">
      <c r="A454" s="5">
        <v>5.0</v>
      </c>
      <c r="B454" s="5">
        <v>20172.0</v>
      </c>
      <c r="C454" s="5">
        <v>98.2640920746281</v>
      </c>
      <c r="D454" s="5">
        <v>100.45124941033234</v>
      </c>
      <c r="E454" s="5">
        <v>-1.7359079253719045</v>
      </c>
      <c r="F454" s="5">
        <v>0.4512494103323377</v>
      </c>
      <c r="G454" s="5">
        <v>1.7397324427859129</v>
      </c>
      <c r="H454" s="5">
        <v>1.2884830324535752</v>
      </c>
      <c r="I454" s="9" t="b">
        <v>1</v>
      </c>
      <c r="J454" s="9" t="b">
        <v>0</v>
      </c>
    </row>
    <row r="455" ht="15.75" customHeight="1">
      <c r="A455" s="5">
        <v>6.0</v>
      </c>
      <c r="B455" s="5">
        <v>20172.0</v>
      </c>
      <c r="C455" s="5">
        <v>101.7916266297052</v>
      </c>
      <c r="D455" s="5">
        <v>100.07408880856958</v>
      </c>
      <c r="E455" s="5">
        <v>1.7916266297052061</v>
      </c>
      <c r="F455" s="5">
        <v>0.07408880856958433</v>
      </c>
      <c r="G455" s="5">
        <v>2.940195192678652</v>
      </c>
      <c r="H455" s="5">
        <v>2.8661063841090675</v>
      </c>
      <c r="I455" s="9" t="b">
        <v>1</v>
      </c>
      <c r="J455" s="9" t="b">
        <v>0</v>
      </c>
    </row>
    <row r="456" ht="15.75" customHeight="1">
      <c r="A456" s="5">
        <v>7.0</v>
      </c>
      <c r="B456" s="5">
        <v>20172.0</v>
      </c>
      <c r="C456" s="5">
        <v>100.26523351387456</v>
      </c>
      <c r="D456" s="5">
        <v>107.6582443164671</v>
      </c>
      <c r="E456" s="5">
        <v>0.26523351387456273</v>
      </c>
      <c r="F456" s="5">
        <v>7.658244316467105</v>
      </c>
      <c r="G456" s="5">
        <v>5.23503724600094</v>
      </c>
      <c r="H456" s="5">
        <v>-2.423207070466165</v>
      </c>
      <c r="I456" s="9" t="b">
        <v>1</v>
      </c>
      <c r="J456" s="9" t="b">
        <v>0</v>
      </c>
    </row>
    <row r="457" ht="15.75" customHeight="1">
      <c r="A457" s="5">
        <v>8.0</v>
      </c>
      <c r="B457" s="5">
        <v>20172.0</v>
      </c>
      <c r="C457" s="5">
        <v>99.96999699969996</v>
      </c>
      <c r="D457" s="5">
        <v>99.67095423272508</v>
      </c>
      <c r="E457" s="5">
        <v>-0.03000300030004155</v>
      </c>
      <c r="F457" s="5">
        <v>-0.32904576727491985</v>
      </c>
      <c r="G457" s="5">
        <v>2.053442688866358</v>
      </c>
      <c r="H457" s="5">
        <v>2.382488456141278</v>
      </c>
      <c r="I457" s="9" t="b">
        <v>1</v>
      </c>
      <c r="J457" s="9" t="b">
        <v>1</v>
      </c>
    </row>
    <row r="458" ht="15.75" customHeight="1">
      <c r="A458" s="5">
        <v>9.0</v>
      </c>
      <c r="B458" s="5">
        <v>20172.0</v>
      </c>
      <c r="C458" s="5">
        <v>103.10925270719416</v>
      </c>
      <c r="D458" s="5">
        <v>102.19978746014878</v>
      </c>
      <c r="E458" s="5">
        <v>3.109252707194159</v>
      </c>
      <c r="F458" s="5">
        <v>2.1997874601487837</v>
      </c>
      <c r="G458" s="5">
        <v>3.148646651337361</v>
      </c>
      <c r="H458" s="5">
        <v>0.9488591911885775</v>
      </c>
      <c r="I458" s="9" t="b">
        <v>1</v>
      </c>
      <c r="J458" s="9" t="b">
        <v>0</v>
      </c>
    </row>
    <row r="459" ht="15.75" customHeight="1">
      <c r="A459" s="5">
        <v>10.0</v>
      </c>
      <c r="B459" s="5">
        <v>20172.0</v>
      </c>
      <c r="C459" s="5">
        <v>99.71216903898804</v>
      </c>
      <c r="D459" s="5">
        <v>105.12723765273569</v>
      </c>
      <c r="E459" s="5">
        <v>-0.2878309610119629</v>
      </c>
      <c r="F459" s="5">
        <v>5.127237652735687</v>
      </c>
      <c r="G459" s="5">
        <v>5.635233219891433</v>
      </c>
      <c r="H459" s="5">
        <v>0.5079955671557466</v>
      </c>
      <c r="I459" s="9" t="b">
        <v>1</v>
      </c>
      <c r="J459" s="9" t="b">
        <v>0</v>
      </c>
    </row>
    <row r="460" ht="15.75" customHeight="1">
      <c r="A460" s="5">
        <v>11.0</v>
      </c>
      <c r="B460" s="5">
        <v>20172.0</v>
      </c>
      <c r="C460" s="5">
        <v>101.32773423526687</v>
      </c>
      <c r="D460" s="5">
        <v>102.37791499941716</v>
      </c>
      <c r="E460" s="5">
        <v>1.327734235266874</v>
      </c>
      <c r="F460" s="5">
        <v>2.3779149994171576</v>
      </c>
      <c r="G460" s="5">
        <v>5.772624931928805</v>
      </c>
      <c r="H460" s="5">
        <v>3.394709932511647</v>
      </c>
      <c r="I460" s="9" t="b">
        <v>1</v>
      </c>
      <c r="J460" s="9" t="b">
        <v>0</v>
      </c>
    </row>
    <row r="461" ht="15.75" customHeight="1">
      <c r="A461" s="5">
        <v>12.0</v>
      </c>
      <c r="B461" s="5">
        <v>20172.0</v>
      </c>
      <c r="C461" s="5">
        <v>102.90350128095643</v>
      </c>
      <c r="D461" s="5">
        <v>102.99145299145296</v>
      </c>
      <c r="E461" s="5">
        <v>2.9035012809564336</v>
      </c>
      <c r="F461" s="5">
        <v>2.9914529914529595</v>
      </c>
      <c r="G461" s="5">
        <v>5.568268993748071</v>
      </c>
      <c r="H461" s="5">
        <v>2.5768160022951117</v>
      </c>
      <c r="I461" s="9" t="b">
        <v>1</v>
      </c>
      <c r="J461" s="9" t="b">
        <v>0</v>
      </c>
    </row>
    <row r="462" ht="15.75" customHeight="1">
      <c r="A462" s="5">
        <v>13.0</v>
      </c>
      <c r="B462" s="5">
        <v>20172.0</v>
      </c>
      <c r="C462" s="5">
        <v>102.4674484900243</v>
      </c>
      <c r="D462" s="5">
        <v>104.53872968088682</v>
      </c>
      <c r="E462" s="5">
        <v>2.467448490024296</v>
      </c>
      <c r="F462" s="5">
        <v>4.538729680886817</v>
      </c>
      <c r="G462" s="5">
        <v>6.280917958032983</v>
      </c>
      <c r="H462" s="5">
        <v>1.742188277146166</v>
      </c>
      <c r="I462" s="9" t="b">
        <v>1</v>
      </c>
      <c r="J462" s="9" t="b">
        <v>0</v>
      </c>
    </row>
    <row r="463" ht="15.75" customHeight="1">
      <c r="A463" s="5">
        <v>14.0</v>
      </c>
      <c r="B463" s="5">
        <v>20172.0</v>
      </c>
      <c r="C463" s="5">
        <v>99.7189277114982</v>
      </c>
      <c r="D463" s="5">
        <v>102.63310058003694</v>
      </c>
      <c r="E463" s="5">
        <v>-0.28107228850180377</v>
      </c>
      <c r="F463" s="5">
        <v>2.6331005800369383</v>
      </c>
      <c r="G463" s="5">
        <v>5.33448492512405</v>
      </c>
      <c r="H463" s="5">
        <v>2.701384345087112</v>
      </c>
      <c r="I463" s="9" t="b">
        <v>1</v>
      </c>
      <c r="J463" s="9" t="b">
        <v>0</v>
      </c>
    </row>
    <row r="464" ht="15.75" customHeight="1">
      <c r="A464" s="5">
        <v>15.0</v>
      </c>
      <c r="B464" s="5">
        <v>20172.0</v>
      </c>
      <c r="C464" s="5">
        <v>99.7946611909651</v>
      </c>
      <c r="D464" s="5">
        <v>103.5143769968051</v>
      </c>
      <c r="E464" s="5">
        <v>-0.20533880903489887</v>
      </c>
      <c r="F464" s="5">
        <v>3.5143769968050975</v>
      </c>
      <c r="G464" s="5">
        <v>4.889867270136361</v>
      </c>
      <c r="H464" s="5">
        <v>1.3754902733312635</v>
      </c>
      <c r="I464" s="9" t="b">
        <v>1</v>
      </c>
      <c r="J464" s="9" t="b">
        <v>0</v>
      </c>
    </row>
    <row r="465" ht="15.75" customHeight="1">
      <c r="A465" s="5">
        <v>16.0</v>
      </c>
      <c r="B465" s="5">
        <v>20172.0</v>
      </c>
      <c r="C465" s="5">
        <v>109.01489272620282</v>
      </c>
      <c r="D465" s="5">
        <v>109.84026650247768</v>
      </c>
      <c r="E465" s="5">
        <v>9.014892726202817</v>
      </c>
      <c r="F465" s="5">
        <v>9.840266502477675</v>
      </c>
      <c r="G465" s="5">
        <v>5.48603976934936</v>
      </c>
      <c r="H465" s="5">
        <v>-4.354226733128315</v>
      </c>
      <c r="I465" s="9" t="b">
        <v>1</v>
      </c>
      <c r="J465" s="9" t="b">
        <v>0</v>
      </c>
    </row>
    <row r="466" ht="15.75" customHeight="1">
      <c r="A466" s="5">
        <v>17.0</v>
      </c>
      <c r="B466" s="5">
        <v>20172.0</v>
      </c>
      <c r="C466" s="5">
        <v>101.09387208393792</v>
      </c>
      <c r="D466" s="5">
        <v>101.18422522623167</v>
      </c>
      <c r="E466" s="5">
        <v>1.0938720839379243</v>
      </c>
      <c r="F466" s="5">
        <v>1.1842252262316748</v>
      </c>
      <c r="G466" s="5">
        <v>5.9945829749593615</v>
      </c>
      <c r="H466" s="5">
        <v>4.810357748727687</v>
      </c>
      <c r="I466" s="9" t="b">
        <v>1</v>
      </c>
      <c r="J466" s="9" t="b">
        <v>0</v>
      </c>
    </row>
    <row r="467" ht="15.75" customHeight="1">
      <c r="A467" s="5">
        <v>1.0</v>
      </c>
      <c r="B467" s="5">
        <v>20182.0</v>
      </c>
      <c r="C467" s="5">
        <v>108.0338886331119</v>
      </c>
      <c r="D467" s="5">
        <v>111.84138402968608</v>
      </c>
      <c r="E467" s="5">
        <v>8.0338886331119</v>
      </c>
      <c r="F467" s="5">
        <v>11.841384029686083</v>
      </c>
      <c r="G467" s="5">
        <v>10.062450414026669</v>
      </c>
      <c r="H467" s="5">
        <v>-1.7789336156594135</v>
      </c>
      <c r="I467" s="9" t="b">
        <v>1</v>
      </c>
      <c r="J467" s="9" t="b">
        <v>0</v>
      </c>
    </row>
    <row r="468" ht="15.75" customHeight="1">
      <c r="A468" s="5">
        <v>2.0</v>
      </c>
      <c r="B468" s="5">
        <v>20182.0</v>
      </c>
      <c r="C468" s="5">
        <v>100.375234521576</v>
      </c>
      <c r="D468" s="5">
        <v>104.18695228821812</v>
      </c>
      <c r="E468" s="5">
        <v>0.37523452157600445</v>
      </c>
      <c r="F468" s="5">
        <v>4.186952288218123</v>
      </c>
      <c r="G468" s="5">
        <v>10.888639355566387</v>
      </c>
      <c r="H468" s="5">
        <v>6.701687067348264</v>
      </c>
      <c r="I468" s="9" t="b">
        <v>1</v>
      </c>
      <c r="J468" s="9" t="b">
        <v>0</v>
      </c>
    </row>
    <row r="469" ht="15.75" customHeight="1">
      <c r="A469" s="5">
        <v>5.0</v>
      </c>
      <c r="B469" s="5">
        <v>20182.0</v>
      </c>
      <c r="C469" s="5">
        <v>103.80004074275526</v>
      </c>
      <c r="D469" s="5">
        <v>117.81015610309912</v>
      </c>
      <c r="E469" s="5">
        <v>3.8000407427552574</v>
      </c>
      <c r="F469" s="5">
        <v>17.810156103099118</v>
      </c>
      <c r="G469" s="5">
        <v>14.170845617131732</v>
      </c>
      <c r="H469" s="5">
        <v>-3.6393104859673855</v>
      </c>
      <c r="I469" s="9" t="b">
        <v>1</v>
      </c>
      <c r="J469" s="9" t="b">
        <v>0</v>
      </c>
    </row>
    <row r="470" ht="15.75" customHeight="1">
      <c r="A470" s="5">
        <v>6.0</v>
      </c>
      <c r="B470" s="5">
        <v>20182.0</v>
      </c>
      <c r="C470" s="5">
        <v>102.77167507761833</v>
      </c>
      <c r="D470" s="5">
        <v>104.51310021048155</v>
      </c>
      <c r="E470" s="5">
        <v>2.771675077618326</v>
      </c>
      <c r="F470" s="5">
        <v>4.513100210481554</v>
      </c>
      <c r="G470" s="5">
        <v>5.033285732655068</v>
      </c>
      <c r="H470" s="5">
        <v>0.5201855221735148</v>
      </c>
      <c r="I470" s="9" t="b">
        <v>1</v>
      </c>
      <c r="J470" s="9" t="b">
        <v>0</v>
      </c>
    </row>
    <row r="471" ht="15.75" customHeight="1">
      <c r="A471" s="5">
        <v>7.0</v>
      </c>
      <c r="B471" s="5">
        <v>20182.0</v>
      </c>
      <c r="C471" s="5">
        <v>103.85548542848188</v>
      </c>
      <c r="D471" s="5">
        <v>101.69905175234597</v>
      </c>
      <c r="E471" s="5">
        <v>3.8554854284818845</v>
      </c>
      <c r="F471" s="5">
        <v>1.6990517523459658</v>
      </c>
      <c r="G471" s="5">
        <v>6.628529319639975</v>
      </c>
      <c r="H471" s="5">
        <v>4.929477567294009</v>
      </c>
      <c r="I471" s="9" t="b">
        <v>1</v>
      </c>
      <c r="J471" s="9" t="b">
        <v>0</v>
      </c>
    </row>
    <row r="472" ht="15.75" customHeight="1">
      <c r="A472" s="5">
        <v>8.0</v>
      </c>
      <c r="B472" s="5">
        <v>20182.0</v>
      </c>
      <c r="C472" s="5">
        <v>100.18450184501846</v>
      </c>
      <c r="D472" s="5">
        <v>103.21128451380552</v>
      </c>
      <c r="E472" s="5">
        <v>0.18450184501845968</v>
      </c>
      <c r="F472" s="5">
        <v>3.2112845138055235</v>
      </c>
      <c r="G472" s="5">
        <v>5.819889512124865</v>
      </c>
      <c r="H472" s="5">
        <v>2.6086049983193416</v>
      </c>
      <c r="I472" s="9" t="b">
        <v>1</v>
      </c>
      <c r="J472" s="9" t="b">
        <v>0</v>
      </c>
    </row>
    <row r="473" ht="15.75" customHeight="1">
      <c r="A473" s="5">
        <v>9.0</v>
      </c>
      <c r="B473" s="5">
        <v>20182.0</v>
      </c>
      <c r="C473" s="5">
        <v>104.28003668602874</v>
      </c>
      <c r="D473" s="5">
        <v>106.40532390558386</v>
      </c>
      <c r="E473" s="5">
        <v>4.280036686028737</v>
      </c>
      <c r="F473" s="5">
        <v>6.405323905583856</v>
      </c>
      <c r="G473" s="5">
        <v>5.806742586537372</v>
      </c>
      <c r="H473" s="5">
        <v>-0.5985813190464837</v>
      </c>
      <c r="I473" s="9" t="b">
        <v>1</v>
      </c>
      <c r="J473" s="9" t="b">
        <v>0</v>
      </c>
    </row>
    <row r="474" ht="15.75" customHeight="1">
      <c r="A474" s="5">
        <v>10.0</v>
      </c>
      <c r="B474" s="5">
        <v>20182.0</v>
      </c>
      <c r="C474" s="5">
        <v>105.2386213574428</v>
      </c>
      <c r="D474" s="5">
        <v>103.886328299707</v>
      </c>
      <c r="E474" s="5">
        <v>5.238621357442796</v>
      </c>
      <c r="F474" s="5">
        <v>3.886328299707003</v>
      </c>
      <c r="G474" s="5">
        <v>10.239032872485376</v>
      </c>
      <c r="H474" s="5">
        <v>6.352704572778373</v>
      </c>
      <c r="I474" s="9" t="b">
        <v>1</v>
      </c>
      <c r="J474" s="9" t="b">
        <v>0</v>
      </c>
    </row>
    <row r="475" ht="15.75" customHeight="1">
      <c r="A475" s="5">
        <v>11.0</v>
      </c>
      <c r="B475" s="5">
        <v>20182.0</v>
      </c>
      <c r="C475" s="5">
        <v>103.29230084550458</v>
      </c>
      <c r="D475" s="5">
        <v>106.62338648883114</v>
      </c>
      <c r="E475" s="5">
        <v>3.2923008455045846</v>
      </c>
      <c r="F475" s="5">
        <v>6.6233864888311444</v>
      </c>
      <c r="G475" s="5">
        <v>6.059078300412746</v>
      </c>
      <c r="H475" s="5">
        <v>-0.5643081884183987</v>
      </c>
      <c r="I475" s="9" t="b">
        <v>1</v>
      </c>
      <c r="J475" s="9" t="b">
        <v>0</v>
      </c>
    </row>
    <row r="476" ht="15.75" customHeight="1">
      <c r="A476" s="5">
        <v>12.0</v>
      </c>
      <c r="B476" s="5">
        <v>20182.0</v>
      </c>
      <c r="C476" s="5">
        <v>101.03916866506796</v>
      </c>
      <c r="D476" s="5">
        <v>104.896265560166</v>
      </c>
      <c r="E476" s="5">
        <v>1.0391686650679617</v>
      </c>
      <c r="F476" s="5">
        <v>4.896265560166</v>
      </c>
      <c r="G476" s="5">
        <v>3.564735698629362</v>
      </c>
      <c r="H476" s="5">
        <v>-1.3315298615366382</v>
      </c>
      <c r="I476" s="9" t="b">
        <v>1</v>
      </c>
      <c r="J476" s="9" t="b">
        <v>0</v>
      </c>
    </row>
    <row r="477" ht="15.75" customHeight="1">
      <c r="A477" s="5">
        <v>13.0</v>
      </c>
      <c r="B477" s="5">
        <v>20182.0</v>
      </c>
      <c r="C477" s="5">
        <v>103.5270911870861</v>
      </c>
      <c r="D477" s="5">
        <v>108.43766040607116</v>
      </c>
      <c r="E477" s="5">
        <v>3.5270911870861</v>
      </c>
      <c r="F477" s="5">
        <v>8.43766040607116</v>
      </c>
      <c r="G477" s="5">
        <v>8.845917576283568</v>
      </c>
      <c r="H477" s="5">
        <v>0.4082571702124085</v>
      </c>
      <c r="I477" s="9" t="b">
        <v>1</v>
      </c>
      <c r="J477" s="9" t="b">
        <v>0</v>
      </c>
    </row>
    <row r="478" ht="15.75" customHeight="1">
      <c r="A478" s="5">
        <v>14.0</v>
      </c>
      <c r="B478" s="5">
        <v>20182.0</v>
      </c>
      <c r="C478" s="5">
        <v>100.5645713263598</v>
      </c>
      <c r="D478" s="5">
        <v>104.97889200850943</v>
      </c>
      <c r="E478" s="5">
        <v>0.5645713263597969</v>
      </c>
      <c r="F478" s="5">
        <v>4.978892008509433</v>
      </c>
      <c r="G478" s="5">
        <v>6.920848524670453</v>
      </c>
      <c r="H478" s="5">
        <v>1.94195651616102</v>
      </c>
      <c r="I478" s="9" t="b">
        <v>1</v>
      </c>
      <c r="J478" s="9" t="b">
        <v>0</v>
      </c>
    </row>
    <row r="479" ht="15.75" customHeight="1">
      <c r="A479" s="5">
        <v>15.0</v>
      </c>
      <c r="B479" s="5">
        <v>20182.0</v>
      </c>
      <c r="C479" s="5">
        <v>105.37001897533209</v>
      </c>
      <c r="D479" s="5">
        <v>114.25925925925928</v>
      </c>
      <c r="E479" s="5">
        <v>5.370018975332087</v>
      </c>
      <c r="F479" s="5">
        <v>14.25925925925928</v>
      </c>
      <c r="G479" s="5">
        <v>10.66876674555266</v>
      </c>
      <c r="H479" s="5">
        <v>-3.5904925137066215</v>
      </c>
      <c r="I479" s="9" t="b">
        <v>1</v>
      </c>
      <c r="J479" s="9" t="b">
        <v>0</v>
      </c>
    </row>
    <row r="480" ht="15.75" customHeight="1">
      <c r="A480" s="5">
        <v>16.0</v>
      </c>
      <c r="B480" s="5">
        <v>20182.0</v>
      </c>
      <c r="C480" s="5">
        <v>101.90566964314988</v>
      </c>
      <c r="D480" s="5">
        <v>103.1437074327358</v>
      </c>
      <c r="E480" s="5">
        <v>1.9056696431498779</v>
      </c>
      <c r="F480" s="5">
        <v>3.143707432735795</v>
      </c>
      <c r="G480" s="5">
        <v>9.3773067435579</v>
      </c>
      <c r="H480" s="5">
        <v>6.233599310822106</v>
      </c>
      <c r="I480" s="9" t="b">
        <v>1</v>
      </c>
      <c r="J480" s="9" t="b">
        <v>0</v>
      </c>
    </row>
    <row r="481" ht="15.75" customHeight="1">
      <c r="A481" s="5">
        <v>17.0</v>
      </c>
      <c r="B481" s="5">
        <v>20182.0</v>
      </c>
      <c r="C481" s="5">
        <v>101.35297654840647</v>
      </c>
      <c r="D481" s="5">
        <v>111.659489897317</v>
      </c>
      <c r="E481" s="5">
        <v>1.352976548406474</v>
      </c>
      <c r="F481" s="5">
        <v>11.659489897317002</v>
      </c>
      <c r="G481" s="5">
        <v>11.592979198496266</v>
      </c>
      <c r="H481" s="5">
        <v>-0.06651069882073557</v>
      </c>
      <c r="I481" s="9" t="b">
        <v>1</v>
      </c>
      <c r="J481" s="9" t="b">
        <v>0</v>
      </c>
    </row>
    <row r="482" ht="15.75" customHeight="1">
      <c r="A482" s="5">
        <v>1.0</v>
      </c>
      <c r="B482" s="5">
        <v>20192.0</v>
      </c>
      <c r="C482" s="5">
        <v>105.14981177524</v>
      </c>
      <c r="D482" s="5">
        <v>111.06784442158704</v>
      </c>
      <c r="E482" s="5">
        <v>5.149811775239996</v>
      </c>
      <c r="F482" s="5">
        <v>11.06784442158704</v>
      </c>
      <c r="G482" s="5">
        <v>13.787327653213444</v>
      </c>
      <c r="H482" s="5">
        <v>2.7194832316264037</v>
      </c>
      <c r="I482" s="9" t="b">
        <v>1</v>
      </c>
      <c r="J482" s="9" t="b">
        <v>0</v>
      </c>
    </row>
    <row r="483" ht="15.75" customHeight="1">
      <c r="A483" s="5">
        <v>2.0</v>
      </c>
      <c r="B483" s="5">
        <v>20192.0</v>
      </c>
      <c r="C483" s="5">
        <v>100.16460905349795</v>
      </c>
      <c r="D483" s="5">
        <v>113.73831775700936</v>
      </c>
      <c r="E483" s="5">
        <v>0.16460905349795496</v>
      </c>
      <c r="F483" s="5">
        <v>13.738317757009355</v>
      </c>
      <c r="G483" s="5">
        <v>13.93584410488755</v>
      </c>
      <c r="H483" s="5">
        <v>0.19752634787819545</v>
      </c>
      <c r="I483" s="9" t="b">
        <v>1</v>
      </c>
      <c r="J483" s="9" t="b">
        <v>0</v>
      </c>
    </row>
    <row r="484" ht="15.75" customHeight="1">
      <c r="A484" s="5">
        <v>5.0</v>
      </c>
      <c r="B484" s="5">
        <v>20192.0</v>
      </c>
      <c r="C484" s="5">
        <v>99.38579381646478</v>
      </c>
      <c r="D484" s="5">
        <v>106.80016619349664</v>
      </c>
      <c r="E484" s="5">
        <v>-0.6142061835352166</v>
      </c>
      <c r="F484" s="5">
        <v>6.800166193496636</v>
      </c>
      <c r="G484" s="5">
        <v>13.539408892048233</v>
      </c>
      <c r="H484" s="5">
        <v>6.739242698551596</v>
      </c>
      <c r="I484" s="9" t="b">
        <v>1</v>
      </c>
      <c r="J484" s="9" t="b">
        <v>0</v>
      </c>
    </row>
    <row r="485" ht="15.75" customHeight="1">
      <c r="A485" s="5">
        <v>6.0</v>
      </c>
      <c r="B485" s="5">
        <v>20192.0</v>
      </c>
      <c r="C485" s="5">
        <v>101.57539036814816</v>
      </c>
      <c r="D485" s="5">
        <v>104.47559411999232</v>
      </c>
      <c r="E485" s="5">
        <v>1.5753903681481631</v>
      </c>
      <c r="F485" s="5">
        <v>4.475594119992323</v>
      </c>
      <c r="G485" s="5">
        <v>6.592091662647803</v>
      </c>
      <c r="H485" s="5">
        <v>2.1164975426554804</v>
      </c>
      <c r="I485" s="9" t="b">
        <v>1</v>
      </c>
      <c r="J485" s="9" t="b">
        <v>0</v>
      </c>
    </row>
    <row r="486" ht="15.75" customHeight="1">
      <c r="A486" s="5">
        <v>7.0</v>
      </c>
      <c r="B486" s="5">
        <v>20192.0</v>
      </c>
      <c r="C486" s="5">
        <v>105.3329193370588</v>
      </c>
      <c r="D486" s="5">
        <v>113.70919325847618</v>
      </c>
      <c r="E486" s="5">
        <v>5.332919337058797</v>
      </c>
      <c r="F486" s="5">
        <v>13.709193258476176</v>
      </c>
      <c r="G486" s="5">
        <v>12.782222990801074</v>
      </c>
      <c r="H486" s="5">
        <v>-0.9269702676751024</v>
      </c>
      <c r="I486" s="9" t="b">
        <v>1</v>
      </c>
      <c r="J486" s="9" t="b">
        <v>0</v>
      </c>
    </row>
    <row r="487" ht="15.75" customHeight="1">
      <c r="A487" s="5">
        <v>8.0</v>
      </c>
      <c r="B487" s="5">
        <v>20192.0</v>
      </c>
      <c r="C487" s="5">
        <v>103.06859205776172</v>
      </c>
      <c r="D487" s="5">
        <v>110.69109237181353</v>
      </c>
      <c r="E487" s="5">
        <v>3.0685920577617196</v>
      </c>
      <c r="F487" s="5">
        <v>10.691092371813525</v>
      </c>
      <c r="G487" s="5">
        <v>10.322621971603185</v>
      </c>
      <c r="H487" s="5">
        <v>-0.36847040021033983</v>
      </c>
      <c r="I487" s="9" t="b">
        <v>1</v>
      </c>
      <c r="J487" s="9" t="b">
        <v>0</v>
      </c>
    </row>
    <row r="488" ht="15.75" customHeight="1">
      <c r="A488" s="5">
        <v>9.0</v>
      </c>
      <c r="B488" s="5">
        <v>20192.0</v>
      </c>
      <c r="C488" s="5">
        <v>105.72519083969463</v>
      </c>
      <c r="D488" s="5">
        <v>113.69099970683084</v>
      </c>
      <c r="E488" s="5">
        <v>5.725190839694633</v>
      </c>
      <c r="F488" s="5">
        <v>13.690999706830837</v>
      </c>
      <c r="G488" s="5">
        <v>12.44449772662688</v>
      </c>
      <c r="H488" s="5">
        <v>-1.2465019802039574</v>
      </c>
      <c r="I488" s="9" t="b">
        <v>1</v>
      </c>
      <c r="J488" s="9" t="b">
        <v>0</v>
      </c>
    </row>
    <row r="489" ht="15.75" customHeight="1">
      <c r="A489" s="5">
        <v>10.0</v>
      </c>
      <c r="B489" s="5">
        <v>20192.0</v>
      </c>
      <c r="C489" s="5">
        <v>102.7678848309088</v>
      </c>
      <c r="D489" s="5">
        <v>106.83426910070114</v>
      </c>
      <c r="E489" s="5">
        <v>2.767884830908798</v>
      </c>
      <c r="F489" s="5">
        <v>6.834269100701135</v>
      </c>
      <c r="G489" s="5">
        <v>8.338881190169744</v>
      </c>
      <c r="H489" s="5">
        <v>1.5046120894686084</v>
      </c>
      <c r="I489" s="9" t="b">
        <v>1</v>
      </c>
      <c r="J489" s="9" t="b">
        <v>0</v>
      </c>
    </row>
    <row r="490" ht="15.75" customHeight="1">
      <c r="A490" s="5">
        <v>11.0</v>
      </c>
      <c r="B490" s="5">
        <v>20192.0</v>
      </c>
      <c r="C490" s="5">
        <v>102.53449333821578</v>
      </c>
      <c r="D490" s="5">
        <v>107.6120851807818</v>
      </c>
      <c r="E490" s="5">
        <v>2.534493338215782</v>
      </c>
      <c r="F490" s="5">
        <v>7.612085180781804</v>
      </c>
      <c r="G490" s="5">
        <v>8.783172898161041</v>
      </c>
      <c r="H490" s="5">
        <v>1.171087717379237</v>
      </c>
      <c r="I490" s="9" t="b">
        <v>1</v>
      </c>
      <c r="J490" s="9" t="b">
        <v>0</v>
      </c>
    </row>
    <row r="491" ht="15.75" customHeight="1">
      <c r="A491" s="5">
        <v>12.0</v>
      </c>
      <c r="B491" s="5">
        <v>20192.0</v>
      </c>
      <c r="C491" s="5">
        <v>102.26415094339625</v>
      </c>
      <c r="D491" s="5">
        <v>107.1993670886076</v>
      </c>
      <c r="E491" s="5">
        <v>2.2641509433962455</v>
      </c>
      <c r="F491" s="5">
        <v>7.199367088607602</v>
      </c>
      <c r="G491" s="5">
        <v>8.601158827259203</v>
      </c>
      <c r="H491" s="5">
        <v>1.4017917386516014</v>
      </c>
      <c r="I491" s="9" t="b">
        <v>1</v>
      </c>
      <c r="J491" s="9" t="b">
        <v>0</v>
      </c>
    </row>
    <row r="492" ht="15.75" customHeight="1">
      <c r="A492" s="5">
        <v>13.0</v>
      </c>
      <c r="B492" s="5">
        <v>20192.0</v>
      </c>
      <c r="C492" s="5">
        <v>105.62292922941327</v>
      </c>
      <c r="D492" s="5">
        <v>114.46239540978269</v>
      </c>
      <c r="E492" s="5">
        <v>5.622929229413273</v>
      </c>
      <c r="F492" s="5">
        <v>14.462395409782687</v>
      </c>
      <c r="G492" s="5">
        <v>14.907154953091982</v>
      </c>
      <c r="H492" s="5">
        <v>0.4447595433092957</v>
      </c>
      <c r="I492" s="9" t="b">
        <v>1</v>
      </c>
      <c r="J492" s="9" t="b">
        <v>0</v>
      </c>
    </row>
    <row r="493" ht="15.75" customHeight="1">
      <c r="A493" s="5">
        <v>14.0</v>
      </c>
      <c r="B493" s="5">
        <v>20192.0</v>
      </c>
      <c r="C493" s="5">
        <v>101.58133908843914</v>
      </c>
      <c r="D493" s="5">
        <v>108.50947420621996</v>
      </c>
      <c r="E493" s="5">
        <v>1.5813390884391367</v>
      </c>
      <c r="F493" s="5">
        <v>8.509474206219963</v>
      </c>
      <c r="G493" s="5">
        <v>10.31440824677967</v>
      </c>
      <c r="H493" s="5">
        <v>1.8049340405597079</v>
      </c>
      <c r="I493" s="9" t="b">
        <v>1</v>
      </c>
      <c r="J493" s="9" t="b">
        <v>0</v>
      </c>
    </row>
    <row r="494" ht="15.75" customHeight="1">
      <c r="A494" s="5">
        <v>15.0</v>
      </c>
      <c r="B494" s="5">
        <v>20192.0</v>
      </c>
      <c r="C494" s="5">
        <v>104.90463215258856</v>
      </c>
      <c r="D494" s="5">
        <v>103.99783900594272</v>
      </c>
      <c r="E494" s="5">
        <v>4.904632152588562</v>
      </c>
      <c r="F494" s="5">
        <v>3.9978390059427227</v>
      </c>
      <c r="G494" s="5">
        <v>6.686129214394954</v>
      </c>
      <c r="H494" s="5">
        <v>2.688290208452231</v>
      </c>
      <c r="I494" s="9" t="b">
        <v>1</v>
      </c>
      <c r="J494" s="9" t="b">
        <v>0</v>
      </c>
    </row>
    <row r="495" ht="15.75" customHeight="1">
      <c r="A495" s="5">
        <v>16.0</v>
      </c>
      <c r="B495" s="5">
        <v>20192.0</v>
      </c>
      <c r="C495" s="5">
        <v>108.52050954268128</v>
      </c>
      <c r="D495" s="5">
        <v>113.51208029151128</v>
      </c>
      <c r="E495" s="5">
        <v>8.520509542681282</v>
      </c>
      <c r="F495" s="5">
        <v>13.512080291511282</v>
      </c>
      <c r="G495" s="5">
        <v>16.34139557187899</v>
      </c>
      <c r="H495" s="5">
        <v>2.829315280367709</v>
      </c>
      <c r="I495" s="9" t="b">
        <v>1</v>
      </c>
      <c r="J495" s="9" t="b">
        <v>0</v>
      </c>
    </row>
    <row r="496" ht="15.75" customHeight="1">
      <c r="A496" s="5">
        <v>17.0</v>
      </c>
      <c r="B496" s="5">
        <v>20192.0</v>
      </c>
      <c r="C496" s="5">
        <v>104.7526858389115</v>
      </c>
      <c r="D496" s="5">
        <v>119.35015610354</v>
      </c>
      <c r="E496" s="5">
        <v>4.752685838911503</v>
      </c>
      <c r="F496" s="5">
        <v>19.35015610354</v>
      </c>
      <c r="G496" s="5">
        <v>11.21677297751036</v>
      </c>
      <c r="H496" s="5">
        <v>-8.133383126029642</v>
      </c>
      <c r="I496" s="9" t="b">
        <v>1</v>
      </c>
      <c r="J496" s="9" t="b">
        <v>0</v>
      </c>
    </row>
    <row r="497" ht="15.75" customHeight="1">
      <c r="A497" s="5">
        <v>1.0</v>
      </c>
      <c r="B497" s="5">
        <v>20202.0</v>
      </c>
      <c r="C497" s="5">
        <v>99.97973358996543</v>
      </c>
      <c r="D497" s="5">
        <v>105.09077621318411</v>
      </c>
      <c r="E497" s="5">
        <v>-0.02026641003456575</v>
      </c>
      <c r="F497" s="5">
        <v>5.090776213184114</v>
      </c>
      <c r="G497" s="5">
        <v>12.509914093400543</v>
      </c>
      <c r="H497" s="5">
        <v>7.419137880216429</v>
      </c>
      <c r="I497" s="9" t="b">
        <v>1</v>
      </c>
      <c r="J497" s="9" t="b">
        <v>0</v>
      </c>
    </row>
    <row r="498" ht="15.75" customHeight="1">
      <c r="A498" s="5">
        <v>2.0</v>
      </c>
      <c r="B498" s="5">
        <v>20202.0</v>
      </c>
      <c r="C498" s="5">
        <v>99.4186046511628</v>
      </c>
      <c r="D498" s="5">
        <v>112.40755957271982</v>
      </c>
      <c r="E498" s="5">
        <v>-0.581395348837205</v>
      </c>
      <c r="F498" s="5">
        <v>12.40755957271982</v>
      </c>
      <c r="G498" s="5">
        <v>12.382284496453844</v>
      </c>
      <c r="H498" s="5">
        <v>-0.02527507626597547</v>
      </c>
      <c r="I498" s="9" t="b">
        <v>1</v>
      </c>
      <c r="J498" s="9" t="b">
        <v>0</v>
      </c>
    </row>
    <row r="499" ht="15.75" customHeight="1">
      <c r="A499" s="5">
        <v>5.0</v>
      </c>
      <c r="B499" s="5">
        <v>20202.0</v>
      </c>
      <c r="C499" s="5">
        <v>102.06929917753988</v>
      </c>
      <c r="D499" s="5">
        <v>118.76566047762417</v>
      </c>
      <c r="E499" s="5">
        <v>2.0692991775398752</v>
      </c>
      <c r="F499" s="5">
        <v>18.765660477624166</v>
      </c>
      <c r="G499" s="5">
        <v>18.59751154577456</v>
      </c>
      <c r="H499" s="5">
        <v>-0.16814893184960766</v>
      </c>
      <c r="I499" s="9" t="b">
        <v>1</v>
      </c>
      <c r="J499" s="9" t="b">
        <v>0</v>
      </c>
    </row>
    <row r="500" ht="15.75" customHeight="1">
      <c r="A500" s="5">
        <v>6.0</v>
      </c>
      <c r="B500" s="5">
        <v>20202.0</v>
      </c>
      <c r="C500" s="5">
        <v>103.6219740741794</v>
      </c>
      <c r="D500" s="5">
        <v>115.0365994890032</v>
      </c>
      <c r="E500" s="5">
        <v>3.6219740741794055</v>
      </c>
      <c r="F500" s="5">
        <v>15.036599489003194</v>
      </c>
      <c r="G500" s="5">
        <v>18.699747389776334</v>
      </c>
      <c r="H500" s="5">
        <v>3.66314790077314</v>
      </c>
      <c r="I500" s="9" t="b">
        <v>1</v>
      </c>
      <c r="J500" s="9" t="b">
        <v>0</v>
      </c>
    </row>
    <row r="501" ht="15.75" customHeight="1">
      <c r="A501" s="5">
        <v>7.0</v>
      </c>
      <c r="B501" s="5">
        <v>20202.0</v>
      </c>
      <c r="C501" s="5">
        <v>103.69979917179744</v>
      </c>
      <c r="D501" s="5">
        <v>117.08421218955525</v>
      </c>
      <c r="E501" s="5">
        <v>3.6997991717974372</v>
      </c>
      <c r="F501" s="5">
        <v>17.084212189555245</v>
      </c>
      <c r="G501" s="5">
        <v>15.044878006372265</v>
      </c>
      <c r="H501" s="5">
        <v>-2.03933418318298</v>
      </c>
      <c r="I501" s="9" t="b">
        <v>1</v>
      </c>
      <c r="J501" s="9" t="b">
        <v>0</v>
      </c>
    </row>
    <row r="502" ht="15.75" customHeight="1">
      <c r="A502" s="5">
        <v>8.0</v>
      </c>
      <c r="B502" s="5">
        <v>20202.0</v>
      </c>
      <c r="C502" s="5">
        <v>105.06024096385542</v>
      </c>
      <c r="D502" s="5">
        <v>114.53590192644484</v>
      </c>
      <c r="E502" s="5">
        <v>5.060240963855421</v>
      </c>
      <c r="F502" s="5">
        <v>14.535901926444836</v>
      </c>
      <c r="G502" s="5">
        <v>17.231656357562898</v>
      </c>
      <c r="H502" s="5">
        <v>2.6957544311180612</v>
      </c>
      <c r="I502" s="9" t="b">
        <v>1</v>
      </c>
      <c r="J502" s="9" t="b">
        <v>0</v>
      </c>
    </row>
    <row r="503" ht="15.75" customHeight="1">
      <c r="A503" s="5">
        <v>9.0</v>
      </c>
      <c r="B503" s="5">
        <v>20202.0</v>
      </c>
      <c r="C503" s="5">
        <v>104.0149241625436</v>
      </c>
      <c r="D503" s="5">
        <v>110.2286401925391</v>
      </c>
      <c r="E503" s="5">
        <v>4.014924162543593</v>
      </c>
      <c r="F503" s="5">
        <v>10.228640192539103</v>
      </c>
      <c r="G503" s="5">
        <v>10.88697417105311</v>
      </c>
      <c r="H503" s="5">
        <v>0.6583339785140065</v>
      </c>
      <c r="I503" s="9" t="b">
        <v>1</v>
      </c>
      <c r="J503" s="9" t="b">
        <v>0</v>
      </c>
    </row>
    <row r="504" ht="15.75" customHeight="1">
      <c r="A504" s="5">
        <v>10.0</v>
      </c>
      <c r="B504" s="5">
        <v>20202.0</v>
      </c>
      <c r="C504" s="5">
        <v>109.95478862751014</v>
      </c>
      <c r="D504" s="5">
        <v>117.57116151657296</v>
      </c>
      <c r="E504" s="5">
        <v>9.95478862751014</v>
      </c>
      <c r="F504" s="5">
        <v>17.571161516572957</v>
      </c>
      <c r="G504" s="5">
        <v>10.570675497783032</v>
      </c>
      <c r="H504" s="5">
        <v>-7.000486018789925</v>
      </c>
      <c r="I504" s="9" t="b">
        <v>1</v>
      </c>
      <c r="J504" s="9" t="b">
        <v>0</v>
      </c>
    </row>
    <row r="505" ht="15.75" customHeight="1">
      <c r="A505" s="5">
        <v>11.0</v>
      </c>
      <c r="B505" s="5">
        <v>20202.0</v>
      </c>
      <c r="C505" s="5">
        <v>102.99579460789438</v>
      </c>
      <c r="D505" s="5">
        <v>109.03146680503792</v>
      </c>
      <c r="E505" s="5">
        <v>2.995794607894382</v>
      </c>
      <c r="F505" s="5">
        <v>9.031466805037923</v>
      </c>
      <c r="G505" s="5">
        <v>9.867160781075413</v>
      </c>
      <c r="H505" s="5">
        <v>0.83569397603749</v>
      </c>
      <c r="I505" s="9" t="b">
        <v>1</v>
      </c>
      <c r="J505" s="9" t="b">
        <v>0</v>
      </c>
    </row>
    <row r="506" ht="15.75" customHeight="1">
      <c r="A506" s="5">
        <v>12.0</v>
      </c>
      <c r="B506" s="5">
        <v>20202.0</v>
      </c>
      <c r="C506" s="5">
        <v>104.51436388508894</v>
      </c>
      <c r="D506" s="5">
        <v>112.76752767527675</v>
      </c>
      <c r="E506" s="5">
        <v>4.51436388508894</v>
      </c>
      <c r="F506" s="5">
        <v>12.767527675276753</v>
      </c>
      <c r="G506" s="5">
        <v>18.98459262714727</v>
      </c>
      <c r="H506" s="5">
        <v>6.217064951870515</v>
      </c>
      <c r="I506" s="9" t="b">
        <v>1</v>
      </c>
      <c r="J506" s="9" t="b">
        <v>0</v>
      </c>
    </row>
    <row r="507" ht="15.75" customHeight="1">
      <c r="A507" s="5">
        <v>13.0</v>
      </c>
      <c r="B507" s="5">
        <v>20202.0</v>
      </c>
      <c r="C507" s="5">
        <v>104.0635390972821</v>
      </c>
      <c r="D507" s="5">
        <v>112.9782804364833</v>
      </c>
      <c r="E507" s="5">
        <v>4.063539097282103</v>
      </c>
      <c r="F507" s="5">
        <v>12.978280436483303</v>
      </c>
      <c r="G507" s="5">
        <v>11.837794773114773</v>
      </c>
      <c r="H507" s="5">
        <v>-1.1404856633685299</v>
      </c>
      <c r="I507" s="9" t="b">
        <v>1</v>
      </c>
      <c r="J507" s="9" t="b">
        <v>0</v>
      </c>
    </row>
    <row r="508" ht="15.75" customHeight="1">
      <c r="A508" s="5">
        <v>14.0</v>
      </c>
      <c r="B508" s="5">
        <v>20202.0</v>
      </c>
      <c r="C508" s="5">
        <v>101.01934484823472</v>
      </c>
      <c r="D508" s="5">
        <v>110.42207772268893</v>
      </c>
      <c r="E508" s="5">
        <v>1.0193448482347236</v>
      </c>
      <c r="F508" s="5">
        <v>10.422077722688925</v>
      </c>
      <c r="G508" s="5">
        <v>11.376498586368754</v>
      </c>
      <c r="H508" s="5">
        <v>0.9544208636798288</v>
      </c>
      <c r="I508" s="9" t="b">
        <v>1</v>
      </c>
      <c r="J508" s="9" t="b">
        <v>0</v>
      </c>
    </row>
    <row r="509" ht="15.75" customHeight="1">
      <c r="A509" s="5">
        <v>15.0</v>
      </c>
      <c r="B509" s="5">
        <v>20202.0</v>
      </c>
      <c r="C509" s="5">
        <v>104.2119970400624</v>
      </c>
      <c r="D509" s="5">
        <v>115.98615615176678</v>
      </c>
      <c r="E509" s="5">
        <v>4.2119970400624</v>
      </c>
      <c r="F509" s="5">
        <v>15.986156151766778</v>
      </c>
      <c r="G509" s="5">
        <v>20.458647150819775</v>
      </c>
      <c r="H509" s="5">
        <v>4.472490999052997</v>
      </c>
      <c r="I509" s="9" t="b">
        <v>1</v>
      </c>
      <c r="J509" s="9" t="b">
        <v>0</v>
      </c>
    </row>
    <row r="510" ht="15.75" customHeight="1">
      <c r="A510" s="5">
        <v>16.0</v>
      </c>
      <c r="B510" s="5">
        <v>20202.0</v>
      </c>
      <c r="C510" s="5">
        <v>97.99396853189846</v>
      </c>
      <c r="D510" s="5">
        <v>115.01319370707854</v>
      </c>
      <c r="E510" s="5">
        <v>-2.00603146810154</v>
      </c>
      <c r="F510" s="5">
        <v>15.013193707078543</v>
      </c>
      <c r="G510" s="5">
        <v>12.764225235621552</v>
      </c>
      <c r="H510" s="5">
        <v>-2.2489684714569904</v>
      </c>
      <c r="I510" s="9" t="b">
        <v>1</v>
      </c>
      <c r="J510" s="9" t="b">
        <v>0</v>
      </c>
    </row>
    <row r="511" ht="15.75" customHeight="1">
      <c r="A511" s="5">
        <v>17.0</v>
      </c>
      <c r="B511" s="5">
        <v>20202.0</v>
      </c>
      <c r="C511" s="5">
        <v>104.10724027745306</v>
      </c>
      <c r="D511" s="5">
        <v>110.67217384037536</v>
      </c>
      <c r="E511" s="5">
        <v>4.107240277453059</v>
      </c>
      <c r="F511" s="5">
        <v>10.672173840375365</v>
      </c>
      <c r="G511" s="5">
        <v>15.54572351494119</v>
      </c>
      <c r="H511" s="5">
        <v>4.873549674565826</v>
      </c>
      <c r="I511" s="9" t="b">
        <v>1</v>
      </c>
      <c r="J511" s="9" t="b">
        <v>0</v>
      </c>
    </row>
    <row r="512" ht="15.75" customHeight="1">
      <c r="A512" s="5">
        <v>1.0</v>
      </c>
      <c r="B512" s="5">
        <v>20212.0</v>
      </c>
      <c r="C512" s="5">
        <v>107.82505998732994</v>
      </c>
      <c r="D512" s="5">
        <v>116.33114801232416</v>
      </c>
      <c r="E512" s="5">
        <v>7.8250599873299365</v>
      </c>
      <c r="F512" s="5">
        <v>16.331148012324164</v>
      </c>
      <c r="G512" s="5">
        <v>7.625748877097682</v>
      </c>
      <c r="H512" s="5">
        <v>-8.705399135226482</v>
      </c>
      <c r="I512" s="9" t="b">
        <v>1</v>
      </c>
      <c r="J512" s="9" t="b">
        <v>0</v>
      </c>
    </row>
    <row r="513" ht="15.75" customHeight="1">
      <c r="A513" s="5">
        <v>2.0</v>
      </c>
      <c r="B513" s="5">
        <v>20212.0</v>
      </c>
      <c r="C513" s="5">
        <v>102.15517241379312</v>
      </c>
      <c r="D513" s="5">
        <v>103.94736842105262</v>
      </c>
      <c r="E513" s="5">
        <v>2.1551724137931245</v>
      </c>
      <c r="F513" s="5">
        <v>3.947368421052616</v>
      </c>
      <c r="G513" s="5">
        <v>8.748948419284886</v>
      </c>
      <c r="H513" s="5">
        <v>4.80157999823227</v>
      </c>
      <c r="I513" s="9" t="b">
        <v>1</v>
      </c>
      <c r="J513" s="9" t="b">
        <v>0</v>
      </c>
    </row>
    <row r="514" ht="15.75" customHeight="1">
      <c r="A514" s="5">
        <v>5.0</v>
      </c>
      <c r="B514" s="5">
        <v>20212.0</v>
      </c>
      <c r="C514" s="5">
        <v>106.79437516264332</v>
      </c>
      <c r="D514" s="5">
        <v>107.81610315420028</v>
      </c>
      <c r="E514" s="5">
        <v>6.79437516264332</v>
      </c>
      <c r="F514" s="5">
        <v>7.8161031542002775</v>
      </c>
      <c r="G514" s="5">
        <v>2.665240025039717</v>
      </c>
      <c r="H514" s="5">
        <v>-5.150863129160561</v>
      </c>
      <c r="I514" s="9" t="b">
        <v>1</v>
      </c>
      <c r="J514" s="9" t="b">
        <v>0</v>
      </c>
    </row>
    <row r="515" ht="15.75" customHeight="1">
      <c r="A515" s="5">
        <v>6.0</v>
      </c>
      <c r="B515" s="5">
        <v>20212.0</v>
      </c>
      <c r="C515" s="5">
        <v>106.6947219647768</v>
      </c>
      <c r="D515" s="5">
        <v>110.6926009428421</v>
      </c>
      <c r="E515" s="5">
        <v>6.694721964776804</v>
      </c>
      <c r="F515" s="5">
        <v>10.692600942842105</v>
      </c>
      <c r="G515" s="5">
        <v>8.639095342407256</v>
      </c>
      <c r="H515" s="5">
        <v>-2.0535056004348498</v>
      </c>
      <c r="I515" s="9" t="b">
        <v>1</v>
      </c>
      <c r="J515" s="9" t="b">
        <v>0</v>
      </c>
    </row>
    <row r="516" ht="15.75" customHeight="1">
      <c r="A516" s="5">
        <v>7.0</v>
      </c>
      <c r="B516" s="5">
        <v>20212.0</v>
      </c>
      <c r="C516" s="5">
        <v>105.13809743621928</v>
      </c>
      <c r="D516" s="5">
        <v>109.13377243146552</v>
      </c>
      <c r="E516" s="5">
        <v>5.138097436219283</v>
      </c>
      <c r="F516" s="5">
        <v>9.133772431465516</v>
      </c>
      <c r="G516" s="5">
        <v>9.484551540973719</v>
      </c>
      <c r="H516" s="5">
        <v>0.3507791095082027</v>
      </c>
      <c r="I516" s="9" t="b">
        <v>1</v>
      </c>
      <c r="J516" s="9" t="b">
        <v>0</v>
      </c>
    </row>
    <row r="517" ht="15.75" customHeight="1">
      <c r="A517" s="5">
        <v>8.0</v>
      </c>
      <c r="B517" s="5">
        <v>20212.0</v>
      </c>
      <c r="C517" s="5">
        <v>104.63917525773196</v>
      </c>
      <c r="D517" s="5">
        <v>108.63914373088684</v>
      </c>
      <c r="E517" s="5">
        <v>4.639175257731964</v>
      </c>
      <c r="F517" s="5">
        <v>8.639143730886843</v>
      </c>
      <c r="G517" s="5">
        <v>6.968116390651602</v>
      </c>
      <c r="H517" s="5">
        <v>-1.6710273402352414</v>
      </c>
      <c r="I517" s="9" t="b">
        <v>1</v>
      </c>
      <c r="J517" s="9" t="b">
        <v>0</v>
      </c>
    </row>
    <row r="518" ht="15.75" customHeight="1">
      <c r="A518" s="5">
        <v>9.0</v>
      </c>
      <c r="B518" s="5">
        <v>20212.0</v>
      </c>
      <c r="C518" s="5">
        <v>104.46401686239086</v>
      </c>
      <c r="D518" s="5">
        <v>108.21116656269496</v>
      </c>
      <c r="E518" s="5">
        <v>4.464016862390864</v>
      </c>
      <c r="F518" s="5">
        <v>8.211166562694956</v>
      </c>
      <c r="G518" s="5">
        <v>6.718337971643096</v>
      </c>
      <c r="H518" s="5">
        <v>-1.4928285910518602</v>
      </c>
      <c r="I518" s="9" t="b">
        <v>1</v>
      </c>
      <c r="J518" s="9" t="b">
        <v>0</v>
      </c>
    </row>
    <row r="519" ht="15.75" customHeight="1">
      <c r="A519" s="5">
        <v>10.0</v>
      </c>
      <c r="B519" s="5">
        <v>20212.0</v>
      </c>
      <c r="C519" s="5">
        <v>100.87146254921944</v>
      </c>
      <c r="D519" s="5">
        <v>104.39516062452296</v>
      </c>
      <c r="E519" s="5">
        <v>0.8714625492194443</v>
      </c>
      <c r="F519" s="5">
        <v>4.395160624522958</v>
      </c>
      <c r="G519" s="5">
        <v>1.2251892703140976</v>
      </c>
      <c r="H519" s="5">
        <v>-3.169971354208861</v>
      </c>
      <c r="I519" s="9" t="b">
        <v>1</v>
      </c>
      <c r="J519" s="9" t="b">
        <v>0</v>
      </c>
    </row>
    <row r="520" ht="15.75" customHeight="1">
      <c r="A520" s="5">
        <v>11.0</v>
      </c>
      <c r="B520" s="5">
        <v>20212.0</v>
      </c>
      <c r="C520" s="5">
        <v>103.4378425262146</v>
      </c>
      <c r="D520" s="5">
        <v>105.36125149942669</v>
      </c>
      <c r="E520" s="5">
        <v>3.4378425262145953</v>
      </c>
      <c r="F520" s="5">
        <v>5.361251499426686</v>
      </c>
      <c r="G520" s="5">
        <v>5.740196228444705</v>
      </c>
      <c r="H520" s="5">
        <v>0.378944729018019</v>
      </c>
      <c r="I520" s="9" t="b">
        <v>1</v>
      </c>
      <c r="J520" s="9" t="b">
        <v>0</v>
      </c>
    </row>
    <row r="521" ht="15.75" customHeight="1">
      <c r="A521" s="5">
        <v>12.0</v>
      </c>
      <c r="B521" s="5">
        <v>20212.0</v>
      </c>
      <c r="C521" s="5">
        <v>101.32802124833998</v>
      </c>
      <c r="D521" s="5">
        <v>99.86910994764396</v>
      </c>
      <c r="E521" s="5">
        <v>1.3280212483399794</v>
      </c>
      <c r="F521" s="5">
        <v>-0.1308900523560368</v>
      </c>
      <c r="G521" s="5">
        <v>4.9268022784542564</v>
      </c>
      <c r="H521" s="5">
        <v>5.057692330810293</v>
      </c>
      <c r="I521" s="9" t="b">
        <v>1</v>
      </c>
      <c r="J521" s="9" t="b">
        <v>1</v>
      </c>
    </row>
    <row r="522" ht="15.75" customHeight="1">
      <c r="A522" s="5">
        <v>13.0</v>
      </c>
      <c r="B522" s="5">
        <v>20212.0</v>
      </c>
      <c r="C522" s="5">
        <v>107.2039864596596</v>
      </c>
      <c r="D522" s="5">
        <v>110.73473205391592</v>
      </c>
      <c r="E522" s="5">
        <v>7.203986459659603</v>
      </c>
      <c r="F522" s="5">
        <v>10.73473205391592</v>
      </c>
      <c r="G522" s="5">
        <v>9.749670205840765</v>
      </c>
      <c r="H522" s="5">
        <v>-0.985061848075155</v>
      </c>
      <c r="I522" s="9" t="b">
        <v>1</v>
      </c>
      <c r="J522" s="9" t="b">
        <v>0</v>
      </c>
    </row>
    <row r="523" ht="15.75" customHeight="1">
      <c r="A523" s="5">
        <v>14.0</v>
      </c>
      <c r="B523" s="5">
        <v>20212.0</v>
      </c>
      <c r="C523" s="5">
        <v>103.3413516702054</v>
      </c>
      <c r="D523" s="5">
        <v>108.01650341861222</v>
      </c>
      <c r="E523" s="5">
        <v>3.3413516702053982</v>
      </c>
      <c r="F523" s="5">
        <v>8.016503418612217</v>
      </c>
      <c r="G523" s="5">
        <v>7.070515120771814</v>
      </c>
      <c r="H523" s="5">
        <v>-0.9459882978404028</v>
      </c>
      <c r="I523" s="9" t="b">
        <v>1</v>
      </c>
      <c r="J523" s="9" t="b">
        <v>0</v>
      </c>
    </row>
    <row r="524" ht="15.75" customHeight="1">
      <c r="A524" s="5">
        <v>15.0</v>
      </c>
      <c r="B524" s="5">
        <v>20212.0</v>
      </c>
      <c r="C524" s="5">
        <v>105.2781056609271</v>
      </c>
      <c r="D524" s="5">
        <v>110.40278624665628</v>
      </c>
      <c r="E524" s="5">
        <v>5.278105660927096</v>
      </c>
      <c r="F524" s="5">
        <v>10.402786246656277</v>
      </c>
      <c r="G524" s="5">
        <v>8.591305335605037</v>
      </c>
      <c r="H524" s="5">
        <v>-1.8114809110512393</v>
      </c>
      <c r="I524" s="9" t="b">
        <v>1</v>
      </c>
      <c r="J524" s="9" t="b">
        <v>0</v>
      </c>
    </row>
    <row r="525" ht="15.75" customHeight="1">
      <c r="A525" s="5">
        <v>16.0</v>
      </c>
      <c r="B525" s="5">
        <v>20212.0</v>
      </c>
      <c r="C525" s="5">
        <v>111.3823077455735</v>
      </c>
      <c r="D525" s="5">
        <v>107.25752924275658</v>
      </c>
      <c r="E525" s="5">
        <v>11.382307745573499</v>
      </c>
      <c r="F525" s="5">
        <v>7.257529242756576</v>
      </c>
      <c r="G525" s="5">
        <v>8.204514744925827</v>
      </c>
      <c r="H525" s="5">
        <v>0.9469855021692517</v>
      </c>
      <c r="I525" s="9" t="b">
        <v>1</v>
      </c>
      <c r="J525" s="9" t="b">
        <v>0</v>
      </c>
    </row>
    <row r="526" ht="15.75" customHeight="1">
      <c r="A526" s="5">
        <v>17.0</v>
      </c>
      <c r="B526" s="5">
        <v>20212.0</v>
      </c>
      <c r="C526" s="5">
        <v>104.29250457038393</v>
      </c>
      <c r="D526" s="5">
        <v>106.76748016170086</v>
      </c>
      <c r="E526" s="5">
        <v>4.292504570383926</v>
      </c>
      <c r="F526" s="5">
        <v>6.76748016170086</v>
      </c>
      <c r="G526" s="5">
        <v>10.529968851037875</v>
      </c>
      <c r="H526" s="5">
        <v>3.7624886893370153</v>
      </c>
      <c r="I526" s="9" t="b">
        <v>1</v>
      </c>
      <c r="J526" s="9" t="b">
        <v>0</v>
      </c>
    </row>
    <row r="527" ht="15.75" customHeight="1">
      <c r="A527" s="5">
        <v>1.0</v>
      </c>
      <c r="B527" s="5">
        <v>20222.0</v>
      </c>
      <c r="C527" s="5">
        <v>106.44171779141104</v>
      </c>
      <c r="D527" s="5">
        <v>118.2941514284339</v>
      </c>
      <c r="E527" s="5">
        <v>6.441717791411037</v>
      </c>
      <c r="F527" s="5">
        <v>18.294151428433906</v>
      </c>
      <c r="G527" s="5">
        <v>21.3133762947159</v>
      </c>
      <c r="H527" s="5">
        <v>3.019224866281995</v>
      </c>
      <c r="I527" s="9" t="b">
        <v>1</v>
      </c>
      <c r="J527" s="9" t="b">
        <v>0</v>
      </c>
    </row>
    <row r="528" ht="15.75" customHeight="1">
      <c r="A528" s="5">
        <v>2.0</v>
      </c>
      <c r="B528" s="5">
        <v>20222.0</v>
      </c>
      <c r="C528" s="5">
        <v>103.68722186904004</v>
      </c>
      <c r="D528" s="5">
        <v>114.69760900140646</v>
      </c>
      <c r="E528" s="5">
        <v>3.6872218690400445</v>
      </c>
      <c r="F528" s="5">
        <v>14.697609001406462</v>
      </c>
      <c r="G528" s="5">
        <v>10.296595888102456</v>
      </c>
      <c r="H528" s="5">
        <v>-4.401013113304007</v>
      </c>
      <c r="I528" s="9" t="b">
        <v>1</v>
      </c>
      <c r="J528" s="9" t="b">
        <v>0</v>
      </c>
    </row>
    <row r="529" ht="15.75" customHeight="1">
      <c r="A529" s="5">
        <v>5.0</v>
      </c>
      <c r="B529" s="5">
        <v>20222.0</v>
      </c>
      <c r="C529" s="5">
        <v>102.60594583314058</v>
      </c>
      <c r="D529" s="5">
        <v>114.25121606146182</v>
      </c>
      <c r="E529" s="5">
        <v>2.6059458331405807</v>
      </c>
      <c r="F529" s="5">
        <v>14.251216061461818</v>
      </c>
      <c r="G529" s="5">
        <v>15.697211580674274</v>
      </c>
      <c r="H529" s="5">
        <v>1.445995519212456</v>
      </c>
      <c r="I529" s="9" t="b">
        <v>1</v>
      </c>
      <c r="J529" s="9" t="b">
        <v>0</v>
      </c>
    </row>
    <row r="530" ht="15.75" customHeight="1">
      <c r="A530" s="5">
        <v>6.0</v>
      </c>
      <c r="B530" s="5">
        <v>20222.0</v>
      </c>
      <c r="C530" s="5">
        <v>107.46053566730072</v>
      </c>
      <c r="D530" s="5">
        <v>121.28727984586862</v>
      </c>
      <c r="E530" s="5">
        <v>7.460535667300718</v>
      </c>
      <c r="F530" s="5">
        <v>21.287279845868625</v>
      </c>
      <c r="G530" s="5">
        <v>18.52706628913645</v>
      </c>
      <c r="H530" s="5">
        <v>-2.7602135567321753</v>
      </c>
      <c r="I530" s="9" t="b">
        <v>1</v>
      </c>
      <c r="J530" s="9" t="b">
        <v>0</v>
      </c>
    </row>
    <row r="531" ht="15.75" customHeight="1">
      <c r="A531" s="5">
        <v>7.0</v>
      </c>
      <c r="B531" s="5">
        <v>20222.0</v>
      </c>
      <c r="C531" s="5">
        <v>108.07315172714418</v>
      </c>
      <c r="D531" s="5">
        <v>114.61077745481644</v>
      </c>
      <c r="E531" s="5">
        <v>8.073151727144179</v>
      </c>
      <c r="F531" s="5">
        <v>14.610777454816443</v>
      </c>
      <c r="G531" s="5">
        <v>13.465860836194498</v>
      </c>
      <c r="H531" s="5">
        <v>-1.144916618621945</v>
      </c>
      <c r="I531" s="9" t="b">
        <v>1</v>
      </c>
      <c r="J531" s="9" t="b">
        <v>0</v>
      </c>
    </row>
    <row r="532" ht="15.75" customHeight="1">
      <c r="A532" s="5">
        <v>8.0</v>
      </c>
      <c r="B532" s="5">
        <v>20222.0</v>
      </c>
      <c r="C532" s="5">
        <v>100.79901659496008</v>
      </c>
      <c r="D532" s="5">
        <v>115.41168191414496</v>
      </c>
      <c r="E532" s="5">
        <v>0.7990165949600794</v>
      </c>
      <c r="F532" s="5">
        <v>15.411681914144964</v>
      </c>
      <c r="G532" s="5">
        <v>13.754465571151808</v>
      </c>
      <c r="H532" s="5">
        <v>-1.6572163429931557</v>
      </c>
      <c r="I532" s="9" t="b">
        <v>1</v>
      </c>
      <c r="J532" s="9" t="b">
        <v>0</v>
      </c>
    </row>
    <row r="533" ht="15.75" customHeight="1">
      <c r="A533" s="5">
        <v>9.0</v>
      </c>
      <c r="B533" s="5">
        <v>20222.0</v>
      </c>
      <c r="C533" s="5">
        <v>102.22179413086754</v>
      </c>
      <c r="D533" s="5">
        <v>114.71499603660732</v>
      </c>
      <c r="E533" s="5">
        <v>2.2217941308675364</v>
      </c>
      <c r="F533" s="5">
        <v>14.714996036607317</v>
      </c>
      <c r="G533" s="5">
        <v>17.226236696203777</v>
      </c>
      <c r="H533" s="5">
        <v>2.51124065959646</v>
      </c>
      <c r="I533" s="9" t="b">
        <v>1</v>
      </c>
      <c r="J533" s="9" t="b">
        <v>0</v>
      </c>
    </row>
    <row r="534" ht="15.75" customHeight="1">
      <c r="A534" s="5">
        <v>10.0</v>
      </c>
      <c r="B534" s="5">
        <v>20222.0</v>
      </c>
      <c r="C534" s="5">
        <v>105.44263407248155</v>
      </c>
      <c r="D534" s="5">
        <v>115.22881329391024</v>
      </c>
      <c r="E534" s="5">
        <v>5.442634072481553</v>
      </c>
      <c r="F534" s="5">
        <v>15.228813293910235</v>
      </c>
      <c r="G534" s="5">
        <v>14.017134705660084</v>
      </c>
      <c r="H534" s="5">
        <v>-1.2116785882501517</v>
      </c>
      <c r="I534" s="9" t="b">
        <v>1</v>
      </c>
      <c r="J534" s="9" t="b">
        <v>0</v>
      </c>
    </row>
    <row r="535" ht="15.75" customHeight="1">
      <c r="A535" s="5">
        <v>11.0</v>
      </c>
      <c r="B535" s="5">
        <v>20222.0</v>
      </c>
      <c r="C535" s="5">
        <v>102.42732156916212</v>
      </c>
      <c r="D535" s="5">
        <v>112.85115918684254</v>
      </c>
      <c r="E535" s="5">
        <v>2.4273215691621175</v>
      </c>
      <c r="F535" s="5">
        <v>12.851159186842537</v>
      </c>
      <c r="G535" s="5">
        <v>15.855430943572468</v>
      </c>
      <c r="H535" s="5">
        <v>3.0042717567299313</v>
      </c>
      <c r="I535" s="9" t="b">
        <v>1</v>
      </c>
      <c r="J535" s="9" t="b">
        <v>0</v>
      </c>
    </row>
    <row r="536" ht="15.75" customHeight="1">
      <c r="A536" s="5">
        <v>12.0</v>
      </c>
      <c r="B536" s="5">
        <v>20222.0</v>
      </c>
      <c r="C536" s="5">
        <v>105.79523502897617</v>
      </c>
      <c r="D536" s="5">
        <v>107.66710353866318</v>
      </c>
      <c r="E536" s="5">
        <v>5.795235028976165</v>
      </c>
      <c r="F536" s="5">
        <v>7.667103538663184</v>
      </c>
      <c r="G536" s="5">
        <v>17.452699728252853</v>
      </c>
      <c r="H536" s="5">
        <v>9.785596189589668</v>
      </c>
      <c r="I536" s="9" t="b">
        <v>1</v>
      </c>
      <c r="J536" s="9" t="b">
        <v>0</v>
      </c>
    </row>
    <row r="537" ht="15.75" customHeight="1">
      <c r="A537" s="5">
        <v>13.0</v>
      </c>
      <c r="B537" s="5">
        <v>20222.0</v>
      </c>
      <c r="C537" s="5">
        <v>105.1272376588184</v>
      </c>
      <c r="D537" s="5">
        <v>120.33666436519906</v>
      </c>
      <c r="E537" s="5">
        <v>5.127237658818402</v>
      </c>
      <c r="F537" s="5">
        <v>20.336664365199056</v>
      </c>
      <c r="G537" s="5">
        <v>18.367656778368936</v>
      </c>
      <c r="H537" s="5">
        <v>-1.96900758683012</v>
      </c>
      <c r="I537" s="9" t="b">
        <v>1</v>
      </c>
      <c r="J537" s="9" t="b">
        <v>0</v>
      </c>
    </row>
    <row r="538" ht="15.75" customHeight="1">
      <c r="A538" s="5">
        <v>14.0</v>
      </c>
      <c r="B538" s="5">
        <v>20222.0</v>
      </c>
      <c r="C538" s="5">
        <v>100.41075949802318</v>
      </c>
      <c r="D538" s="5">
        <v>111.1913968231442</v>
      </c>
      <c r="E538" s="5">
        <v>0.41075949802318235</v>
      </c>
      <c r="F538" s="5">
        <v>11.191396823144203</v>
      </c>
      <c r="G538" s="5">
        <v>13.580386066573746</v>
      </c>
      <c r="H538" s="5">
        <v>2.3889892434295437</v>
      </c>
      <c r="I538" s="9" t="b">
        <v>1</v>
      </c>
      <c r="J538" s="9" t="b">
        <v>0</v>
      </c>
    </row>
    <row r="539" ht="15.75" customHeight="1">
      <c r="A539" s="5">
        <v>15.0</v>
      </c>
      <c r="B539" s="5">
        <v>20222.0</v>
      </c>
      <c r="C539" s="5">
        <v>106.91802980094474</v>
      </c>
      <c r="D539" s="5">
        <v>115.86883029073698</v>
      </c>
      <c r="E539" s="5">
        <v>6.918029800944737</v>
      </c>
      <c r="F539" s="5">
        <v>15.86883029073698</v>
      </c>
      <c r="G539" s="5">
        <v>16.70858367464758</v>
      </c>
      <c r="H539" s="5">
        <v>0.8397533839106011</v>
      </c>
      <c r="I539" s="9" t="b">
        <v>1</v>
      </c>
      <c r="J539" s="9" t="b">
        <v>0</v>
      </c>
    </row>
    <row r="540" ht="15.75" customHeight="1">
      <c r="A540" s="5">
        <v>16.0</v>
      </c>
      <c r="B540" s="5">
        <v>20222.0</v>
      </c>
      <c r="C540" s="5">
        <v>106.88079128187064</v>
      </c>
      <c r="D540" s="5">
        <v>113.83459334042304</v>
      </c>
      <c r="E540" s="5">
        <v>6.880791281870643</v>
      </c>
      <c r="F540" s="5">
        <v>13.83459334042304</v>
      </c>
      <c r="G540" s="5">
        <v>21.269131858205004</v>
      </c>
      <c r="H540" s="5">
        <v>7.434538517781963</v>
      </c>
      <c r="I540" s="9" t="b">
        <v>1</v>
      </c>
      <c r="J540" s="9" t="b">
        <v>0</v>
      </c>
    </row>
    <row r="541" ht="15.75" customHeight="1">
      <c r="A541" s="5">
        <v>17.0</v>
      </c>
      <c r="B541" s="5">
        <v>20222.0</v>
      </c>
      <c r="C541" s="5">
        <v>107.42053865770976</v>
      </c>
      <c r="D541" s="5">
        <v>121.09101107839012</v>
      </c>
      <c r="E541" s="5">
        <v>7.420538657709756</v>
      </c>
      <c r="F541" s="5">
        <v>21.091011078390125</v>
      </c>
      <c r="G541" s="5">
        <v>11.44780891649635</v>
      </c>
      <c r="H541" s="5">
        <v>-9.643202161893775</v>
      </c>
      <c r="I541" s="9" t="b">
        <v>1</v>
      </c>
      <c r="J541" s="9" t="b">
        <v>0</v>
      </c>
    </row>
    <row r="542" ht="15.75" customHeight="1">
      <c r="A542" s="5">
        <v>1.0</v>
      </c>
      <c r="B542" s="5">
        <v>20232.0</v>
      </c>
      <c r="C542" s="5">
        <v>100.11415525114155</v>
      </c>
      <c r="D542" s="5">
        <v>101.09510086455332</v>
      </c>
      <c r="E542" s="5">
        <v>0.114155251141554</v>
      </c>
      <c r="F542" s="5">
        <v>1.0951008645533165</v>
      </c>
      <c r="G542" s="5">
        <v>-1.910420799545287</v>
      </c>
      <c r="H542" s="5">
        <v>-3.0055216640986036</v>
      </c>
      <c r="I542" s="9" t="b">
        <v>1</v>
      </c>
      <c r="J542" s="9" t="b">
        <v>1</v>
      </c>
    </row>
    <row r="543" ht="15.75" customHeight="1">
      <c r="A543" s="5">
        <v>2.0</v>
      </c>
      <c r="B543" s="5">
        <v>20232.0</v>
      </c>
      <c r="C543" s="5">
        <v>100.74859638178415</v>
      </c>
      <c r="D543" s="5">
        <v>99.01900674432864</v>
      </c>
      <c r="E543" s="5">
        <v>0.7485963817841537</v>
      </c>
      <c r="F543" s="5">
        <v>-0.9809932556713648</v>
      </c>
      <c r="G543" s="5">
        <v>3.911382734912139</v>
      </c>
      <c r="H543" s="5">
        <v>4.892375990583504</v>
      </c>
      <c r="I543" s="9" t="b">
        <v>1</v>
      </c>
      <c r="J543" s="9" t="b">
        <v>1</v>
      </c>
    </row>
    <row r="544" ht="15.75" customHeight="1">
      <c r="A544" s="5">
        <v>5.0</v>
      </c>
      <c r="B544" s="5">
        <v>20232.0</v>
      </c>
      <c r="C544" s="5">
        <v>99.98002172514065</v>
      </c>
      <c r="D544" s="5">
        <v>102.91028117253131</v>
      </c>
      <c r="E544" s="5">
        <v>-0.019978274859354883</v>
      </c>
      <c r="F544" s="5">
        <v>2.910281172531313</v>
      </c>
      <c r="G544" s="5">
        <v>5.915144701045838</v>
      </c>
      <c r="H544" s="5">
        <v>3.004863528514525</v>
      </c>
      <c r="I544" s="9" t="b">
        <v>1</v>
      </c>
      <c r="J544" s="9" t="b">
        <v>0</v>
      </c>
    </row>
    <row r="545" ht="15.75" customHeight="1">
      <c r="A545" s="5">
        <v>6.0</v>
      </c>
      <c r="B545" s="5">
        <v>20232.0</v>
      </c>
      <c r="C545" s="5">
        <v>101.95090058896912</v>
      </c>
      <c r="D545" s="5">
        <v>102.4410097241313</v>
      </c>
      <c r="E545" s="5">
        <v>1.9509005889691196</v>
      </c>
      <c r="F545" s="5">
        <v>2.4410097241313053</v>
      </c>
      <c r="G545" s="5">
        <v>3.1023113377407263</v>
      </c>
      <c r="H545" s="5">
        <v>0.661301613609421</v>
      </c>
      <c r="I545" s="9" t="b">
        <v>1</v>
      </c>
      <c r="J545" s="9" t="b">
        <v>0</v>
      </c>
    </row>
    <row r="546" ht="15.75" customHeight="1">
      <c r="A546" s="5">
        <v>7.0</v>
      </c>
      <c r="B546" s="5">
        <v>20232.0</v>
      </c>
      <c r="C546" s="5">
        <v>102.15111958144504</v>
      </c>
      <c r="D546" s="5">
        <v>105.7704416784742</v>
      </c>
      <c r="E546" s="5">
        <v>2.1511195814450446</v>
      </c>
      <c r="F546" s="5">
        <v>5.770441678474199</v>
      </c>
      <c r="G546" s="5">
        <v>4.89079402662993</v>
      </c>
      <c r="H546" s="5">
        <v>-0.8796476518442695</v>
      </c>
      <c r="I546" s="9" t="b">
        <v>1</v>
      </c>
      <c r="J546" s="9" t="b">
        <v>0</v>
      </c>
    </row>
    <row r="547" ht="15.75" customHeight="1">
      <c r="A547" s="5">
        <v>8.0</v>
      </c>
      <c r="B547" s="5">
        <v>20232.0</v>
      </c>
      <c r="C547" s="5">
        <v>103.18924458913608</v>
      </c>
      <c r="D547" s="5">
        <v>104.3658536585366</v>
      </c>
      <c r="E547" s="5">
        <v>3.1892445891360808</v>
      </c>
      <c r="F547" s="5">
        <v>4.365853658536594</v>
      </c>
      <c r="G547" s="5">
        <v>2.8484534731823885</v>
      </c>
      <c r="H547" s="5">
        <v>-1.5174001853542052</v>
      </c>
      <c r="I547" s="9" t="b">
        <v>1</v>
      </c>
      <c r="J547" s="9" t="b">
        <v>0</v>
      </c>
    </row>
    <row r="548" ht="15.75" customHeight="1">
      <c r="A548" s="5">
        <v>9.0</v>
      </c>
      <c r="B548" s="5">
        <v>20232.0</v>
      </c>
      <c r="C548" s="5">
        <v>108.29714137551046</v>
      </c>
      <c r="D548" s="5">
        <v>104.9500596771154</v>
      </c>
      <c r="E548" s="5">
        <v>8.297141375510463</v>
      </c>
      <c r="F548" s="5">
        <v>4.950059677115405</v>
      </c>
      <c r="G548" s="5">
        <v>2.945861549716322</v>
      </c>
      <c r="H548" s="5">
        <v>-2.004198127399083</v>
      </c>
      <c r="I548" s="9" t="b">
        <v>1</v>
      </c>
      <c r="J548" s="9" t="b">
        <v>0</v>
      </c>
    </row>
    <row r="549" ht="15.75" customHeight="1">
      <c r="A549" s="5">
        <v>10.0</v>
      </c>
      <c r="B549" s="5">
        <v>20232.0</v>
      </c>
      <c r="C549" s="5">
        <v>103.581528799559</v>
      </c>
      <c r="D549" s="5">
        <v>107.683735019021</v>
      </c>
      <c r="E549" s="5">
        <v>3.5815287995589955</v>
      </c>
      <c r="F549" s="5">
        <v>7.683735019021</v>
      </c>
      <c r="G549" s="5">
        <v>8.76934559018261</v>
      </c>
      <c r="H549" s="5">
        <v>1.0856105711616095</v>
      </c>
      <c r="I549" s="9" t="b">
        <v>1</v>
      </c>
      <c r="J549" s="9" t="b">
        <v>0</v>
      </c>
    </row>
    <row r="550" ht="15.75" customHeight="1">
      <c r="A550" s="5">
        <v>11.0</v>
      </c>
      <c r="B550" s="5">
        <v>20232.0</v>
      </c>
      <c r="C550" s="5">
        <v>103.2793645623058</v>
      </c>
      <c r="D550" s="5">
        <v>105.72504893214808</v>
      </c>
      <c r="E550" s="5">
        <v>3.279364562305801</v>
      </c>
      <c r="F550" s="5">
        <v>5.725048932148084</v>
      </c>
      <c r="G550" s="5">
        <v>3.3856617416264667</v>
      </c>
      <c r="H550" s="5">
        <v>-2.3393871905216175</v>
      </c>
      <c r="I550" s="9" t="b">
        <v>1</v>
      </c>
      <c r="J550" s="9" t="b">
        <v>0</v>
      </c>
    </row>
    <row r="551" ht="15.75" customHeight="1">
      <c r="A551" s="5">
        <v>12.0</v>
      </c>
      <c r="B551" s="5">
        <v>20232.0</v>
      </c>
      <c r="C551" s="5">
        <v>106.9461827284105</v>
      </c>
      <c r="D551" s="5">
        <v>104.01704199634814</v>
      </c>
      <c r="E551" s="5">
        <v>6.9461827284105055</v>
      </c>
      <c r="F551" s="5">
        <v>4.017041996348141</v>
      </c>
      <c r="G551" s="5">
        <v>5.40257247460374</v>
      </c>
      <c r="H551" s="5">
        <v>1.3855304782555988</v>
      </c>
      <c r="I551" s="9" t="b">
        <v>1</v>
      </c>
      <c r="J551" s="9" t="b">
        <v>0</v>
      </c>
    </row>
    <row r="552" ht="15.75" customHeight="1">
      <c r="A552" s="5">
        <v>13.0</v>
      </c>
      <c r="B552" s="5">
        <v>20232.0</v>
      </c>
      <c r="C552" s="5">
        <v>98.29494764260832</v>
      </c>
      <c r="D552" s="5">
        <v>96.65780692606322</v>
      </c>
      <c r="E552" s="5">
        <v>-1.7050523573916792</v>
      </c>
      <c r="F552" s="5">
        <v>-3.3421930739367838</v>
      </c>
      <c r="G552" s="5">
        <v>-2.1719318785171193</v>
      </c>
      <c r="H552" s="5">
        <v>1.1702611954196644</v>
      </c>
      <c r="I552" s="9" t="b">
        <v>1</v>
      </c>
      <c r="J552" s="9" t="b">
        <v>0</v>
      </c>
    </row>
    <row r="553" ht="15.75" customHeight="1">
      <c r="A553" s="5">
        <v>14.0</v>
      </c>
      <c r="B553" s="5">
        <v>20232.0</v>
      </c>
      <c r="C553" s="5">
        <v>103.71971533694762</v>
      </c>
      <c r="D553" s="5">
        <v>103.11094206813816</v>
      </c>
      <c r="E553" s="5">
        <v>3.7197153369476155</v>
      </c>
      <c r="F553" s="5">
        <v>3.110942068138158</v>
      </c>
      <c r="G553" s="5">
        <v>4.138298084640879</v>
      </c>
      <c r="H553" s="5">
        <v>1.0273560165027211</v>
      </c>
      <c r="I553" s="9" t="b">
        <v>1</v>
      </c>
      <c r="J553" s="9" t="b">
        <v>0</v>
      </c>
    </row>
    <row r="554" ht="15.75" customHeight="1">
      <c r="A554" s="5">
        <v>15.0</v>
      </c>
      <c r="B554" s="5">
        <v>20232.0</v>
      </c>
      <c r="C554" s="5">
        <v>103.31264052558772</v>
      </c>
      <c r="D554" s="5">
        <v>109.12645153760867</v>
      </c>
      <c r="E554" s="5">
        <v>3.3126405255877245</v>
      </c>
      <c r="F554" s="5">
        <v>9.126451537608673</v>
      </c>
      <c r="G554" s="5">
        <v>3.6552739914307075</v>
      </c>
      <c r="H554" s="5">
        <v>-5.471177546177966</v>
      </c>
      <c r="I554" s="9" t="b">
        <v>1</v>
      </c>
      <c r="J554" s="9" t="b">
        <v>0</v>
      </c>
    </row>
    <row r="555" ht="15.75" customHeight="1">
      <c r="A555" s="5">
        <v>16.0</v>
      </c>
      <c r="B555" s="5">
        <v>20232.0</v>
      </c>
      <c r="C555" s="5">
        <v>98.17492984235967</v>
      </c>
      <c r="D555" s="5">
        <v>105.88096963847262</v>
      </c>
      <c r="E555" s="5">
        <v>-1.8250701576403259</v>
      </c>
      <c r="F555" s="5">
        <v>5.880969638472621</v>
      </c>
      <c r="G555" s="5">
        <v>5.0650577783738715</v>
      </c>
      <c r="H555" s="5">
        <v>-0.8159118600987494</v>
      </c>
      <c r="I555" s="9" t="b">
        <v>1</v>
      </c>
      <c r="J555" s="9" t="b">
        <v>0</v>
      </c>
    </row>
    <row r="556" ht="15.75" customHeight="1">
      <c r="A556" s="5">
        <v>17.0</v>
      </c>
      <c r="B556" s="5">
        <v>20232.0</v>
      </c>
      <c r="C556" s="5">
        <v>95.7629135920019</v>
      </c>
      <c r="D556" s="5">
        <v>93.17892298784018</v>
      </c>
      <c r="E556" s="5">
        <v>-4.237086407998106</v>
      </c>
      <c r="F556" s="5">
        <v>-6.821077012159819</v>
      </c>
      <c r="G556" s="5">
        <v>-3.273226181645217</v>
      </c>
      <c r="H556" s="5">
        <v>3.547850830514602</v>
      </c>
      <c r="I556" s="9" t="b">
        <v>1</v>
      </c>
      <c r="J556" s="9" t="b">
        <v>0</v>
      </c>
    </row>
    <row r="557" ht="15.75" customHeight="1">
      <c r="A557" s="5">
        <v>1.0</v>
      </c>
      <c r="B557" s="5">
        <v>20242.0</v>
      </c>
      <c r="C557" s="5">
        <v>104.230377166157</v>
      </c>
      <c r="D557" s="5">
        <v>116.59064994298744</v>
      </c>
      <c r="E557" s="5">
        <v>4.230377166156998</v>
      </c>
      <c r="F557" s="5">
        <v>16.59064994298744</v>
      </c>
      <c r="G557" s="5">
        <v>19.15497846312477</v>
      </c>
      <c r="H557" s="5">
        <v>2.5643285201373303</v>
      </c>
      <c r="I557" s="9" t="b">
        <v>1</v>
      </c>
      <c r="J557" s="9" t="b">
        <v>0</v>
      </c>
    </row>
    <row r="558" ht="15.75" customHeight="1">
      <c r="A558" s="5">
        <v>2.0</v>
      </c>
      <c r="B558" s="5">
        <v>20242.0</v>
      </c>
      <c r="C558" s="5">
        <v>99.05593476107651</v>
      </c>
      <c r="D558" s="5">
        <v>112.56630294090324</v>
      </c>
      <c r="E558" s="5">
        <v>-0.9440652389234856</v>
      </c>
      <c r="F558" s="5">
        <v>12.566302940903242</v>
      </c>
      <c r="G558" s="5">
        <v>12.689310395530073</v>
      </c>
      <c r="H558" s="5">
        <v>0.1230074546268316</v>
      </c>
      <c r="I558" s="9" t="b">
        <v>1</v>
      </c>
      <c r="J558" s="9" t="b">
        <v>0</v>
      </c>
    </row>
    <row r="559" ht="15.75" customHeight="1">
      <c r="A559" s="5">
        <v>5.0</v>
      </c>
      <c r="B559" s="5">
        <v>20242.0</v>
      </c>
      <c r="C559" s="5">
        <v>101.06618335124972</v>
      </c>
      <c r="D559" s="5">
        <v>116.37460794584022</v>
      </c>
      <c r="E559" s="5">
        <v>1.0661833512497196</v>
      </c>
      <c r="F559" s="5">
        <v>16.374607945840225</v>
      </c>
      <c r="G559" s="5">
        <v>13.64123476138126</v>
      </c>
      <c r="H559" s="5">
        <v>-2.7333731844589657</v>
      </c>
      <c r="I559" s="9" t="b">
        <v>1</v>
      </c>
      <c r="J559" s="9" t="b">
        <v>0</v>
      </c>
    </row>
    <row r="560" ht="15.75" customHeight="1">
      <c r="A560" s="5">
        <v>6.0</v>
      </c>
      <c r="B560" s="5">
        <v>20242.0</v>
      </c>
      <c r="C560" s="5">
        <v>109.3456472634734</v>
      </c>
      <c r="D560" s="5">
        <v>121.35383170226883</v>
      </c>
      <c r="E560" s="5">
        <v>9.345647263473396</v>
      </c>
      <c r="F560" s="5">
        <v>21.353831702268835</v>
      </c>
      <c r="G560" s="5">
        <v>25.733682670345814</v>
      </c>
      <c r="H560" s="5">
        <v>4.37985096807698</v>
      </c>
      <c r="I560" s="9" t="b">
        <v>1</v>
      </c>
      <c r="J560" s="9" t="b">
        <v>0</v>
      </c>
    </row>
    <row r="561" ht="15.75" customHeight="1">
      <c r="A561" s="5">
        <v>7.0</v>
      </c>
      <c r="B561" s="5">
        <v>20242.0</v>
      </c>
      <c r="C561" s="5">
        <v>107.59066990007042</v>
      </c>
      <c r="D561" s="5">
        <v>129.25460339307966</v>
      </c>
      <c r="E561" s="5">
        <v>7.590669900070424</v>
      </c>
      <c r="F561" s="5">
        <v>29.254603393079663</v>
      </c>
      <c r="G561" s="5">
        <v>30.315713285825275</v>
      </c>
      <c r="H561" s="5">
        <v>1.0611098927456126</v>
      </c>
      <c r="I561" s="9" t="b">
        <v>1</v>
      </c>
      <c r="J561" s="9" t="b">
        <v>0</v>
      </c>
    </row>
    <row r="562" ht="15.75" customHeight="1">
      <c r="A562" s="5">
        <v>8.0</v>
      </c>
      <c r="B562" s="5">
        <v>20242.0</v>
      </c>
      <c r="C562" s="5">
        <v>104.54785827604442</v>
      </c>
      <c r="D562" s="5">
        <v>115.50595933629351</v>
      </c>
      <c r="E562" s="5">
        <v>4.547858276044423</v>
      </c>
      <c r="F562" s="5">
        <v>15.505959336293515</v>
      </c>
      <c r="G562" s="5">
        <v>19.02717744179574</v>
      </c>
      <c r="H562" s="5">
        <v>3.521218105502225</v>
      </c>
      <c r="I562" s="9" t="b">
        <v>1</v>
      </c>
      <c r="J562" s="9" t="b">
        <v>0</v>
      </c>
    </row>
    <row r="563" ht="15.75" customHeight="1">
      <c r="A563" s="5">
        <v>9.0</v>
      </c>
      <c r="B563" s="5">
        <v>20242.0</v>
      </c>
      <c r="C563" s="5">
        <v>103.1306921675774</v>
      </c>
      <c r="D563" s="5">
        <v>108.44556174058778</v>
      </c>
      <c r="E563" s="5">
        <v>3.1306921675773935</v>
      </c>
      <c r="F563" s="5">
        <v>8.445561740587777</v>
      </c>
      <c r="G563" s="5">
        <v>13.275707939043047</v>
      </c>
      <c r="H563" s="5">
        <v>4.830146198455269</v>
      </c>
      <c r="I563" s="9" t="b">
        <v>1</v>
      </c>
      <c r="J563" s="9" t="b">
        <v>0</v>
      </c>
    </row>
    <row r="564" ht="15.75" customHeight="1">
      <c r="A564" s="5">
        <v>10.0</v>
      </c>
      <c r="B564" s="5">
        <v>20242.0</v>
      </c>
      <c r="C564" s="5">
        <v>105.35111532401442</v>
      </c>
      <c r="D564" s="5">
        <v>116.52658243309224</v>
      </c>
      <c r="E564" s="5">
        <v>5.351115324014415</v>
      </c>
      <c r="F564" s="5">
        <v>16.526582433092244</v>
      </c>
      <c r="G564" s="5">
        <v>25.564166369777276</v>
      </c>
      <c r="H564" s="5">
        <v>9.037583936685031</v>
      </c>
      <c r="I564" s="9" t="b">
        <v>1</v>
      </c>
      <c r="J564" s="9" t="b">
        <v>0</v>
      </c>
    </row>
    <row r="565" ht="15.75" customHeight="1">
      <c r="A565" s="5">
        <v>11.0</v>
      </c>
      <c r="B565" s="5">
        <v>20242.0</v>
      </c>
      <c r="C565" s="5">
        <v>103.00765389034616</v>
      </c>
      <c r="D565" s="5">
        <v>116.81206019613614</v>
      </c>
      <c r="E565" s="5">
        <v>3.0076538903461625</v>
      </c>
      <c r="F565" s="5">
        <v>16.812060196136144</v>
      </c>
      <c r="G565" s="5">
        <v>18.31166731551914</v>
      </c>
      <c r="H565" s="5">
        <v>1.499607119382997</v>
      </c>
      <c r="I565" s="9" t="b">
        <v>1</v>
      </c>
      <c r="J565" s="9" t="b">
        <v>0</v>
      </c>
    </row>
    <row r="566" ht="15.75" customHeight="1">
      <c r="A566" s="5">
        <v>12.0</v>
      </c>
      <c r="B566" s="5">
        <v>20242.0</v>
      </c>
      <c r="C566" s="5">
        <v>107.74125132555676</v>
      </c>
      <c r="D566" s="5">
        <v>118.89994148624923</v>
      </c>
      <c r="E566" s="5">
        <v>7.74125132555676</v>
      </c>
      <c r="F566" s="5">
        <v>18.899941486249233</v>
      </c>
      <c r="G566" s="5">
        <v>18.60456488130162</v>
      </c>
      <c r="H566" s="5">
        <v>-0.295376604947613</v>
      </c>
      <c r="I566" s="9" t="b">
        <v>1</v>
      </c>
      <c r="J566" s="9" t="b">
        <v>0</v>
      </c>
    </row>
    <row r="567" ht="15.75" customHeight="1">
      <c r="A567" s="5">
        <v>13.0</v>
      </c>
      <c r="B567" s="5">
        <v>20242.0</v>
      </c>
      <c r="C567" s="5">
        <v>101.9386675093178</v>
      </c>
      <c r="D567" s="5">
        <v>116.21287484833786</v>
      </c>
      <c r="E567" s="5">
        <v>1.9386675093177956</v>
      </c>
      <c r="F567" s="5">
        <v>16.21287484833786</v>
      </c>
      <c r="G567" s="5">
        <v>21.219152565625787</v>
      </c>
      <c r="H567" s="5">
        <v>5.006277717287926</v>
      </c>
      <c r="I567" s="9" t="b">
        <v>1</v>
      </c>
      <c r="J567" s="9" t="b">
        <v>0</v>
      </c>
    </row>
    <row r="568" ht="15.75" customHeight="1">
      <c r="A568" s="5">
        <v>14.0</v>
      </c>
      <c r="B568" s="5">
        <v>20242.0</v>
      </c>
      <c r="C568" s="5">
        <v>102.5413105536764</v>
      </c>
      <c r="D568" s="5">
        <v>117.81961391225622</v>
      </c>
      <c r="E568" s="5">
        <v>2.5413105536763965</v>
      </c>
      <c r="F568" s="5">
        <v>17.819613912256216</v>
      </c>
      <c r="G568" s="5">
        <v>25.49798146953357</v>
      </c>
      <c r="H568" s="5">
        <v>7.678367557277355</v>
      </c>
      <c r="I568" s="9" t="b">
        <v>1</v>
      </c>
      <c r="J568" s="9" t="b">
        <v>0</v>
      </c>
    </row>
    <row r="569" ht="15.75" customHeight="1">
      <c r="A569" s="5">
        <v>15.0</v>
      </c>
      <c r="B569" s="5">
        <v>20242.0</v>
      </c>
      <c r="C569" s="5">
        <v>101.69798761062096</v>
      </c>
      <c r="D569" s="5">
        <v>113.01623978916996</v>
      </c>
      <c r="E569" s="5">
        <v>1.697987610620956</v>
      </c>
      <c r="F569" s="5">
        <v>13.016239789169958</v>
      </c>
      <c r="G569" s="5">
        <v>21.342389163130846</v>
      </c>
      <c r="H569" s="5">
        <v>8.326149373960888</v>
      </c>
      <c r="I569" s="9" t="b">
        <v>1</v>
      </c>
      <c r="J569" s="9" t="b">
        <v>0</v>
      </c>
    </row>
    <row r="570" ht="15.75" customHeight="1">
      <c r="A570" s="5">
        <v>16.0</v>
      </c>
      <c r="B570" s="5">
        <v>20242.0</v>
      </c>
      <c r="C570" s="5">
        <v>102.39396745786892</v>
      </c>
      <c r="D570" s="5">
        <v>116.28322698380111</v>
      </c>
      <c r="E570" s="5">
        <v>2.393967457868925</v>
      </c>
      <c r="F570" s="5">
        <v>16.283226983801114</v>
      </c>
      <c r="G570" s="5">
        <v>17.88117277790391</v>
      </c>
      <c r="H570" s="5">
        <v>1.5979457941027952</v>
      </c>
      <c r="I570" s="9" t="b">
        <v>1</v>
      </c>
      <c r="J570" s="9" t="b">
        <v>0</v>
      </c>
    </row>
    <row r="571" ht="15.75" customHeight="1">
      <c r="A571" s="5">
        <v>17.0</v>
      </c>
      <c r="B571" s="5">
        <v>20242.0</v>
      </c>
      <c r="C571" s="5">
        <v>100.20470291832876</v>
      </c>
      <c r="D571" s="5">
        <v>118.63658960974396</v>
      </c>
      <c r="E571" s="5">
        <v>0.20470291832876342</v>
      </c>
      <c r="F571" s="5">
        <v>18.636589609743965</v>
      </c>
      <c r="G571" s="5">
        <v>22.60592668893999</v>
      </c>
      <c r="H571" s="5">
        <v>3.969337079196027</v>
      </c>
      <c r="I571" s="9" t="b">
        <v>1</v>
      </c>
      <c r="J571" s="9" t="b">
        <v>0</v>
      </c>
    </row>
    <row r="572" ht="15.75" customHeight="1">
      <c r="A572" s="5">
        <v>1.0</v>
      </c>
      <c r="B572" s="5">
        <v>20252.0</v>
      </c>
      <c r="C572" s="5">
        <v>99.349139934914</v>
      </c>
      <c r="D572" s="5">
        <v>104.49877750611248</v>
      </c>
      <c r="E572" s="5">
        <v>-0.6508600650859933</v>
      </c>
      <c r="F572" s="5">
        <v>4.498777506112475</v>
      </c>
      <c r="G572" s="5">
        <v>7.048609024250552</v>
      </c>
      <c r="H572" s="5">
        <v>2.5498315181380766</v>
      </c>
      <c r="I572" s="9" t="b">
        <v>1</v>
      </c>
      <c r="J572" s="9" t="b">
        <v>0</v>
      </c>
    </row>
    <row r="573" ht="15.75" customHeight="1">
      <c r="A573" s="5">
        <v>2.0</v>
      </c>
      <c r="B573" s="5">
        <v>20252.0</v>
      </c>
      <c r="C573" s="5">
        <v>100.1908928711023</v>
      </c>
      <c r="D573" s="5">
        <v>107.38241034122444</v>
      </c>
      <c r="E573" s="5">
        <v>0.19089287110230657</v>
      </c>
      <c r="F573" s="5">
        <v>7.382410341224443</v>
      </c>
      <c r="G573" s="5">
        <v>1.8267223382046005</v>
      </c>
      <c r="H573" s="5">
        <v>-5.555688003019842</v>
      </c>
      <c r="I573" s="9" t="b">
        <v>1</v>
      </c>
      <c r="J573" s="9" t="b">
        <v>0</v>
      </c>
    </row>
    <row r="574" ht="15.75" customHeight="1">
      <c r="A574" s="5">
        <v>5.0</v>
      </c>
      <c r="B574" s="5">
        <v>20252.0</v>
      </c>
      <c r="C574" s="5">
        <v>104.60222929295814</v>
      </c>
      <c r="D574" s="5">
        <v>109.59955365788171</v>
      </c>
      <c r="E574" s="5">
        <v>4.6022292929581425</v>
      </c>
      <c r="F574" s="5">
        <v>9.599553657881714</v>
      </c>
      <c r="G574" s="5">
        <v>6.186941278941416</v>
      </c>
      <c r="H574" s="5">
        <v>-3.412612378940298</v>
      </c>
      <c r="I574" s="9" t="b">
        <v>1</v>
      </c>
      <c r="J574" s="9" t="b">
        <v>0</v>
      </c>
    </row>
    <row r="575" ht="15.75" customHeight="1">
      <c r="A575" s="5">
        <v>6.0</v>
      </c>
      <c r="B575" s="5">
        <v>20252.0</v>
      </c>
      <c r="C575" s="5">
        <v>98.962221471606</v>
      </c>
      <c r="D575" s="5">
        <v>102.0638910774314</v>
      </c>
      <c r="E575" s="5">
        <v>-1.037778528394</v>
      </c>
      <c r="F575" s="5">
        <v>2.063891077431407</v>
      </c>
      <c r="G575" s="5">
        <v>0.6932672468311418</v>
      </c>
      <c r="H575" s="5">
        <v>-1.3706238306002652</v>
      </c>
      <c r="I575" s="9" t="b">
        <v>1</v>
      </c>
      <c r="J575" s="9" t="b">
        <v>0</v>
      </c>
    </row>
    <row r="576" ht="15.75" customHeight="1">
      <c r="A576" s="5">
        <v>7.0</v>
      </c>
      <c r="B576" s="5">
        <v>20252.0</v>
      </c>
      <c r="C576" s="5">
        <v>99.34262580568236</v>
      </c>
      <c r="D576" s="5">
        <v>103.19813125907272</v>
      </c>
      <c r="E576" s="5">
        <v>-0.6573741943176401</v>
      </c>
      <c r="F576" s="5">
        <v>3.198131259072724</v>
      </c>
      <c r="G576" s="5">
        <v>1.4413801560321682</v>
      </c>
      <c r="H576" s="5">
        <v>-1.756751103040556</v>
      </c>
      <c r="I576" s="9" t="b">
        <v>1</v>
      </c>
      <c r="J576" s="9" t="b">
        <v>0</v>
      </c>
    </row>
    <row r="577" ht="15.75" customHeight="1">
      <c r="A577" s="5">
        <v>8.0</v>
      </c>
      <c r="B577" s="5">
        <v>20252.0</v>
      </c>
      <c r="C577" s="5">
        <v>101.6646024275452</v>
      </c>
      <c r="D577" s="5">
        <v>103.79868487607486</v>
      </c>
      <c r="E577" s="5">
        <v>1.664602427545205</v>
      </c>
      <c r="F577" s="5">
        <v>3.7986848760748586</v>
      </c>
      <c r="G577" s="5">
        <v>4.047488425060064</v>
      </c>
      <c r="H577" s="5">
        <v>0.2488035489852054</v>
      </c>
      <c r="I577" s="9" t="b">
        <v>1</v>
      </c>
      <c r="J577" s="9" t="b">
        <v>0</v>
      </c>
    </row>
    <row r="578" ht="15.75" customHeight="1">
      <c r="A578" s="5">
        <v>9.0</v>
      </c>
      <c r="B578" s="5">
        <v>20252.0</v>
      </c>
      <c r="C578" s="5">
        <v>101.80438536815116</v>
      </c>
      <c r="D578" s="5">
        <v>107.37277845236784</v>
      </c>
      <c r="E578" s="5">
        <v>1.8043853681511592</v>
      </c>
      <c r="F578" s="5">
        <v>7.3727784523678395</v>
      </c>
      <c r="G578" s="5">
        <v>3.650774568167181</v>
      </c>
      <c r="H578" s="5">
        <v>-3.7220038842006584</v>
      </c>
      <c r="I578" s="9" t="b">
        <v>1</v>
      </c>
      <c r="J578" s="9" t="b">
        <v>0</v>
      </c>
    </row>
    <row r="579" ht="15.75" customHeight="1">
      <c r="A579" s="5">
        <v>10.0</v>
      </c>
      <c r="B579" s="5">
        <v>20252.0</v>
      </c>
      <c r="C579" s="5">
        <v>99.87158104309168</v>
      </c>
      <c r="D579" s="5">
        <v>106.39199613950191</v>
      </c>
      <c r="E579" s="5">
        <v>-0.12841895690831961</v>
      </c>
      <c r="F579" s="5">
        <v>6.391996139501913</v>
      </c>
      <c r="G579" s="5">
        <v>2.3912051102690457</v>
      </c>
      <c r="H579" s="5">
        <v>-4.000791029232867</v>
      </c>
      <c r="I579" s="9" t="b">
        <v>1</v>
      </c>
      <c r="J579" s="9" t="b">
        <v>0</v>
      </c>
    </row>
    <row r="580" ht="15.75" customHeight="1">
      <c r="A580" s="5">
        <v>11.0</v>
      </c>
      <c r="B580" s="5">
        <v>20252.0</v>
      </c>
      <c r="C580" s="5">
        <v>100.98960865152226</v>
      </c>
      <c r="D580" s="5">
        <v>103.10255862764942</v>
      </c>
      <c r="E580" s="5">
        <v>0.9896086515222606</v>
      </c>
      <c r="F580" s="5">
        <v>3.1025586276494153</v>
      </c>
      <c r="G580" s="5">
        <v>5.054480371796366</v>
      </c>
      <c r="H580" s="5">
        <v>1.9519217441469507</v>
      </c>
      <c r="I580" s="9" t="b">
        <v>1</v>
      </c>
      <c r="J580" s="9" t="b">
        <v>0</v>
      </c>
    </row>
    <row r="581" ht="15.75" customHeight="1">
      <c r="A581" s="5">
        <v>12.0</v>
      </c>
      <c r="B581" s="5">
        <v>20252.0</v>
      </c>
      <c r="C581" s="5">
        <v>98.28703703703704</v>
      </c>
      <c r="D581" s="5">
        <v>104.47834645669292</v>
      </c>
      <c r="E581" s="5">
        <v>-1.712962962962962</v>
      </c>
      <c r="F581" s="5">
        <v>4.478346456692918</v>
      </c>
      <c r="G581" s="5">
        <v>7.92016626218901</v>
      </c>
      <c r="H581" s="5">
        <v>3.441819805496092</v>
      </c>
      <c r="I581" s="9" t="b">
        <v>1</v>
      </c>
      <c r="J581" s="9" t="b">
        <v>0</v>
      </c>
    </row>
    <row r="582" ht="15.75" customHeight="1">
      <c r="A582" s="5">
        <v>13.0</v>
      </c>
      <c r="B582" s="5">
        <v>20252.0</v>
      </c>
      <c r="C582" s="5">
        <v>104.81048439675816</v>
      </c>
      <c r="D582" s="5">
        <v>106.35830313249272</v>
      </c>
      <c r="E582" s="5">
        <v>4.810484396758156</v>
      </c>
      <c r="F582" s="5">
        <v>6.358303132492722</v>
      </c>
      <c r="G582" s="5">
        <v>2.275626084186011</v>
      </c>
      <c r="H582" s="5">
        <v>-4.082677048306711</v>
      </c>
      <c r="I582" s="9" t="b">
        <v>1</v>
      </c>
      <c r="J582" s="9" t="b">
        <v>0</v>
      </c>
    </row>
    <row r="583" ht="15.75" customHeight="1">
      <c r="A583" s="5">
        <v>14.0</v>
      </c>
      <c r="B583" s="5">
        <v>20252.0</v>
      </c>
      <c r="C583" s="5">
        <v>100.19673856914592</v>
      </c>
      <c r="D583" s="5">
        <v>102.15961428980684</v>
      </c>
      <c r="E583" s="5">
        <v>0.19673856914592136</v>
      </c>
      <c r="F583" s="5">
        <v>2.1596142898068393</v>
      </c>
      <c r="G583" s="5">
        <v>1.4035682728709808</v>
      </c>
      <c r="H583" s="5">
        <v>-0.7560460169358585</v>
      </c>
      <c r="I583" s="9" t="b">
        <v>1</v>
      </c>
      <c r="J583" s="9" t="b">
        <v>0</v>
      </c>
    </row>
    <row r="584" ht="15.75" customHeight="1">
      <c r="A584" s="5">
        <v>15.0</v>
      </c>
      <c r="B584" s="5">
        <v>20252.0</v>
      </c>
      <c r="C584" s="5">
        <v>102.07138702577517</v>
      </c>
      <c r="D584" s="5">
        <v>105.6655714867404</v>
      </c>
      <c r="E584" s="5">
        <v>2.0713870257751665</v>
      </c>
      <c r="F584" s="5">
        <v>5.665571486740404</v>
      </c>
      <c r="G584" s="5">
        <v>0.9655825178526145</v>
      </c>
      <c r="H584" s="5">
        <v>-4.69998896888779</v>
      </c>
      <c r="I584" s="9" t="b">
        <v>1</v>
      </c>
      <c r="J584" s="9" t="b">
        <v>0</v>
      </c>
    </row>
    <row r="585" ht="15.75" customHeight="1">
      <c r="A585" s="5">
        <v>16.0</v>
      </c>
      <c r="B585" s="5">
        <v>20252.0</v>
      </c>
      <c r="C585" s="5">
        <v>106.16012612544117</v>
      </c>
      <c r="D585" s="5">
        <v>112.60683631433062</v>
      </c>
      <c r="E585" s="5">
        <v>6.160126125441167</v>
      </c>
      <c r="F585" s="5">
        <v>12.606836314330621</v>
      </c>
      <c r="G585" s="5">
        <v>6.0558959056775</v>
      </c>
      <c r="H585" s="5">
        <v>-6.550940408653122</v>
      </c>
      <c r="I585" s="9" t="b">
        <v>1</v>
      </c>
      <c r="J585" s="9" t="b">
        <v>0</v>
      </c>
    </row>
    <row r="586" ht="15.75" customHeight="1">
      <c r="A586" s="5">
        <v>17.0</v>
      </c>
      <c r="B586" s="5">
        <v>20252.0</v>
      </c>
      <c r="C586" s="5">
        <v>101.39593908629443</v>
      </c>
      <c r="D586" s="5">
        <v>108.81567230632236</v>
      </c>
      <c r="E586" s="5">
        <v>1.3959390862944332</v>
      </c>
      <c r="F586" s="5">
        <v>8.815672306322355</v>
      </c>
      <c r="G586" s="5">
        <v>4.4770627919443085</v>
      </c>
      <c r="H586" s="5">
        <v>-4.338609514378047</v>
      </c>
      <c r="I586" s="9" t="b">
        <v>1</v>
      </c>
      <c r="J586" s="9" t="b">
        <v>0</v>
      </c>
    </row>
    <row r="587" ht="15.75" customHeight="1">
      <c r="A587" s="5">
        <v>1.0</v>
      </c>
      <c r="B587" s="5">
        <v>20262.0</v>
      </c>
      <c r="C587" s="5">
        <v>101.55002348520432</v>
      </c>
      <c r="D587" s="5">
        <v>101.16986429574168</v>
      </c>
      <c r="E587" s="5">
        <v>1.5500234852043207</v>
      </c>
      <c r="F587" s="5">
        <v>1.1698642957416752</v>
      </c>
      <c r="G587" s="5">
        <v>-0.17664209662298092</v>
      </c>
      <c r="H587" s="5">
        <v>-1.346506392364656</v>
      </c>
      <c r="I587" s="9" t="b">
        <v>1</v>
      </c>
      <c r="J587" s="9" t="b">
        <v>1</v>
      </c>
    </row>
    <row r="588" ht="15.75" customHeight="1">
      <c r="A588" s="5">
        <v>2.0</v>
      </c>
      <c r="B588" s="5">
        <v>20262.0</v>
      </c>
      <c r="C588" s="5">
        <v>101.70000000000002</v>
      </c>
      <c r="D588" s="5">
        <v>104.19259898930368</v>
      </c>
      <c r="E588" s="5">
        <v>1.700000000000017</v>
      </c>
      <c r="F588" s="5">
        <v>4.192598989303676</v>
      </c>
      <c r="G588" s="5">
        <v>6.892201559167255</v>
      </c>
      <c r="H588" s="5">
        <v>2.699602569863579</v>
      </c>
      <c r="I588" s="9" t="b">
        <v>1</v>
      </c>
      <c r="J588" s="9" t="b">
        <v>0</v>
      </c>
    </row>
    <row r="589" ht="15.75" customHeight="1">
      <c r="A589" s="5">
        <v>5.0</v>
      </c>
      <c r="B589" s="5">
        <v>20262.0</v>
      </c>
      <c r="C589" s="5">
        <v>100.80090765147771</v>
      </c>
      <c r="D589" s="5">
        <v>96.9637607294054</v>
      </c>
      <c r="E589" s="5">
        <v>0.8009076514777149</v>
      </c>
      <c r="F589" s="5">
        <v>-3.0362392705946064</v>
      </c>
      <c r="G589" s="5">
        <v>-0.6447376809966987</v>
      </c>
      <c r="H589" s="5">
        <v>2.3915015895979077</v>
      </c>
      <c r="I589" s="9" t="b">
        <v>1</v>
      </c>
      <c r="J589" s="9" t="b">
        <v>0</v>
      </c>
    </row>
    <row r="590" ht="15.75" customHeight="1">
      <c r="A590" s="5">
        <v>6.0</v>
      </c>
      <c r="B590" s="5">
        <v>20262.0</v>
      </c>
      <c r="C590" s="5">
        <v>101.2978491001528</v>
      </c>
      <c r="D590" s="5">
        <v>104.68388111587304</v>
      </c>
      <c r="E590" s="5">
        <v>1.2978491001528027</v>
      </c>
      <c r="F590" s="5">
        <v>4.683881115873035</v>
      </c>
      <c r="G590" s="5">
        <v>2.2291938479605644</v>
      </c>
      <c r="H590" s="5">
        <v>-2.4546872679124707</v>
      </c>
      <c r="I590" s="9" t="b">
        <v>1</v>
      </c>
      <c r="J590" s="9" t="b">
        <v>0</v>
      </c>
    </row>
    <row r="591" ht="15.75" customHeight="1">
      <c r="A591" s="5">
        <v>7.0</v>
      </c>
      <c r="B591" s="5">
        <v>20262.0</v>
      </c>
      <c r="C591" s="5">
        <v>98.2074605337349</v>
      </c>
      <c r="D591" s="5">
        <v>98.548195751891</v>
      </c>
      <c r="E591" s="5">
        <v>-1.7925394662650973</v>
      </c>
      <c r="F591" s="5">
        <v>-1.4518042481089992</v>
      </c>
      <c r="G591" s="5">
        <v>-1.1093815996230938</v>
      </c>
      <c r="H591" s="5">
        <v>0.3424226484859054</v>
      </c>
      <c r="I591" s="9" t="b">
        <v>1</v>
      </c>
      <c r="J591" s="9" t="b">
        <v>0</v>
      </c>
    </row>
    <row r="592" ht="15.75" customHeight="1">
      <c r="A592" s="5">
        <v>8.0</v>
      </c>
      <c r="B592" s="5">
        <v>20262.0</v>
      </c>
      <c r="C592" s="5">
        <v>103.2746823069404</v>
      </c>
      <c r="D592" s="5">
        <v>102.96769163296136</v>
      </c>
      <c r="E592" s="5">
        <v>3.274682306940406</v>
      </c>
      <c r="F592" s="5">
        <v>2.967691632961362</v>
      </c>
      <c r="G592" s="5">
        <v>2.049675547096097</v>
      </c>
      <c r="H592" s="5">
        <v>-0.9180160858652648</v>
      </c>
      <c r="I592" s="9" t="b">
        <v>1</v>
      </c>
      <c r="J592" s="9" t="b">
        <v>0</v>
      </c>
    </row>
    <row r="593" ht="15.75" customHeight="1">
      <c r="A593" s="5">
        <v>9.0</v>
      </c>
      <c r="B593" s="5">
        <v>20262.0</v>
      </c>
      <c r="C593" s="5">
        <v>103.30658268996343</v>
      </c>
      <c r="D593" s="5">
        <v>104.55026781400036</v>
      </c>
      <c r="E593" s="5">
        <v>3.3065826899634345</v>
      </c>
      <c r="F593" s="5">
        <v>4.550267814000364</v>
      </c>
      <c r="G593" s="5">
        <v>5.276675255137153</v>
      </c>
      <c r="H593" s="5">
        <v>0.7264074411367893</v>
      </c>
      <c r="I593" s="9" t="b">
        <v>1</v>
      </c>
      <c r="J593" s="9" t="b">
        <v>0</v>
      </c>
    </row>
    <row r="594" ht="15.75" customHeight="1">
      <c r="A594" s="5">
        <v>10.0</v>
      </c>
      <c r="B594" s="5">
        <v>20262.0</v>
      </c>
      <c r="C594" s="5">
        <v>102.05688198681108</v>
      </c>
      <c r="D594" s="5">
        <v>104.67691948716478</v>
      </c>
      <c r="E594" s="5">
        <v>2.056881986811078</v>
      </c>
      <c r="F594" s="5">
        <v>4.676919487164781</v>
      </c>
      <c r="G594" s="5">
        <v>5.358730216408647</v>
      </c>
      <c r="H594" s="5">
        <v>0.6818107292438658</v>
      </c>
      <c r="I594" s="9" t="b">
        <v>1</v>
      </c>
      <c r="J594" s="9" t="b">
        <v>0</v>
      </c>
    </row>
    <row r="595" ht="15.75" customHeight="1">
      <c r="A595" s="5">
        <v>11.0</v>
      </c>
      <c r="B595" s="5">
        <v>20262.0</v>
      </c>
      <c r="C595" s="5">
        <v>103.17706901864476</v>
      </c>
      <c r="D595" s="5">
        <v>104.36654814244253</v>
      </c>
      <c r="E595" s="5">
        <v>3.177069018644758</v>
      </c>
      <c r="F595" s="5">
        <v>4.366548142442525</v>
      </c>
      <c r="G595" s="5">
        <v>0.09464820730631374</v>
      </c>
      <c r="H595" s="5">
        <v>-4.2718999351362115</v>
      </c>
      <c r="I595" s="9" t="b">
        <v>1</v>
      </c>
      <c r="J595" s="9" t="b">
        <v>0</v>
      </c>
    </row>
    <row r="596" ht="15.75" customHeight="1">
      <c r="A596" s="5">
        <v>12.0</v>
      </c>
      <c r="B596" s="5">
        <v>20262.0</v>
      </c>
      <c r="C596" s="5">
        <v>98.04634257155838</v>
      </c>
      <c r="D596" s="5">
        <v>101.6486104569006</v>
      </c>
      <c r="E596" s="5">
        <v>-1.9536574284416162</v>
      </c>
      <c r="F596" s="5">
        <v>1.6486104569005988</v>
      </c>
      <c r="G596" s="5">
        <v>2.3645890266279945</v>
      </c>
      <c r="H596" s="5">
        <v>0.7159785697273957</v>
      </c>
      <c r="I596" s="9" t="b">
        <v>1</v>
      </c>
      <c r="J596" s="9" t="b">
        <v>0</v>
      </c>
    </row>
    <row r="597" ht="15.75" customHeight="1">
      <c r="A597" s="5">
        <v>13.0</v>
      </c>
      <c r="B597" s="5">
        <v>20262.0</v>
      </c>
      <c r="C597" s="5">
        <v>100.36884054970132</v>
      </c>
      <c r="D597" s="5">
        <v>99.78696532576818</v>
      </c>
      <c r="E597" s="5">
        <v>0.36884054970131785</v>
      </c>
      <c r="F597" s="5">
        <v>-0.213034674231821</v>
      </c>
      <c r="G597" s="5">
        <v>1.719485539179999</v>
      </c>
      <c r="H597" s="5">
        <v>1.93252021341182</v>
      </c>
      <c r="I597" s="9" t="b">
        <v>1</v>
      </c>
      <c r="J597" s="9" t="b">
        <v>1</v>
      </c>
    </row>
    <row r="598" ht="15.75" customHeight="1">
      <c r="A598" s="5">
        <v>14.0</v>
      </c>
      <c r="B598" s="5">
        <v>20262.0</v>
      </c>
      <c r="C598" s="5">
        <v>98.66618481846167</v>
      </c>
      <c r="D598" s="5">
        <v>101.1971630391434</v>
      </c>
      <c r="E598" s="5">
        <v>-1.333815181538327</v>
      </c>
      <c r="F598" s="5">
        <v>1.1971630391434047</v>
      </c>
      <c r="G598" s="5">
        <v>1.305189821660191</v>
      </c>
      <c r="H598" s="5">
        <v>0.10802678251678621</v>
      </c>
      <c r="I598" s="9" t="b">
        <v>1</v>
      </c>
      <c r="J598" s="9" t="b">
        <v>0</v>
      </c>
    </row>
    <row r="599" ht="15.75" customHeight="1">
      <c r="A599" s="5">
        <v>15.0</v>
      </c>
      <c r="B599" s="5">
        <v>20262.0</v>
      </c>
      <c r="C599" s="5">
        <v>99.5146001667344</v>
      </c>
      <c r="D599" s="5">
        <v>99.00680181392951</v>
      </c>
      <c r="E599" s="5">
        <v>-0.4853998332656033</v>
      </c>
      <c r="F599" s="5">
        <v>-0.9931981860704866</v>
      </c>
      <c r="G599" s="5">
        <v>-0.278989801324947</v>
      </c>
      <c r="H599" s="5">
        <v>0.7142083847455396</v>
      </c>
      <c r="I599" s="9" t="b">
        <v>1</v>
      </c>
      <c r="J599" s="9" t="b">
        <v>0</v>
      </c>
    </row>
    <row r="600" ht="15.75" customHeight="1">
      <c r="A600" s="5">
        <v>16.0</v>
      </c>
      <c r="B600" s="5">
        <v>20262.0</v>
      </c>
      <c r="C600" s="5">
        <v>102.58253421153768</v>
      </c>
      <c r="D600" s="5">
        <v>103.71346951426852</v>
      </c>
      <c r="E600" s="5">
        <v>2.582534211537677</v>
      </c>
      <c r="F600" s="5">
        <v>3.7134695142685246</v>
      </c>
      <c r="G600" s="5">
        <v>6.910833252187487</v>
      </c>
      <c r="H600" s="5">
        <v>3.1973637379189626</v>
      </c>
      <c r="I600" s="9" t="b">
        <v>1</v>
      </c>
      <c r="J600" s="9" t="b">
        <v>0</v>
      </c>
    </row>
    <row r="601" ht="15.75" customHeight="1">
      <c r="A601" s="5">
        <v>17.0</v>
      </c>
      <c r="B601" s="5">
        <v>20262.0</v>
      </c>
      <c r="C601" s="5">
        <v>99.40229238558116</v>
      </c>
      <c r="D601" s="5">
        <v>100.80213983491164</v>
      </c>
      <c r="E601" s="5">
        <v>-0.5977076144188374</v>
      </c>
      <c r="F601" s="5">
        <v>0.8021398349116424</v>
      </c>
      <c r="G601" s="5">
        <v>-1.6521647086792601</v>
      </c>
      <c r="H601" s="5">
        <v>-2.4543045435909026</v>
      </c>
      <c r="I601" s="9" t="b">
        <v>1</v>
      </c>
      <c r="J601" s="9" t="b">
        <v>1</v>
      </c>
    </row>
    <row r="602" ht="15.75" customHeight="1">
      <c r="A602" s="5">
        <v>1.0</v>
      </c>
      <c r="B602" s="5">
        <v>20063.0</v>
      </c>
      <c r="I602" s="9" t="b">
        <v>0</v>
      </c>
      <c r="J602" s="9" t="b">
        <v>0</v>
      </c>
    </row>
    <row r="603" ht="15.75" customHeight="1">
      <c r="A603" s="5">
        <v>2.0</v>
      </c>
      <c r="B603" s="5">
        <v>20063.0</v>
      </c>
      <c r="I603" s="9" t="b">
        <v>0</v>
      </c>
      <c r="J603" s="9" t="b">
        <v>0</v>
      </c>
    </row>
    <row r="604" ht="15.75" customHeight="1">
      <c r="A604" s="5">
        <v>5.0</v>
      </c>
      <c r="B604" s="5">
        <v>20063.0</v>
      </c>
      <c r="I604" s="9" t="b">
        <v>0</v>
      </c>
      <c r="J604" s="9" t="b">
        <v>0</v>
      </c>
    </row>
    <row r="605" ht="15.75" customHeight="1">
      <c r="A605" s="5">
        <v>6.0</v>
      </c>
      <c r="B605" s="5">
        <v>20063.0</v>
      </c>
      <c r="I605" s="9" t="b">
        <v>0</v>
      </c>
      <c r="J605" s="9" t="b">
        <v>0</v>
      </c>
    </row>
    <row r="606" ht="15.75" customHeight="1">
      <c r="A606" s="5">
        <v>7.0</v>
      </c>
      <c r="B606" s="5">
        <v>20063.0</v>
      </c>
      <c r="I606" s="9" t="b">
        <v>0</v>
      </c>
      <c r="J606" s="9" t="b">
        <v>0</v>
      </c>
    </row>
    <row r="607" ht="15.75" customHeight="1">
      <c r="A607" s="5">
        <v>8.0</v>
      </c>
      <c r="B607" s="5">
        <v>20063.0</v>
      </c>
      <c r="I607" s="9" t="b">
        <v>0</v>
      </c>
      <c r="J607" s="9" t="b">
        <v>0</v>
      </c>
    </row>
    <row r="608" ht="15.75" customHeight="1">
      <c r="A608" s="5">
        <v>9.0</v>
      </c>
      <c r="B608" s="5">
        <v>20063.0</v>
      </c>
      <c r="I608" s="9" t="b">
        <v>0</v>
      </c>
      <c r="J608" s="9" t="b">
        <v>0</v>
      </c>
    </row>
    <row r="609" ht="15.75" customHeight="1">
      <c r="A609" s="5">
        <v>10.0</v>
      </c>
      <c r="B609" s="5">
        <v>20063.0</v>
      </c>
      <c r="I609" s="9" t="b">
        <v>0</v>
      </c>
      <c r="J609" s="9" t="b">
        <v>0</v>
      </c>
    </row>
    <row r="610" ht="15.75" customHeight="1">
      <c r="A610" s="5">
        <v>11.0</v>
      </c>
      <c r="B610" s="5">
        <v>20063.0</v>
      </c>
      <c r="I610" s="9" t="b">
        <v>0</v>
      </c>
      <c r="J610" s="9" t="b">
        <v>0</v>
      </c>
    </row>
    <row r="611" ht="15.75" customHeight="1">
      <c r="A611" s="5">
        <v>12.0</v>
      </c>
      <c r="B611" s="5">
        <v>20063.0</v>
      </c>
      <c r="I611" s="9" t="b">
        <v>0</v>
      </c>
      <c r="J611" s="9" t="b">
        <v>0</v>
      </c>
    </row>
    <row r="612" ht="15.75" customHeight="1">
      <c r="A612" s="5">
        <v>13.0</v>
      </c>
      <c r="B612" s="5">
        <v>20063.0</v>
      </c>
      <c r="I612" s="9" t="b">
        <v>0</v>
      </c>
      <c r="J612" s="9" t="b">
        <v>0</v>
      </c>
    </row>
    <row r="613" ht="15.75" customHeight="1">
      <c r="A613" s="5">
        <v>14.0</v>
      </c>
      <c r="B613" s="5">
        <v>20063.0</v>
      </c>
      <c r="I613" s="9" t="b">
        <v>0</v>
      </c>
      <c r="J613" s="9" t="b">
        <v>0</v>
      </c>
    </row>
    <row r="614" ht="15.75" customHeight="1">
      <c r="A614" s="5">
        <v>15.0</v>
      </c>
      <c r="B614" s="5">
        <v>20063.0</v>
      </c>
      <c r="I614" s="9" t="b">
        <v>0</v>
      </c>
      <c r="J614" s="9" t="b">
        <v>0</v>
      </c>
    </row>
    <row r="615" ht="15.75" customHeight="1">
      <c r="A615" s="5">
        <v>16.0</v>
      </c>
      <c r="B615" s="5">
        <v>20063.0</v>
      </c>
      <c r="I615" s="9" t="b">
        <v>0</v>
      </c>
      <c r="J615" s="9" t="b">
        <v>0</v>
      </c>
    </row>
    <row r="616" ht="15.75" customHeight="1">
      <c r="A616" s="5">
        <v>17.0</v>
      </c>
      <c r="B616" s="5">
        <v>20063.0</v>
      </c>
      <c r="I616" s="9" t="b">
        <v>0</v>
      </c>
      <c r="J616" s="9" t="b">
        <v>0</v>
      </c>
    </row>
    <row r="617" ht="15.75" customHeight="1">
      <c r="A617" s="5">
        <v>1.0</v>
      </c>
      <c r="B617" s="5">
        <v>20073.0</v>
      </c>
      <c r="C617" s="5">
        <v>105.60569179374116</v>
      </c>
      <c r="D617" s="5">
        <v>173.94807674189906</v>
      </c>
      <c r="E617" s="5">
        <v>5.605691793741158</v>
      </c>
      <c r="F617" s="5">
        <v>73.94807674189906</v>
      </c>
      <c r="G617" s="5">
        <v>75.94990418878169</v>
      </c>
      <c r="H617" s="5">
        <v>2.001827446882629</v>
      </c>
      <c r="I617" s="9" t="b">
        <v>1</v>
      </c>
      <c r="J617" s="9" t="b">
        <v>0</v>
      </c>
    </row>
    <row r="618" ht="15.75" customHeight="1">
      <c r="A618" s="5">
        <v>2.0</v>
      </c>
      <c r="B618" s="5">
        <v>20073.0</v>
      </c>
      <c r="C618" s="5">
        <v>114.46188340807171</v>
      </c>
      <c r="D618" s="5">
        <v>164.4122383252818</v>
      </c>
      <c r="E618" s="5">
        <v>14.461883408071714</v>
      </c>
      <c r="F618" s="5">
        <v>64.4122383252818</v>
      </c>
      <c r="G618" s="5">
        <v>63.85008586712135</v>
      </c>
      <c r="H618" s="5">
        <v>-0.5621524581604547</v>
      </c>
      <c r="I618" s="9" t="b">
        <v>1</v>
      </c>
      <c r="J618" s="9" t="b">
        <v>0</v>
      </c>
    </row>
    <row r="619" ht="15.75" customHeight="1">
      <c r="A619" s="5">
        <v>5.0</v>
      </c>
      <c r="B619" s="5">
        <v>20073.0</v>
      </c>
      <c r="C619" s="5">
        <v>111.00775649596866</v>
      </c>
      <c r="D619" s="5">
        <v>177.42917833555558</v>
      </c>
      <c r="E619" s="5">
        <v>11.007756495968664</v>
      </c>
      <c r="F619" s="5">
        <v>77.42917833555558</v>
      </c>
      <c r="G619" s="5">
        <v>90.43973360088144</v>
      </c>
      <c r="H619" s="5">
        <v>13.010555265325863</v>
      </c>
      <c r="I619" s="9" t="b">
        <v>1</v>
      </c>
      <c r="J619" s="9" t="b">
        <v>0</v>
      </c>
    </row>
    <row r="620" ht="15.75" customHeight="1">
      <c r="A620" s="5">
        <v>6.0</v>
      </c>
      <c r="B620" s="5">
        <v>20073.0</v>
      </c>
      <c r="C620" s="5">
        <v>112.92548869715672</v>
      </c>
      <c r="D620" s="5">
        <v>173.0124864534741</v>
      </c>
      <c r="E620" s="5">
        <v>12.925488697156723</v>
      </c>
      <c r="F620" s="5">
        <v>73.01248645347411</v>
      </c>
      <c r="G620" s="5">
        <v>56.644193775414074</v>
      </c>
      <c r="H620" s="5">
        <v>-16.368292678060037</v>
      </c>
      <c r="I620" s="9" t="b">
        <v>1</v>
      </c>
      <c r="J620" s="9" t="b">
        <v>0</v>
      </c>
    </row>
    <row r="621" ht="15.75" customHeight="1">
      <c r="A621" s="5">
        <v>7.0</v>
      </c>
      <c r="B621" s="5">
        <v>20073.0</v>
      </c>
      <c r="C621" s="5">
        <v>96.96735720433684</v>
      </c>
      <c r="D621" s="5">
        <v>127.24726653844074</v>
      </c>
      <c r="E621" s="5">
        <v>-3.0326427956631647</v>
      </c>
      <c r="F621" s="5">
        <v>27.24726653844074</v>
      </c>
      <c r="G621" s="5">
        <v>44.95278466253492</v>
      </c>
      <c r="H621" s="5">
        <v>17.705518124094176</v>
      </c>
      <c r="I621" s="9" t="b">
        <v>1</v>
      </c>
      <c r="J621" s="9" t="b">
        <v>0</v>
      </c>
    </row>
    <row r="622" ht="15.75" customHeight="1">
      <c r="A622" s="5">
        <v>8.0</v>
      </c>
      <c r="B622" s="5">
        <v>20073.0</v>
      </c>
      <c r="C622" s="5">
        <v>108.80364689265174</v>
      </c>
      <c r="D622" s="5">
        <v>148.08601950470512</v>
      </c>
      <c r="E622" s="5">
        <v>8.803646892651741</v>
      </c>
      <c r="F622" s="5">
        <v>48.08601950470512</v>
      </c>
      <c r="G622" s="5">
        <v>56.36936790042939</v>
      </c>
      <c r="H622" s="5">
        <v>8.283348395724268</v>
      </c>
      <c r="I622" s="9" t="b">
        <v>1</v>
      </c>
      <c r="J622" s="9" t="b">
        <v>0</v>
      </c>
    </row>
    <row r="623" ht="15.75" customHeight="1">
      <c r="A623" s="5">
        <v>9.0</v>
      </c>
      <c r="B623" s="5">
        <v>20073.0</v>
      </c>
      <c r="C623" s="5">
        <v>102.24358458988571</v>
      </c>
      <c r="D623" s="5">
        <v>136.81741902161238</v>
      </c>
      <c r="E623" s="5">
        <v>2.243584589885714</v>
      </c>
      <c r="F623" s="5">
        <v>36.81741902161238</v>
      </c>
      <c r="G623" s="5">
        <v>58.931788226725914</v>
      </c>
      <c r="H623" s="5">
        <v>22.114369205113533</v>
      </c>
      <c r="I623" s="9" t="b">
        <v>1</v>
      </c>
      <c r="J623" s="9" t="b">
        <v>0</v>
      </c>
    </row>
    <row r="624" ht="15.75" customHeight="1">
      <c r="A624" s="5">
        <v>10.0</v>
      </c>
      <c r="B624" s="5">
        <v>20073.0</v>
      </c>
      <c r="C624" s="5">
        <v>108.18839814124344</v>
      </c>
      <c r="E624" s="5">
        <v>8.18839814124344</v>
      </c>
      <c r="G624" s="5">
        <v>37.334507889577864</v>
      </c>
      <c r="I624" s="9" t="b">
        <v>0</v>
      </c>
      <c r="J624" s="9" t="b">
        <v>0</v>
      </c>
    </row>
    <row r="625" ht="15.75" customHeight="1">
      <c r="A625" s="5">
        <v>11.0</v>
      </c>
      <c r="B625" s="5">
        <v>20073.0</v>
      </c>
      <c r="C625" s="5">
        <v>103.28205128205128</v>
      </c>
      <c r="D625" s="5">
        <v>171.46262557466372</v>
      </c>
      <c r="E625" s="5">
        <v>3.2820512820512846</v>
      </c>
      <c r="F625" s="5">
        <v>71.46262557466372</v>
      </c>
      <c r="G625" s="5">
        <v>71.14229138728349</v>
      </c>
      <c r="H625" s="5">
        <v>-0.3203341873802259</v>
      </c>
      <c r="I625" s="9" t="b">
        <v>1</v>
      </c>
      <c r="J625" s="9" t="b">
        <v>0</v>
      </c>
    </row>
    <row r="626" ht="15.75" customHeight="1">
      <c r="A626" s="5">
        <v>12.0</v>
      </c>
      <c r="B626" s="5">
        <v>20073.0</v>
      </c>
      <c r="C626" s="5">
        <v>107.88381742738588</v>
      </c>
      <c r="D626" s="5">
        <v>152.94117647058823</v>
      </c>
      <c r="E626" s="5">
        <v>7.883817427385878</v>
      </c>
      <c r="F626" s="5">
        <v>52.94117647058823</v>
      </c>
      <c r="G626" s="5">
        <v>60.37592424136336</v>
      </c>
      <c r="H626" s="5">
        <v>7.434747770775125</v>
      </c>
      <c r="I626" s="9" t="b">
        <v>1</v>
      </c>
      <c r="J626" s="9" t="b">
        <v>0</v>
      </c>
    </row>
    <row r="627" ht="15.75" customHeight="1">
      <c r="A627" s="5">
        <v>13.0</v>
      </c>
      <c r="B627" s="5">
        <v>20073.0</v>
      </c>
      <c r="C627" s="5">
        <v>111.17118967284812</v>
      </c>
      <c r="D627" s="5">
        <v>153.36217025548942</v>
      </c>
      <c r="E627" s="5">
        <v>11.171189672848115</v>
      </c>
      <c r="F627" s="5">
        <v>53.36217025548942</v>
      </c>
      <c r="G627" s="5">
        <v>66.70453593157116</v>
      </c>
      <c r="H627" s="5">
        <v>13.34236567608174</v>
      </c>
      <c r="I627" s="9" t="b">
        <v>1</v>
      </c>
      <c r="J627" s="9" t="b">
        <v>0</v>
      </c>
    </row>
    <row r="628" ht="15.75" customHeight="1">
      <c r="A628" s="5">
        <v>14.0</v>
      </c>
      <c r="B628" s="5">
        <v>20073.0</v>
      </c>
      <c r="C628" s="5">
        <v>106.1408687374264</v>
      </c>
      <c r="D628" s="5">
        <v>155.49180558022152</v>
      </c>
      <c r="E628" s="5">
        <v>6.140868737426402</v>
      </c>
      <c r="F628" s="5">
        <v>55.49180558022152</v>
      </c>
      <c r="G628" s="5">
        <v>48.37434890860226</v>
      </c>
      <c r="H628" s="5">
        <v>-7.117456671619266</v>
      </c>
      <c r="I628" s="9" t="b">
        <v>1</v>
      </c>
      <c r="J628" s="9" t="b">
        <v>0</v>
      </c>
    </row>
    <row r="629" ht="15.75" customHeight="1">
      <c r="A629" s="5">
        <v>15.0</v>
      </c>
      <c r="B629" s="5">
        <v>20073.0</v>
      </c>
      <c r="C629" s="5">
        <v>112.26720076376606</v>
      </c>
      <c r="D629" s="5">
        <v>135.68427468184794</v>
      </c>
      <c r="E629" s="5">
        <v>12.267200763766056</v>
      </c>
      <c r="F629" s="5">
        <v>35.68427468184794</v>
      </c>
      <c r="G629" s="5">
        <v>51.9937132332539</v>
      </c>
      <c r="H629" s="5">
        <v>16.30943855140596</v>
      </c>
      <c r="I629" s="9" t="b">
        <v>1</v>
      </c>
      <c r="J629" s="9" t="b">
        <v>0</v>
      </c>
    </row>
    <row r="630" ht="15.75" customHeight="1">
      <c r="A630" s="5">
        <v>16.0</v>
      </c>
      <c r="B630" s="5">
        <v>20073.0</v>
      </c>
      <c r="C630" s="5">
        <v>111.97046252382164</v>
      </c>
      <c r="D630" s="5">
        <v>144.31033602048572</v>
      </c>
      <c r="E630" s="5">
        <v>11.970462523821638</v>
      </c>
      <c r="F630" s="5">
        <v>44.31033602048572</v>
      </c>
      <c r="G630" s="5">
        <v>69.159051043614</v>
      </c>
      <c r="H630" s="5">
        <v>24.84871502312828</v>
      </c>
      <c r="I630" s="9" t="b">
        <v>1</v>
      </c>
      <c r="J630" s="9" t="b">
        <v>0</v>
      </c>
    </row>
    <row r="631" ht="15.75" customHeight="1">
      <c r="A631" s="5">
        <v>17.0</v>
      </c>
      <c r="B631" s="5">
        <v>20073.0</v>
      </c>
      <c r="C631" s="5">
        <v>109.41302622538193</v>
      </c>
      <c r="D631" s="5">
        <v>209.97496717317551</v>
      </c>
      <c r="E631" s="5">
        <v>9.413026225381927</v>
      </c>
      <c r="F631" s="5">
        <v>109.97496717317551</v>
      </c>
      <c r="G631" s="5">
        <v>111.0925106582076</v>
      </c>
      <c r="H631" s="5">
        <v>1.117543485032087</v>
      </c>
      <c r="I631" s="9" t="b">
        <v>1</v>
      </c>
      <c r="J631" s="9" t="b">
        <v>0</v>
      </c>
    </row>
    <row r="632" ht="15.75" customHeight="1">
      <c r="A632" s="5">
        <v>1.0</v>
      </c>
      <c r="B632" s="5">
        <v>20083.0</v>
      </c>
      <c r="C632" s="5">
        <v>102.84565784856224</v>
      </c>
      <c r="D632" s="5">
        <v>98.64548607310525</v>
      </c>
      <c r="E632" s="5">
        <v>2.84565784856224</v>
      </c>
      <c r="F632" s="5">
        <v>-1.3545139268947537</v>
      </c>
      <c r="G632" s="5">
        <v>2.4761470050328693</v>
      </c>
      <c r="H632" s="5">
        <v>3.830660931927623</v>
      </c>
      <c r="I632" s="9" t="b">
        <v>1</v>
      </c>
      <c r="J632" s="9" t="b">
        <v>1</v>
      </c>
    </row>
    <row r="633" ht="15.75" customHeight="1">
      <c r="A633" s="5">
        <v>2.0</v>
      </c>
      <c r="B633" s="5">
        <v>20083.0</v>
      </c>
      <c r="C633" s="5">
        <v>97.98657718120806</v>
      </c>
      <c r="D633" s="5">
        <v>100.0979431929481</v>
      </c>
      <c r="E633" s="5">
        <v>-2.0134228187919376</v>
      </c>
      <c r="F633" s="5">
        <v>0.09794319294809384</v>
      </c>
      <c r="G633" s="5">
        <v>-0.8921531358453971</v>
      </c>
      <c r="H633" s="5">
        <v>-0.990096328793491</v>
      </c>
      <c r="I633" s="9" t="b">
        <v>1</v>
      </c>
      <c r="J633" s="9" t="b">
        <v>1</v>
      </c>
    </row>
    <row r="634" ht="15.75" customHeight="1">
      <c r="A634" s="5">
        <v>5.0</v>
      </c>
      <c r="B634" s="5">
        <v>20083.0</v>
      </c>
      <c r="C634" s="5">
        <v>88.63835326809489</v>
      </c>
      <c r="D634" s="5">
        <v>99.7568985700576</v>
      </c>
      <c r="E634" s="5">
        <v>-11.361646731905111</v>
      </c>
      <c r="F634" s="5">
        <v>-0.24310142994239925</v>
      </c>
      <c r="G634" s="5">
        <v>2.40292318287203</v>
      </c>
      <c r="H634" s="5">
        <v>2.646024612814429</v>
      </c>
      <c r="I634" s="9" t="b">
        <v>1</v>
      </c>
      <c r="J634" s="9" t="b">
        <v>1</v>
      </c>
    </row>
    <row r="635" ht="15.75" customHeight="1">
      <c r="A635" s="5">
        <v>6.0</v>
      </c>
      <c r="B635" s="5">
        <v>20083.0</v>
      </c>
      <c r="C635" s="5">
        <v>95.7253471918187</v>
      </c>
      <c r="D635" s="5">
        <v>100.97570458403082</v>
      </c>
      <c r="E635" s="5">
        <v>-4.274652808181301</v>
      </c>
      <c r="F635" s="5">
        <v>0.9757045840308223</v>
      </c>
      <c r="G635" s="5">
        <v>11.912448320916535</v>
      </c>
      <c r="H635" s="5">
        <v>10.936743736885713</v>
      </c>
      <c r="I635" s="9" t="b">
        <v>1</v>
      </c>
      <c r="J635" s="9" t="b">
        <v>0</v>
      </c>
    </row>
    <row r="636" ht="15.75" customHeight="1">
      <c r="A636" s="5">
        <v>7.0</v>
      </c>
      <c r="B636" s="5">
        <v>20083.0</v>
      </c>
      <c r="C636" s="5">
        <v>91.03334974991289</v>
      </c>
      <c r="D636" s="5">
        <v>88.1438282723837</v>
      </c>
      <c r="E636" s="5">
        <v>-8.966650250087113</v>
      </c>
      <c r="F636" s="5">
        <v>-11.8561717276163</v>
      </c>
      <c r="G636" s="5">
        <v>-8.022322877352694</v>
      </c>
      <c r="H636" s="5">
        <v>3.833848850263605</v>
      </c>
      <c r="I636" s="9" t="b">
        <v>1</v>
      </c>
      <c r="J636" s="9" t="b">
        <v>0</v>
      </c>
    </row>
    <row r="637" ht="15.75" customHeight="1">
      <c r="A637" s="5">
        <v>8.0</v>
      </c>
      <c r="B637" s="5">
        <v>20083.0</v>
      </c>
      <c r="C637" s="5">
        <v>100.2898996953123</v>
      </c>
      <c r="D637" s="5">
        <v>113.522542639864</v>
      </c>
      <c r="E637" s="5">
        <v>0.2898996953123003</v>
      </c>
      <c r="F637" s="5">
        <v>13.522542639864</v>
      </c>
      <c r="G637" s="5">
        <v>11.41010668372122</v>
      </c>
      <c r="H637" s="5">
        <v>-2.112435956142779</v>
      </c>
      <c r="I637" s="9" t="b">
        <v>1</v>
      </c>
      <c r="J637" s="9" t="b">
        <v>0</v>
      </c>
    </row>
    <row r="638" ht="15.75" customHeight="1">
      <c r="A638" s="5">
        <v>9.0</v>
      </c>
      <c r="B638" s="5">
        <v>20083.0</v>
      </c>
      <c r="C638" s="5">
        <v>95.335849284535</v>
      </c>
      <c r="D638" s="5">
        <v>99.5446285262358</v>
      </c>
      <c r="E638" s="5">
        <v>-4.664150715464999</v>
      </c>
      <c r="F638" s="5">
        <v>-0.4553714737642025</v>
      </c>
      <c r="G638" s="5">
        <v>-4.787848803494022</v>
      </c>
      <c r="H638" s="5">
        <v>-4.332477329729819</v>
      </c>
      <c r="I638" s="9" t="b">
        <v>1</v>
      </c>
      <c r="J638" s="9" t="b">
        <v>0</v>
      </c>
    </row>
    <row r="639" ht="15.75" customHeight="1">
      <c r="A639" s="5">
        <v>10.0</v>
      </c>
      <c r="B639" s="5">
        <v>20083.0</v>
      </c>
      <c r="C639" s="5">
        <v>99.49645888194406</v>
      </c>
      <c r="D639" s="5">
        <v>93.10688732725278</v>
      </c>
      <c r="E639" s="5">
        <v>-0.503541118055935</v>
      </c>
      <c r="F639" s="5">
        <v>-6.893112672747222</v>
      </c>
      <c r="G639" s="5">
        <v>-0.9290864917159469</v>
      </c>
      <c r="H639" s="5">
        <v>5.964026181031275</v>
      </c>
      <c r="I639" s="9" t="b">
        <v>1</v>
      </c>
      <c r="J639" s="9" t="b">
        <v>0</v>
      </c>
    </row>
    <row r="640" ht="15.75" customHeight="1">
      <c r="A640" s="5">
        <v>11.0</v>
      </c>
      <c r="B640" s="5">
        <v>20083.0</v>
      </c>
      <c r="C640" s="5">
        <v>99.50298210735586</v>
      </c>
      <c r="D640" s="5">
        <v>99.4041708043694</v>
      </c>
      <c r="E640" s="5">
        <v>-0.49701789264413776</v>
      </c>
      <c r="F640" s="5">
        <v>-0.5958291956305999</v>
      </c>
      <c r="G640" s="5">
        <v>-5.53892553951486</v>
      </c>
      <c r="H640" s="5">
        <v>-4.94309634388426</v>
      </c>
      <c r="I640" s="9" t="b">
        <v>1</v>
      </c>
      <c r="J640" s="9" t="b">
        <v>0</v>
      </c>
    </row>
    <row r="641" ht="15.75" customHeight="1">
      <c r="A641" s="5">
        <v>12.0</v>
      </c>
      <c r="B641" s="5">
        <v>20083.0</v>
      </c>
      <c r="C641" s="5">
        <v>100.92764378478664</v>
      </c>
      <c r="D641" s="5">
        <v>104.61538461538464</v>
      </c>
      <c r="E641" s="5">
        <v>0.927643784786639</v>
      </c>
      <c r="F641" s="5">
        <v>4.615384615384642</v>
      </c>
      <c r="G641" s="5">
        <v>3.1846992210978975</v>
      </c>
      <c r="H641" s="5">
        <v>-1.4306853942867441</v>
      </c>
      <c r="I641" s="9" t="b">
        <v>1</v>
      </c>
      <c r="J641" s="9" t="b">
        <v>0</v>
      </c>
    </row>
    <row r="642" ht="15.75" customHeight="1">
      <c r="A642" s="5">
        <v>13.0</v>
      </c>
      <c r="B642" s="5">
        <v>20083.0</v>
      </c>
      <c r="C642" s="5">
        <v>103.45120184927464</v>
      </c>
      <c r="D642" s="5">
        <v>102.98029278496142</v>
      </c>
      <c r="E642" s="5">
        <v>3.4512018492746392</v>
      </c>
      <c r="F642" s="5">
        <v>2.9802927849614207</v>
      </c>
      <c r="G642" s="5">
        <v>7.975065836917894</v>
      </c>
      <c r="H642" s="5">
        <v>4.994773051956473</v>
      </c>
      <c r="I642" s="9" t="b">
        <v>1</v>
      </c>
      <c r="J642" s="9" t="b">
        <v>0</v>
      </c>
    </row>
    <row r="643" ht="15.75" customHeight="1">
      <c r="A643" s="5">
        <v>14.0</v>
      </c>
      <c r="B643" s="5">
        <v>20083.0</v>
      </c>
      <c r="C643" s="5">
        <v>102.1061936531258</v>
      </c>
      <c r="D643" s="5">
        <v>97.48289665478828</v>
      </c>
      <c r="E643" s="5">
        <v>2.1061936531258</v>
      </c>
      <c r="F643" s="5">
        <v>-2.517103345211723</v>
      </c>
      <c r="G643" s="5">
        <v>-1.500180334009149</v>
      </c>
      <c r="H643" s="5">
        <v>1.0169230112025738</v>
      </c>
      <c r="I643" s="9" t="b">
        <v>1</v>
      </c>
      <c r="J643" s="9" t="b">
        <v>0</v>
      </c>
    </row>
    <row r="644" ht="15.75" customHeight="1">
      <c r="A644" s="5">
        <v>15.0</v>
      </c>
      <c r="B644" s="5">
        <v>20083.0</v>
      </c>
      <c r="C644" s="5">
        <v>99.24376724566687</v>
      </c>
      <c r="D644" s="5">
        <v>85.26123963863417</v>
      </c>
      <c r="E644" s="5">
        <v>-0.7562327543331264</v>
      </c>
      <c r="F644" s="5">
        <v>-14.738760361365834</v>
      </c>
      <c r="G644" s="5">
        <v>-8.23439403121734</v>
      </c>
      <c r="H644" s="5">
        <v>6.504366330148494</v>
      </c>
      <c r="I644" s="9" t="b">
        <v>1</v>
      </c>
      <c r="J644" s="9" t="b">
        <v>0</v>
      </c>
    </row>
    <row r="645" ht="15.75" customHeight="1">
      <c r="A645" s="5">
        <v>16.0</v>
      </c>
      <c r="B645" s="5">
        <v>20083.0</v>
      </c>
      <c r="C645" s="5">
        <v>95.06770912188335</v>
      </c>
      <c r="D645" s="5">
        <v>94.98693531165088</v>
      </c>
      <c r="E645" s="5">
        <v>-4.932290878116646</v>
      </c>
      <c r="F645" s="5">
        <v>-5.013064688349118</v>
      </c>
      <c r="G645" s="5">
        <v>-10.175186347889332</v>
      </c>
      <c r="H645" s="5">
        <v>-5.1621216595402135</v>
      </c>
      <c r="I645" s="9" t="b">
        <v>1</v>
      </c>
      <c r="J645" s="9" t="b">
        <v>0</v>
      </c>
    </row>
    <row r="646" ht="15.75" customHeight="1">
      <c r="A646" s="5">
        <v>17.0</v>
      </c>
      <c r="B646" s="5">
        <v>20083.0</v>
      </c>
      <c r="C646" s="5">
        <v>97.95361023735816</v>
      </c>
      <c r="D646" s="5">
        <v>95.4143570858248</v>
      </c>
      <c r="E646" s="5">
        <v>-2.0463897626418373</v>
      </c>
      <c r="F646" s="5">
        <v>-4.585642914175196</v>
      </c>
      <c r="G646" s="5">
        <v>-1.3736694765897117</v>
      </c>
      <c r="H646" s="5">
        <v>3.2119734375854843</v>
      </c>
      <c r="I646" s="9" t="b">
        <v>1</v>
      </c>
      <c r="J646" s="9" t="b">
        <v>0</v>
      </c>
    </row>
    <row r="647" ht="15.75" customHeight="1">
      <c r="A647" s="5">
        <v>1.0</v>
      </c>
      <c r="B647" s="5">
        <v>20093.0</v>
      </c>
      <c r="C647" s="5">
        <v>101.69310543140908</v>
      </c>
      <c r="D647" s="5">
        <v>95.91884539090852</v>
      </c>
      <c r="E647" s="5">
        <v>1.69310543140908</v>
      </c>
      <c r="F647" s="5">
        <v>-4.0811546090914845</v>
      </c>
      <c r="G647" s="5">
        <v>-7.651304045081597</v>
      </c>
      <c r="H647" s="5">
        <v>-3.5701494359901123</v>
      </c>
      <c r="I647" s="9" t="b">
        <v>1</v>
      </c>
      <c r="J647" s="9" t="b">
        <v>0</v>
      </c>
    </row>
    <row r="648" ht="15.75" customHeight="1">
      <c r="A648" s="5">
        <v>2.0</v>
      </c>
      <c r="B648" s="5">
        <v>20093.0</v>
      </c>
      <c r="C648" s="5">
        <v>99.18200408997956</v>
      </c>
      <c r="D648" s="5">
        <v>94.9119373776908</v>
      </c>
      <c r="E648" s="5">
        <v>-0.8179959100204428</v>
      </c>
      <c r="F648" s="5">
        <v>-5.088062622309195</v>
      </c>
      <c r="G648" s="5">
        <v>-2.7414922537461472</v>
      </c>
      <c r="H648" s="5">
        <v>2.346570368563048</v>
      </c>
      <c r="I648" s="9" t="b">
        <v>1</v>
      </c>
      <c r="J648" s="9" t="b">
        <v>0</v>
      </c>
    </row>
    <row r="649" ht="15.75" customHeight="1">
      <c r="A649" s="5">
        <v>5.0</v>
      </c>
      <c r="B649" s="5">
        <v>20093.0</v>
      </c>
      <c r="C649" s="5">
        <v>105.3095772068582</v>
      </c>
      <c r="D649" s="5">
        <v>94.81355926540874</v>
      </c>
      <c r="E649" s="5">
        <v>5.309577206858194</v>
      </c>
      <c r="F649" s="5">
        <v>-5.186440734591258</v>
      </c>
      <c r="G649" s="5">
        <v>-6.985689616237023</v>
      </c>
      <c r="H649" s="5">
        <v>-1.7992488816457648</v>
      </c>
      <c r="I649" s="9" t="b">
        <v>1</v>
      </c>
      <c r="J649" s="9" t="b">
        <v>0</v>
      </c>
    </row>
    <row r="650" ht="15.75" customHeight="1">
      <c r="A650" s="5">
        <v>6.0</v>
      </c>
      <c r="B650" s="5">
        <v>20093.0</v>
      </c>
      <c r="C650" s="5">
        <v>99.20909236391992</v>
      </c>
      <c r="D650" s="5">
        <v>94.93263723460404</v>
      </c>
      <c r="E650" s="5">
        <v>-0.7909076360800782</v>
      </c>
      <c r="F650" s="5">
        <v>-5.067362765395956</v>
      </c>
      <c r="G650" s="5">
        <v>-4.954409135436522</v>
      </c>
      <c r="H650" s="5">
        <v>0.11295362995943403</v>
      </c>
      <c r="I650" s="9" t="b">
        <v>1</v>
      </c>
      <c r="J650" s="9" t="b">
        <v>0</v>
      </c>
    </row>
    <row r="651" ht="15.75" customHeight="1">
      <c r="A651" s="5">
        <v>7.0</v>
      </c>
      <c r="B651" s="5">
        <v>20093.0</v>
      </c>
      <c r="C651" s="5">
        <v>104.54503088002777</v>
      </c>
      <c r="D651" s="5">
        <v>98.92376698927836</v>
      </c>
      <c r="E651" s="5">
        <v>4.545030880027767</v>
      </c>
      <c r="F651" s="5">
        <v>-1.0762330107216371</v>
      </c>
      <c r="G651" s="5">
        <v>-7.647801274612043</v>
      </c>
      <c r="H651" s="5">
        <v>-6.571568263890406</v>
      </c>
      <c r="I651" s="9" t="b">
        <v>1</v>
      </c>
      <c r="J651" s="9" t="b">
        <v>0</v>
      </c>
    </row>
    <row r="652" ht="15.75" customHeight="1">
      <c r="A652" s="5">
        <v>8.0</v>
      </c>
      <c r="B652" s="5">
        <v>20093.0</v>
      </c>
      <c r="C652" s="5">
        <v>97.65941372641818</v>
      </c>
      <c r="D652" s="5">
        <v>94.65387694282413</v>
      </c>
      <c r="E652" s="5">
        <v>-2.3405862735818204</v>
      </c>
      <c r="F652" s="5">
        <v>-5.346123057175873</v>
      </c>
      <c r="G652" s="5">
        <v>-5.500242306004399</v>
      </c>
      <c r="H652" s="5">
        <v>-0.15411924882852546</v>
      </c>
      <c r="I652" s="9" t="b">
        <v>1</v>
      </c>
      <c r="J652" s="9" t="b">
        <v>0</v>
      </c>
    </row>
    <row r="653" ht="15.75" customHeight="1">
      <c r="A653" s="5">
        <v>9.0</v>
      </c>
      <c r="B653" s="5">
        <v>20093.0</v>
      </c>
      <c r="C653" s="5">
        <v>97.80663003765416</v>
      </c>
      <c r="D653" s="5">
        <v>98.21066872000158</v>
      </c>
      <c r="E653" s="5">
        <v>-2.193369962345841</v>
      </c>
      <c r="F653" s="5">
        <v>-1.7893312799984216</v>
      </c>
      <c r="G653" s="5">
        <v>-5.5409914965298235</v>
      </c>
      <c r="H653" s="5">
        <v>-3.751660216531402</v>
      </c>
      <c r="I653" s="9" t="b">
        <v>1</v>
      </c>
      <c r="J653" s="9" t="b">
        <v>0</v>
      </c>
    </row>
    <row r="654" ht="15.75" customHeight="1">
      <c r="A654" s="5">
        <v>10.0</v>
      </c>
      <c r="B654" s="5">
        <v>20093.0</v>
      </c>
      <c r="C654" s="5">
        <v>81.86759271102576</v>
      </c>
      <c r="D654" s="5">
        <v>92.22792456397946</v>
      </c>
      <c r="E654" s="5">
        <v>-18.132407288974235</v>
      </c>
      <c r="F654" s="5">
        <v>-7.772075436020543</v>
      </c>
      <c r="G654" s="5">
        <v>-4.7384564944605305</v>
      </c>
      <c r="H654" s="5">
        <v>3.0336189415600128</v>
      </c>
      <c r="I654" s="9" t="b">
        <v>1</v>
      </c>
      <c r="J654" s="9" t="b">
        <v>0</v>
      </c>
    </row>
    <row r="655" ht="15.75" customHeight="1">
      <c r="A655" s="5">
        <v>11.0</v>
      </c>
      <c r="B655" s="5">
        <v>20093.0</v>
      </c>
      <c r="C655" s="5">
        <v>106.56506447831184</v>
      </c>
      <c r="D655" s="5">
        <v>90.80919080919082</v>
      </c>
      <c r="E655" s="5">
        <v>6.5650644783118395</v>
      </c>
      <c r="F655" s="5">
        <v>-9.190809190809176</v>
      </c>
      <c r="G655" s="5">
        <v>-7.811189824980913</v>
      </c>
      <c r="H655" s="5">
        <v>1.3796193658282636</v>
      </c>
      <c r="I655" s="9" t="b">
        <v>1</v>
      </c>
      <c r="J655" s="9" t="b">
        <v>0</v>
      </c>
    </row>
    <row r="656" ht="15.75" customHeight="1">
      <c r="A656" s="5">
        <v>12.0</v>
      </c>
      <c r="B656" s="5">
        <v>20093.0</v>
      </c>
      <c r="C656" s="5">
        <v>103.88548057259716</v>
      </c>
      <c r="D656" s="5">
        <v>93.38235294117648</v>
      </c>
      <c r="E656" s="5">
        <v>3.88548057259716</v>
      </c>
      <c r="F656" s="5">
        <v>-6.617647058823522</v>
      </c>
      <c r="G656" s="5">
        <v>-5.590227153313398</v>
      </c>
      <c r="H656" s="5">
        <v>1.0274199055101239</v>
      </c>
      <c r="I656" s="9" t="b">
        <v>1</v>
      </c>
      <c r="J656" s="9" t="b">
        <v>0</v>
      </c>
    </row>
    <row r="657" ht="15.75" customHeight="1">
      <c r="A657" s="5">
        <v>13.0</v>
      </c>
      <c r="B657" s="5">
        <v>20093.0</v>
      </c>
      <c r="C657" s="5">
        <v>99.77610061069235</v>
      </c>
      <c r="D657" s="5">
        <v>91.47872532466194</v>
      </c>
      <c r="E657" s="5">
        <v>-0.22389938930764686</v>
      </c>
      <c r="F657" s="5">
        <v>-8.521274675338063</v>
      </c>
      <c r="G657" s="5">
        <v>-7.180196436657038</v>
      </c>
      <c r="H657" s="5">
        <v>1.3410782386810247</v>
      </c>
      <c r="I657" s="9" t="b">
        <v>1</v>
      </c>
      <c r="J657" s="9" t="b">
        <v>0</v>
      </c>
    </row>
    <row r="658" ht="15.75" customHeight="1">
      <c r="A658" s="5">
        <v>14.0</v>
      </c>
      <c r="B658" s="5">
        <v>20093.0</v>
      </c>
      <c r="C658" s="5">
        <v>99.14841600221315</v>
      </c>
      <c r="D658" s="5">
        <v>92.48382694699804</v>
      </c>
      <c r="E658" s="5">
        <v>-0.8515839977868467</v>
      </c>
      <c r="F658" s="5">
        <v>-7.516173053001964</v>
      </c>
      <c r="G658" s="5">
        <v>-5.574494796239426</v>
      </c>
      <c r="H658" s="5">
        <v>1.941678256762538</v>
      </c>
      <c r="I658" s="9" t="b">
        <v>1</v>
      </c>
      <c r="J658" s="9" t="b">
        <v>0</v>
      </c>
    </row>
    <row r="659" ht="15.75" customHeight="1">
      <c r="A659" s="5">
        <v>15.0</v>
      </c>
      <c r="B659" s="5">
        <v>20093.0</v>
      </c>
      <c r="C659" s="5">
        <v>104.17043131936788</v>
      </c>
      <c r="D659" s="5">
        <v>96.21666278819406</v>
      </c>
      <c r="E659" s="5">
        <v>4.170431319367879</v>
      </c>
      <c r="F659" s="5">
        <v>-3.783337211805943</v>
      </c>
      <c r="G659" s="5">
        <v>-4.462031731832939</v>
      </c>
      <c r="H659" s="5">
        <v>-0.6786945200269958</v>
      </c>
      <c r="I659" s="9" t="b">
        <v>1</v>
      </c>
      <c r="J659" s="9" t="b">
        <v>0</v>
      </c>
    </row>
    <row r="660" ht="15.75" customHeight="1">
      <c r="A660" s="5">
        <v>16.0</v>
      </c>
      <c r="B660" s="5">
        <v>20093.0</v>
      </c>
      <c r="C660" s="5">
        <v>96.3925409558907</v>
      </c>
      <c r="D660" s="5">
        <v>94.37557578401292</v>
      </c>
      <c r="E660" s="5">
        <v>-3.607459044109305</v>
      </c>
      <c r="F660" s="5">
        <v>-5.6244242159870765</v>
      </c>
      <c r="G660" s="5">
        <v>-4.40222824725256</v>
      </c>
      <c r="H660" s="5">
        <v>1.2221959687345167</v>
      </c>
      <c r="I660" s="9" t="b">
        <v>1</v>
      </c>
      <c r="J660" s="9" t="b">
        <v>0</v>
      </c>
    </row>
    <row r="661" ht="15.75" customHeight="1">
      <c r="A661" s="5">
        <v>17.0</v>
      </c>
      <c r="B661" s="5">
        <v>20093.0</v>
      </c>
      <c r="C661" s="5">
        <v>98.44021308190176</v>
      </c>
      <c r="D661" s="5">
        <v>98.5099281684948</v>
      </c>
      <c r="E661" s="5">
        <v>-1.55978691809824</v>
      </c>
      <c r="F661" s="5">
        <v>-1.4900718315052046</v>
      </c>
      <c r="G661" s="5">
        <v>-4.779303139128066</v>
      </c>
      <c r="H661" s="5">
        <v>-3.2892313076228614</v>
      </c>
      <c r="I661" s="9" t="b">
        <v>1</v>
      </c>
      <c r="J661" s="9" t="b">
        <v>0</v>
      </c>
    </row>
    <row r="662" ht="15.75" customHeight="1">
      <c r="A662" s="5">
        <v>1.0</v>
      </c>
      <c r="B662" s="5">
        <v>20103.0</v>
      </c>
      <c r="C662" s="5">
        <v>100.7121057985758</v>
      </c>
      <c r="D662" s="5">
        <v>100.7276152812666</v>
      </c>
      <c r="E662" s="5">
        <v>0.7121057985758057</v>
      </c>
      <c r="F662" s="5">
        <v>0.7276152812665941</v>
      </c>
      <c r="G662" s="5">
        <v>1.7997716516375162</v>
      </c>
      <c r="H662" s="5">
        <v>1.072156370370922</v>
      </c>
      <c r="I662" s="9" t="b">
        <v>1</v>
      </c>
      <c r="J662" s="9" t="b">
        <v>0</v>
      </c>
    </row>
    <row r="663" ht="15.75" customHeight="1">
      <c r="A663" s="5">
        <v>2.0</v>
      </c>
      <c r="B663" s="5">
        <v>20103.0</v>
      </c>
      <c r="C663" s="5">
        <v>104.12060301507536</v>
      </c>
      <c r="D663" s="5">
        <v>106.8041237113402</v>
      </c>
      <c r="E663" s="5">
        <v>4.1206030150753605</v>
      </c>
      <c r="F663" s="5">
        <v>6.804123711340196</v>
      </c>
      <c r="G663" s="5">
        <v>1.7502060246347595</v>
      </c>
      <c r="H663" s="5">
        <v>-5.053917686705437</v>
      </c>
      <c r="I663" s="9" t="b">
        <v>1</v>
      </c>
      <c r="J663" s="9" t="b">
        <v>0</v>
      </c>
    </row>
    <row r="664" ht="15.75" customHeight="1">
      <c r="A664" s="5">
        <v>5.0</v>
      </c>
      <c r="B664" s="5">
        <v>20103.0</v>
      </c>
      <c r="C664" s="5">
        <v>104.03167338981586</v>
      </c>
      <c r="D664" s="5">
        <v>97.8049863046218</v>
      </c>
      <c r="E664" s="5">
        <v>4.0316733898158645</v>
      </c>
      <c r="F664" s="5">
        <v>-2.1950136953781936</v>
      </c>
      <c r="G664" s="5">
        <v>5.438059391153138</v>
      </c>
      <c r="H664" s="5">
        <v>7.633073086531332</v>
      </c>
      <c r="I664" s="9" t="b">
        <v>1</v>
      </c>
      <c r="J664" s="9" t="b">
        <v>1</v>
      </c>
    </row>
    <row r="665" ht="15.75" customHeight="1">
      <c r="A665" s="5">
        <v>6.0</v>
      </c>
      <c r="B665" s="5">
        <v>20103.0</v>
      </c>
      <c r="C665" s="5">
        <v>97.14611402024512</v>
      </c>
      <c r="D665" s="5">
        <v>103.53279558051412</v>
      </c>
      <c r="E665" s="5">
        <v>-2.853885979754878</v>
      </c>
      <c r="F665" s="5">
        <v>3.5327955805141187</v>
      </c>
      <c r="G665" s="5">
        <v>4.575294399596297</v>
      </c>
      <c r="H665" s="5">
        <v>1.0424988190821782</v>
      </c>
      <c r="I665" s="9" t="b">
        <v>1</v>
      </c>
      <c r="J665" s="9" t="b">
        <v>0</v>
      </c>
    </row>
    <row r="666" ht="15.75" customHeight="1">
      <c r="A666" s="5">
        <v>7.0</v>
      </c>
      <c r="B666" s="5">
        <v>20103.0</v>
      </c>
      <c r="C666" s="5">
        <v>102.2338899797823</v>
      </c>
      <c r="D666" s="5">
        <v>107.93998183689854</v>
      </c>
      <c r="E666" s="5">
        <v>2.2338899797823046</v>
      </c>
      <c r="F666" s="5">
        <v>7.939981836898539</v>
      </c>
      <c r="G666" s="5">
        <v>5.344187452636695</v>
      </c>
      <c r="H666" s="5">
        <v>-2.5957943842618443</v>
      </c>
      <c r="I666" s="9" t="b">
        <v>1</v>
      </c>
      <c r="J666" s="9" t="b">
        <v>0</v>
      </c>
    </row>
    <row r="667" ht="15.75" customHeight="1">
      <c r="A667" s="5">
        <v>8.0</v>
      </c>
      <c r="B667" s="5">
        <v>20103.0</v>
      </c>
      <c r="C667" s="5">
        <v>100.35312117131112</v>
      </c>
      <c r="D667" s="5">
        <v>108.89660990728282</v>
      </c>
      <c r="E667" s="5">
        <v>0.3531211713111162</v>
      </c>
      <c r="F667" s="5">
        <v>8.896609907282823</v>
      </c>
      <c r="G667" s="5">
        <v>6.384477233510588</v>
      </c>
      <c r="H667" s="5">
        <v>-2.5121326737722347</v>
      </c>
      <c r="I667" s="9" t="b">
        <v>1</v>
      </c>
      <c r="J667" s="9" t="b">
        <v>0</v>
      </c>
    </row>
    <row r="668" ht="15.75" customHeight="1">
      <c r="A668" s="5">
        <v>9.0</v>
      </c>
      <c r="B668" s="5">
        <v>20103.0</v>
      </c>
      <c r="C668" s="5">
        <v>99.74157629849825</v>
      </c>
      <c r="D668" s="5">
        <v>103.49962147035296</v>
      </c>
      <c r="E668" s="5">
        <v>-0.258423701501755</v>
      </c>
      <c r="F668" s="5">
        <v>3.499621470352963</v>
      </c>
      <c r="G668" s="5">
        <v>-0.22702985431310996</v>
      </c>
      <c r="H668" s="5">
        <v>-3.726651324666073</v>
      </c>
      <c r="I668" s="9" t="b">
        <v>1</v>
      </c>
      <c r="J668" s="9" t="b">
        <v>1</v>
      </c>
    </row>
    <row r="669" ht="15.75" customHeight="1">
      <c r="A669" s="5">
        <v>10.0</v>
      </c>
      <c r="B669" s="5">
        <v>20103.0</v>
      </c>
      <c r="C669" s="5">
        <v>89.36690758293972</v>
      </c>
      <c r="D669" s="5">
        <v>109.01761756857532</v>
      </c>
      <c r="E669" s="5">
        <v>-10.633092417060283</v>
      </c>
      <c r="F669" s="5">
        <v>9.017617568575318</v>
      </c>
      <c r="G669" s="5">
        <v>4.822436707236943</v>
      </c>
      <c r="H669" s="5">
        <v>-4.1951808613383745</v>
      </c>
      <c r="I669" s="9" t="b">
        <v>1</v>
      </c>
      <c r="J669" s="9" t="b">
        <v>0</v>
      </c>
    </row>
    <row r="670" ht="15.75" customHeight="1">
      <c r="A670" s="5">
        <v>11.0</v>
      </c>
      <c r="B670" s="5">
        <v>20103.0</v>
      </c>
      <c r="C670" s="5">
        <v>93.45321311956198</v>
      </c>
      <c r="D670" s="5">
        <v>98.5038503850385</v>
      </c>
      <c r="E670" s="5">
        <v>-6.54678688043802</v>
      </c>
      <c r="F670" s="5">
        <v>-1.496149614961496</v>
      </c>
      <c r="G670" s="5">
        <v>3.5469654249048688</v>
      </c>
      <c r="H670" s="5">
        <v>5.043115039866365</v>
      </c>
      <c r="I670" s="9" t="b">
        <v>1</v>
      </c>
      <c r="J670" s="9" t="b">
        <v>1</v>
      </c>
    </row>
    <row r="671" ht="15.75" customHeight="1">
      <c r="A671" s="5">
        <v>12.0</v>
      </c>
      <c r="B671" s="5">
        <v>20103.0</v>
      </c>
      <c r="C671" s="5">
        <v>101.27272727272728</v>
      </c>
      <c r="D671" s="5">
        <v>109.6456692913386</v>
      </c>
      <c r="E671" s="5">
        <v>1.2727272727272805</v>
      </c>
      <c r="F671" s="5">
        <v>9.645669291338606</v>
      </c>
      <c r="G671" s="5">
        <v>5.675453460771807</v>
      </c>
      <c r="H671" s="5">
        <v>-3.9702158305668</v>
      </c>
      <c r="I671" s="9" t="b">
        <v>1</v>
      </c>
      <c r="J671" s="9" t="b">
        <v>0</v>
      </c>
    </row>
    <row r="672" ht="15.75" customHeight="1">
      <c r="A672" s="5">
        <v>13.0</v>
      </c>
      <c r="B672" s="5">
        <v>20103.0</v>
      </c>
      <c r="C672" s="5">
        <v>93.63911266271823</v>
      </c>
      <c r="D672" s="5">
        <v>97.65290274566124</v>
      </c>
      <c r="E672" s="5">
        <v>-6.360887337281767</v>
      </c>
      <c r="F672" s="5">
        <v>-2.347097254338763</v>
      </c>
      <c r="G672" s="5">
        <v>-0.5663848367417734</v>
      </c>
      <c r="H672" s="5">
        <v>1.7807124175969897</v>
      </c>
      <c r="I672" s="9" t="b">
        <v>1</v>
      </c>
      <c r="J672" s="9" t="b">
        <v>0</v>
      </c>
    </row>
    <row r="673" ht="15.75" customHeight="1">
      <c r="A673" s="5">
        <v>14.0</v>
      </c>
      <c r="B673" s="5">
        <v>20103.0</v>
      </c>
      <c r="C673" s="5">
        <v>97.80045108977798</v>
      </c>
      <c r="D673" s="5">
        <v>101.9429618955124</v>
      </c>
      <c r="E673" s="5">
        <v>-2.1995489102220205</v>
      </c>
      <c r="F673" s="5">
        <v>1.942961895512397</v>
      </c>
      <c r="G673" s="5">
        <v>3.2665711628312</v>
      </c>
      <c r="H673" s="5">
        <v>1.323609267318803</v>
      </c>
      <c r="I673" s="9" t="b">
        <v>1</v>
      </c>
      <c r="J673" s="9" t="b">
        <v>0</v>
      </c>
    </row>
    <row r="674" ht="15.75" customHeight="1">
      <c r="A674" s="5">
        <v>15.0</v>
      </c>
      <c r="B674" s="5">
        <v>20103.0</v>
      </c>
      <c r="C674" s="5">
        <v>98.7961893020512</v>
      </c>
      <c r="D674" s="5">
        <v>106.16511634953405</v>
      </c>
      <c r="E674" s="5">
        <v>-1.2038106979487964</v>
      </c>
      <c r="F674" s="5">
        <v>6.1651163495340455</v>
      </c>
      <c r="G674" s="5">
        <v>-0.5643276335237535</v>
      </c>
      <c r="H674" s="5">
        <v>-6.729443983057799</v>
      </c>
      <c r="I674" s="9" t="b">
        <v>1</v>
      </c>
      <c r="J674" s="9" t="b">
        <v>1</v>
      </c>
    </row>
    <row r="675" ht="15.75" customHeight="1">
      <c r="A675" s="5">
        <v>16.0</v>
      </c>
      <c r="B675" s="5">
        <v>20103.0</v>
      </c>
      <c r="C675" s="5">
        <v>96.33663366336631</v>
      </c>
      <c r="D675" s="5">
        <v>104.65552466055018</v>
      </c>
      <c r="E675" s="5">
        <v>-3.663366336633686</v>
      </c>
      <c r="F675" s="5">
        <v>4.655524660550185</v>
      </c>
      <c r="G675" s="5">
        <v>1.504996267608738</v>
      </c>
      <c r="H675" s="5">
        <v>-3.150528392941447</v>
      </c>
      <c r="I675" s="9" t="b">
        <v>1</v>
      </c>
      <c r="J675" s="9" t="b">
        <v>0</v>
      </c>
    </row>
    <row r="676" ht="15.75" customHeight="1">
      <c r="A676" s="5">
        <v>17.0</v>
      </c>
      <c r="B676" s="5">
        <v>20103.0</v>
      </c>
      <c r="C676" s="5">
        <v>99.4231453634582</v>
      </c>
      <c r="D676" s="5">
        <v>101.21239401162046</v>
      </c>
      <c r="E676" s="5">
        <v>-0.5768546365417961</v>
      </c>
      <c r="F676" s="5">
        <v>1.2123940116204608</v>
      </c>
      <c r="G676" s="5">
        <v>7.03284085488598</v>
      </c>
      <c r="H676" s="5">
        <v>5.820446843265519</v>
      </c>
      <c r="I676" s="9" t="b">
        <v>1</v>
      </c>
      <c r="J676" s="9" t="b">
        <v>0</v>
      </c>
    </row>
    <row r="677" ht="15.75" customHeight="1">
      <c r="A677" s="5">
        <v>1.0</v>
      </c>
      <c r="B677" s="5">
        <v>20113.0</v>
      </c>
      <c r="C677" s="5">
        <v>95.8720330237358</v>
      </c>
      <c r="D677" s="5">
        <v>93.83838383838383</v>
      </c>
      <c r="E677" s="5">
        <v>-4.127966976264204</v>
      </c>
      <c r="F677" s="5">
        <v>-6.161616161616166</v>
      </c>
      <c r="G677" s="5">
        <v>0.31597611486187116</v>
      </c>
      <c r="H677" s="5">
        <v>6.477592276478037</v>
      </c>
      <c r="I677" s="9" t="b">
        <v>1</v>
      </c>
      <c r="J677" s="9" t="b">
        <v>1</v>
      </c>
    </row>
    <row r="678" ht="15.75" customHeight="1">
      <c r="A678" s="5">
        <v>2.0</v>
      </c>
      <c r="B678" s="5">
        <v>20113.0</v>
      </c>
      <c r="C678" s="5">
        <v>96.60194174757282</v>
      </c>
      <c r="D678" s="5">
        <v>96.04247104247104</v>
      </c>
      <c r="E678" s="5">
        <v>-3.3980582524271767</v>
      </c>
      <c r="F678" s="5">
        <v>-3.9575289575289645</v>
      </c>
      <c r="G678" s="5">
        <v>-1.7145276378126018</v>
      </c>
      <c r="H678" s="5">
        <v>2.2430013197163627</v>
      </c>
      <c r="I678" s="9" t="b">
        <v>1</v>
      </c>
      <c r="J678" s="9" t="b">
        <v>0</v>
      </c>
    </row>
    <row r="679" ht="15.75" customHeight="1">
      <c r="A679" s="5">
        <v>5.0</v>
      </c>
      <c r="B679" s="5">
        <v>20113.0</v>
      </c>
      <c r="C679" s="5">
        <v>96.40491958372752</v>
      </c>
      <c r="D679" s="5">
        <v>97.14013346043852</v>
      </c>
      <c r="E679" s="5">
        <v>-3.5950804162724808</v>
      </c>
      <c r="F679" s="5">
        <v>-2.85986653956148</v>
      </c>
      <c r="G679" s="5">
        <v>-5.1443010135155625</v>
      </c>
      <c r="H679" s="5">
        <v>-2.2844344739540823</v>
      </c>
      <c r="I679" s="9" t="b">
        <v>1</v>
      </c>
      <c r="J679" s="9" t="b">
        <v>0</v>
      </c>
    </row>
    <row r="680" ht="15.75" customHeight="1">
      <c r="A680" s="5">
        <v>6.0</v>
      </c>
      <c r="B680" s="5">
        <v>20113.0</v>
      </c>
      <c r="C680" s="5">
        <v>97.74558743105898</v>
      </c>
      <c r="D680" s="5">
        <v>103.17373054254963</v>
      </c>
      <c r="E680" s="5">
        <v>-2.254412568941021</v>
      </c>
      <c r="F680" s="5">
        <v>3.1737305425496345</v>
      </c>
      <c r="G680" s="5">
        <v>2.6910403908342317</v>
      </c>
      <c r="H680" s="5">
        <v>-0.48269015171540275</v>
      </c>
      <c r="I680" s="9" t="b">
        <v>1</v>
      </c>
      <c r="J680" s="9" t="b">
        <v>0</v>
      </c>
    </row>
    <row r="681" ht="15.75" customHeight="1">
      <c r="A681" s="5">
        <v>7.0</v>
      </c>
      <c r="B681" s="5">
        <v>20113.0</v>
      </c>
      <c r="C681" s="5">
        <v>100.53069150283908</v>
      </c>
      <c r="D681" s="5">
        <v>98.99867497241924</v>
      </c>
      <c r="E681" s="5">
        <v>0.5306915028390762</v>
      </c>
      <c r="F681" s="5">
        <v>-1.0013250275807621</v>
      </c>
      <c r="G681" s="5">
        <v>-0.1165736103929782</v>
      </c>
      <c r="H681" s="5">
        <v>0.8847514171877839</v>
      </c>
      <c r="I681" s="9" t="b">
        <v>1</v>
      </c>
      <c r="J681" s="9" t="b">
        <v>0</v>
      </c>
    </row>
    <row r="682" ht="15.75" customHeight="1">
      <c r="A682" s="5">
        <v>8.0</v>
      </c>
      <c r="B682" s="5">
        <v>20113.0</v>
      </c>
      <c r="C682" s="5">
        <v>103.8300457276694</v>
      </c>
      <c r="D682" s="5">
        <v>103.25366578621906</v>
      </c>
      <c r="E682" s="5">
        <v>3.8300457276694004</v>
      </c>
      <c r="F682" s="5">
        <v>3.2536657862190594</v>
      </c>
      <c r="G682" s="5">
        <v>4.033639523336641</v>
      </c>
      <c r="H682" s="5">
        <v>0.7799737371175812</v>
      </c>
      <c r="I682" s="9" t="b">
        <v>1</v>
      </c>
      <c r="J682" s="9" t="b">
        <v>0</v>
      </c>
    </row>
    <row r="683" ht="15.75" customHeight="1">
      <c r="A683" s="5">
        <v>9.0</v>
      </c>
      <c r="B683" s="5">
        <v>20113.0</v>
      </c>
      <c r="C683" s="5">
        <v>100.2156278878735</v>
      </c>
      <c r="D683" s="5">
        <v>100.2259190798932</v>
      </c>
      <c r="E683" s="5">
        <v>0.21562788787349518</v>
      </c>
      <c r="F683" s="5">
        <v>0.22591907989320248</v>
      </c>
      <c r="G683" s="5">
        <v>0.5818591019710828</v>
      </c>
      <c r="H683" s="5">
        <v>0.35594002207788034</v>
      </c>
      <c r="I683" s="9" t="b">
        <v>1</v>
      </c>
      <c r="J683" s="9" t="b">
        <v>0</v>
      </c>
    </row>
    <row r="684" ht="15.75" customHeight="1">
      <c r="A684" s="5">
        <v>10.0</v>
      </c>
      <c r="B684" s="5">
        <v>20113.0</v>
      </c>
      <c r="C684" s="5">
        <v>117.6790496708862</v>
      </c>
      <c r="D684" s="5">
        <v>108.7532755668888</v>
      </c>
      <c r="E684" s="5">
        <v>17.6790496708862</v>
      </c>
      <c r="F684" s="5">
        <v>8.753275566888803</v>
      </c>
      <c r="G684" s="5">
        <v>4.924901572572504</v>
      </c>
      <c r="H684" s="5">
        <v>-3.8283739943162987</v>
      </c>
      <c r="I684" s="9" t="b">
        <v>1</v>
      </c>
      <c r="J684" s="9" t="b">
        <v>0</v>
      </c>
    </row>
    <row r="685" ht="15.75" customHeight="1">
      <c r="A685" s="5">
        <v>11.0</v>
      </c>
      <c r="B685" s="5">
        <v>20113.0</v>
      </c>
      <c r="C685" s="5">
        <v>100.69332587627775</v>
      </c>
      <c r="D685" s="5">
        <v>99.93325120616484</v>
      </c>
      <c r="E685" s="5">
        <v>0.6933258762777541</v>
      </c>
      <c r="F685" s="5">
        <v>-0.06674879383515986</v>
      </c>
      <c r="G685" s="5">
        <v>2.064604462549302</v>
      </c>
      <c r="H685" s="5">
        <v>2.131353256384462</v>
      </c>
      <c r="I685" s="9" t="b">
        <v>1</v>
      </c>
      <c r="J685" s="9" t="b">
        <v>1</v>
      </c>
    </row>
    <row r="686" ht="15.75" customHeight="1">
      <c r="A686" s="5">
        <v>12.0</v>
      </c>
      <c r="B686" s="5">
        <v>20113.0</v>
      </c>
      <c r="C686" s="5">
        <v>96.05954465849386</v>
      </c>
      <c r="D686" s="5">
        <v>98.47396768402156</v>
      </c>
      <c r="E686" s="5">
        <v>-3.940455341506137</v>
      </c>
      <c r="F686" s="5">
        <v>-1.5260323159784406</v>
      </c>
      <c r="G686" s="5">
        <v>4.55720404232034</v>
      </c>
      <c r="H686" s="5">
        <v>6.08323635829878</v>
      </c>
      <c r="I686" s="9" t="b">
        <v>1</v>
      </c>
      <c r="J686" s="9" t="b">
        <v>1</v>
      </c>
    </row>
    <row r="687" ht="15.75" customHeight="1">
      <c r="A687" s="5">
        <v>13.0</v>
      </c>
      <c r="B687" s="5">
        <v>20113.0</v>
      </c>
      <c r="C687" s="5">
        <v>96.51263283542826</v>
      </c>
      <c r="D687" s="5">
        <v>97.66116394550735</v>
      </c>
      <c r="E687" s="5">
        <v>-3.4873671645717366</v>
      </c>
      <c r="F687" s="5">
        <v>-2.3388360544926456</v>
      </c>
      <c r="G687" s="5">
        <v>-5.136740067513368</v>
      </c>
      <c r="H687" s="5">
        <v>-2.7979040130207222</v>
      </c>
      <c r="I687" s="9" t="b">
        <v>1</v>
      </c>
      <c r="J687" s="9" t="b">
        <v>0</v>
      </c>
    </row>
    <row r="688" ht="15.75" customHeight="1">
      <c r="A688" s="5">
        <v>14.0</v>
      </c>
      <c r="B688" s="5">
        <v>20113.0</v>
      </c>
      <c r="C688" s="5">
        <v>100.259390679561</v>
      </c>
      <c r="D688" s="5">
        <v>99.17450033437746</v>
      </c>
      <c r="E688" s="5">
        <v>0.25939067956099393</v>
      </c>
      <c r="F688" s="5">
        <v>-0.8254996656225444</v>
      </c>
      <c r="G688" s="5">
        <v>-0.04846815596980525</v>
      </c>
      <c r="H688" s="5">
        <v>0.7770315096527391</v>
      </c>
      <c r="I688" s="9" t="b">
        <v>1</v>
      </c>
      <c r="J688" s="9" t="b">
        <v>0</v>
      </c>
    </row>
    <row r="689" ht="15.75" customHeight="1">
      <c r="A689" s="5">
        <v>15.0</v>
      </c>
      <c r="B689" s="5">
        <v>20113.0</v>
      </c>
      <c r="C689" s="5">
        <v>100.29268292682929</v>
      </c>
      <c r="D689" s="5">
        <v>98.71979789838254</v>
      </c>
      <c r="E689" s="5">
        <v>0.2926829268292863</v>
      </c>
      <c r="F689" s="5">
        <v>-1.280202101617462</v>
      </c>
      <c r="G689" s="5">
        <v>-0.7311207957957588</v>
      </c>
      <c r="H689" s="5">
        <v>0.5490813058217032</v>
      </c>
      <c r="I689" s="9" t="b">
        <v>1</v>
      </c>
      <c r="J689" s="9" t="b">
        <v>0</v>
      </c>
    </row>
    <row r="690" ht="15.75" customHeight="1">
      <c r="A690" s="5">
        <v>16.0</v>
      </c>
      <c r="B690" s="5">
        <v>20113.0</v>
      </c>
      <c r="C690" s="5">
        <v>95.04289799809342</v>
      </c>
      <c r="D690" s="5">
        <v>102.4665981500514</v>
      </c>
      <c r="E690" s="5">
        <v>-4.957102001906577</v>
      </c>
      <c r="F690" s="5">
        <v>2.4665981500513965</v>
      </c>
      <c r="G690" s="5">
        <v>1.7835186523692537</v>
      </c>
      <c r="H690" s="5">
        <v>-0.6830794976821428</v>
      </c>
      <c r="I690" s="9" t="b">
        <v>1</v>
      </c>
      <c r="J690" s="9" t="b">
        <v>0</v>
      </c>
    </row>
    <row r="691" ht="15.75" customHeight="1">
      <c r="A691" s="5">
        <v>17.0</v>
      </c>
      <c r="B691" s="5">
        <v>20113.0</v>
      </c>
      <c r="C691" s="5">
        <v>93.12694704049844</v>
      </c>
      <c r="D691" s="5">
        <v>97.72375068903877</v>
      </c>
      <c r="E691" s="5">
        <v>-6.873052959501564</v>
      </c>
      <c r="F691" s="5">
        <v>-2.2762493109612336</v>
      </c>
      <c r="G691" s="5">
        <v>-1.5306082739510396</v>
      </c>
      <c r="H691" s="5">
        <v>0.745641037010194</v>
      </c>
      <c r="I691" s="9" t="b">
        <v>1</v>
      </c>
      <c r="J691" s="9" t="b">
        <v>0</v>
      </c>
    </row>
    <row r="692" ht="15.75" customHeight="1">
      <c r="A692" s="5">
        <v>1.0</v>
      </c>
      <c r="B692" s="5">
        <v>20123.0</v>
      </c>
      <c r="C692" s="5">
        <v>105.81140350877192</v>
      </c>
      <c r="D692" s="5">
        <v>103.8751345532831</v>
      </c>
      <c r="E692" s="5">
        <v>5.811403508771917</v>
      </c>
      <c r="F692" s="5">
        <v>3.875134553283104</v>
      </c>
      <c r="G692" s="5">
        <v>-3.378361220896897</v>
      </c>
      <c r="H692" s="5">
        <v>-7.253495774180001</v>
      </c>
      <c r="I692" s="9" t="b">
        <v>1</v>
      </c>
      <c r="J692" s="9" t="b">
        <v>1</v>
      </c>
    </row>
    <row r="693" ht="15.75" customHeight="1">
      <c r="A693" s="5">
        <v>2.0</v>
      </c>
      <c r="B693" s="5">
        <v>20123.0</v>
      </c>
      <c r="C693" s="5">
        <v>98.43260188087774</v>
      </c>
      <c r="D693" s="5">
        <v>94.67336683417086</v>
      </c>
      <c r="E693" s="5">
        <v>-1.5673981191222595</v>
      </c>
      <c r="F693" s="5">
        <v>-5.326633165829136</v>
      </c>
      <c r="G693" s="5">
        <v>-6.191769334317487</v>
      </c>
      <c r="H693" s="5">
        <v>-0.865136168488351</v>
      </c>
      <c r="I693" s="9" t="b">
        <v>1</v>
      </c>
      <c r="J693" s="9" t="b">
        <v>0</v>
      </c>
    </row>
    <row r="694" ht="15.75" customHeight="1">
      <c r="A694" s="5">
        <v>5.0</v>
      </c>
      <c r="B694" s="5">
        <v>20123.0</v>
      </c>
      <c r="C694" s="5">
        <v>101.62107396149948</v>
      </c>
      <c r="D694" s="5">
        <v>98.42983316977428</v>
      </c>
      <c r="E694" s="5">
        <v>1.6210739614994765</v>
      </c>
      <c r="F694" s="5">
        <v>-1.5701668302257161</v>
      </c>
      <c r="G694" s="5">
        <v>-2.5336456807646845</v>
      </c>
      <c r="H694" s="5">
        <v>-0.9634788505389684</v>
      </c>
      <c r="I694" s="9" t="b">
        <v>1</v>
      </c>
      <c r="J694" s="9" t="b">
        <v>0</v>
      </c>
    </row>
    <row r="695" ht="15.75" customHeight="1">
      <c r="A695" s="5">
        <v>6.0</v>
      </c>
      <c r="B695" s="5">
        <v>20123.0</v>
      </c>
      <c r="C695" s="5">
        <v>101.17065264598064</v>
      </c>
      <c r="D695" s="5">
        <v>96.4414844225279</v>
      </c>
      <c r="E695" s="5">
        <v>1.1706526459806383</v>
      </c>
      <c r="F695" s="5">
        <v>-3.558515577472093</v>
      </c>
      <c r="G695" s="5">
        <v>-5.1659920458188235</v>
      </c>
      <c r="H695" s="5">
        <v>-1.6074764683467304</v>
      </c>
      <c r="I695" s="9" t="b">
        <v>1</v>
      </c>
      <c r="J695" s="9" t="b">
        <v>0</v>
      </c>
    </row>
    <row r="696" ht="15.75" customHeight="1">
      <c r="A696" s="5">
        <v>7.0</v>
      </c>
      <c r="B696" s="5">
        <v>20123.0</v>
      </c>
      <c r="C696" s="5">
        <v>97.66841264551832</v>
      </c>
      <c r="D696" s="5">
        <v>93.02725253468672</v>
      </c>
      <c r="E696" s="5">
        <v>-2.331587354481684</v>
      </c>
      <c r="F696" s="5">
        <v>-6.972747465313276</v>
      </c>
      <c r="G696" s="5">
        <v>-5.122664171351743</v>
      </c>
      <c r="H696" s="5">
        <v>1.850083293961533</v>
      </c>
      <c r="I696" s="9" t="b">
        <v>1</v>
      </c>
      <c r="J696" s="9" t="b">
        <v>0</v>
      </c>
    </row>
    <row r="697" ht="15.75" customHeight="1">
      <c r="A697" s="5">
        <v>8.0</v>
      </c>
      <c r="B697" s="5">
        <v>20123.0</v>
      </c>
      <c r="C697" s="5">
        <v>101.68063718458713</v>
      </c>
      <c r="D697" s="5">
        <v>93.30484337164329</v>
      </c>
      <c r="E697" s="5">
        <v>1.6806371845871269</v>
      </c>
      <c r="F697" s="5">
        <v>-6.695156628356713</v>
      </c>
      <c r="G697" s="5">
        <v>-4.807927502252118</v>
      </c>
      <c r="H697" s="5">
        <v>1.8872291261045948</v>
      </c>
      <c r="I697" s="9" t="b">
        <v>1</v>
      </c>
      <c r="J697" s="9" t="b">
        <v>0</v>
      </c>
    </row>
    <row r="698" ht="15.75" customHeight="1">
      <c r="A698" s="5">
        <v>9.0</v>
      </c>
      <c r="B698" s="5">
        <v>20123.0</v>
      </c>
      <c r="C698" s="5">
        <v>98.38693105928286</v>
      </c>
      <c r="D698" s="5">
        <v>98.11475409836066</v>
      </c>
      <c r="E698" s="5">
        <v>-1.6130689407171417</v>
      </c>
      <c r="F698" s="5">
        <v>-1.8852459016393368</v>
      </c>
      <c r="G698" s="5">
        <v>-5.690574718841135</v>
      </c>
      <c r="H698" s="5">
        <v>-3.805328817201798</v>
      </c>
      <c r="I698" s="9" t="b">
        <v>1</v>
      </c>
      <c r="J698" s="9" t="b">
        <v>0</v>
      </c>
    </row>
    <row r="699" ht="15.75" customHeight="1">
      <c r="A699" s="5">
        <v>10.0</v>
      </c>
      <c r="B699" s="5">
        <v>20123.0</v>
      </c>
      <c r="C699" s="5">
        <v>84.46149442553588</v>
      </c>
      <c r="D699" s="5">
        <v>85.7055908057406</v>
      </c>
      <c r="E699" s="5">
        <v>-15.538505574464125</v>
      </c>
      <c r="F699" s="5">
        <v>-14.294409194259401</v>
      </c>
      <c r="G699" s="5">
        <v>-3.782605349227963</v>
      </c>
      <c r="H699" s="5">
        <v>10.511803845031437</v>
      </c>
      <c r="I699" s="9" t="b">
        <v>1</v>
      </c>
      <c r="J699" s="9" t="b">
        <v>0</v>
      </c>
    </row>
    <row r="700" ht="15.75" customHeight="1">
      <c r="A700" s="5">
        <v>11.0</v>
      </c>
      <c r="B700" s="5">
        <v>20123.0</v>
      </c>
      <c r="C700" s="5">
        <v>101.09183477537908</v>
      </c>
      <c r="D700" s="5">
        <v>93.69379910778513</v>
      </c>
      <c r="E700" s="5">
        <v>1.091834775379084</v>
      </c>
      <c r="F700" s="5">
        <v>-6.306200892214875</v>
      </c>
      <c r="G700" s="5">
        <v>-6.648728347612353</v>
      </c>
      <c r="H700" s="5">
        <v>-0.3425274553974784</v>
      </c>
      <c r="I700" s="9" t="b">
        <v>1</v>
      </c>
      <c r="J700" s="9" t="b">
        <v>0</v>
      </c>
    </row>
    <row r="701" ht="15.75" customHeight="1">
      <c r="A701" s="5">
        <v>12.0</v>
      </c>
      <c r="B701" s="5">
        <v>20123.0</v>
      </c>
      <c r="C701" s="5">
        <v>104.516711833785</v>
      </c>
      <c r="D701" s="5">
        <v>105.46946216955332</v>
      </c>
      <c r="E701" s="5">
        <v>4.516711833784996</v>
      </c>
      <c r="F701" s="5">
        <v>5.469462169553324</v>
      </c>
      <c r="G701" s="5">
        <v>-1.907109655231276</v>
      </c>
      <c r="H701" s="5">
        <v>-7.3765718247846</v>
      </c>
      <c r="I701" s="9" t="b">
        <v>1</v>
      </c>
      <c r="J701" s="9" t="b">
        <v>1</v>
      </c>
    </row>
    <row r="702" ht="15.75" customHeight="1">
      <c r="A702" s="5">
        <v>13.0</v>
      </c>
      <c r="B702" s="5">
        <v>20123.0</v>
      </c>
      <c r="C702" s="5">
        <v>99.37569661676818</v>
      </c>
      <c r="D702" s="5">
        <v>97.0326972817128</v>
      </c>
      <c r="E702" s="5">
        <v>-0.624303383231819</v>
      </c>
      <c r="F702" s="5">
        <v>-2.9673027182872005</v>
      </c>
      <c r="G702" s="5">
        <v>-7.2260231360098075</v>
      </c>
      <c r="H702" s="5">
        <v>-4.258720417722607</v>
      </c>
      <c r="I702" s="9" t="b">
        <v>1</v>
      </c>
      <c r="J702" s="9" t="b">
        <v>0</v>
      </c>
    </row>
    <row r="703" ht="15.75" customHeight="1">
      <c r="A703" s="5">
        <v>14.0</v>
      </c>
      <c r="B703" s="5">
        <v>20123.0</v>
      </c>
      <c r="C703" s="5">
        <v>99.0597562555822</v>
      </c>
      <c r="D703" s="5">
        <v>95.98324373361363</v>
      </c>
      <c r="E703" s="5">
        <v>-0.9402437444177991</v>
      </c>
      <c r="F703" s="5">
        <v>-4.016756266386366</v>
      </c>
      <c r="G703" s="5">
        <v>-5.427535022452079</v>
      </c>
      <c r="H703" s="5">
        <v>-1.4107787560657128</v>
      </c>
      <c r="I703" s="9" t="b">
        <v>1</v>
      </c>
      <c r="J703" s="9" t="b">
        <v>0</v>
      </c>
    </row>
    <row r="704" ht="15.75" customHeight="1">
      <c r="A704" s="5">
        <v>15.0</v>
      </c>
      <c r="B704" s="5">
        <v>20123.0</v>
      </c>
      <c r="C704" s="5">
        <v>100.1063829787234</v>
      </c>
      <c r="D704" s="5">
        <v>91.53696498054474</v>
      </c>
      <c r="E704" s="5">
        <v>0.10638297872340274</v>
      </c>
      <c r="F704" s="5">
        <v>-8.463035019455262</v>
      </c>
      <c r="G704" s="5">
        <v>-5.668030321263662</v>
      </c>
      <c r="H704" s="5">
        <v>2.7950046981916</v>
      </c>
      <c r="I704" s="9" t="b">
        <v>1</v>
      </c>
      <c r="J704" s="9" t="b">
        <v>0</v>
      </c>
    </row>
    <row r="705" ht="15.75" customHeight="1">
      <c r="A705" s="5">
        <v>16.0</v>
      </c>
      <c r="B705" s="5">
        <v>20123.0</v>
      </c>
      <c r="C705" s="5">
        <v>99.9028182701652</v>
      </c>
      <c r="D705" s="5">
        <v>103.10932798395184</v>
      </c>
      <c r="E705" s="5">
        <v>-0.09718172983480144</v>
      </c>
      <c r="F705" s="5">
        <v>3.109327983951843</v>
      </c>
      <c r="G705" s="5">
        <v>-4.533075321944358</v>
      </c>
      <c r="H705" s="5">
        <v>-7.642403305896201</v>
      </c>
      <c r="I705" s="9" t="b">
        <v>1</v>
      </c>
      <c r="J705" s="9" t="b">
        <v>1</v>
      </c>
    </row>
    <row r="706" ht="15.75" customHeight="1">
      <c r="A706" s="5">
        <v>17.0</v>
      </c>
      <c r="B706" s="5">
        <v>20123.0</v>
      </c>
      <c r="C706" s="5">
        <v>104.00794965220273</v>
      </c>
      <c r="D706" s="5">
        <v>98.47376123771691</v>
      </c>
      <c r="E706" s="5">
        <v>4.007949652202726</v>
      </c>
      <c r="F706" s="5">
        <v>-1.5262387622830857</v>
      </c>
      <c r="G706" s="5">
        <v>-7.024942882465779</v>
      </c>
      <c r="H706" s="5">
        <v>-5.498704120182693</v>
      </c>
      <c r="I706" s="9" t="b">
        <v>1</v>
      </c>
      <c r="J706" s="9" t="b">
        <v>0</v>
      </c>
    </row>
    <row r="707" ht="15.75" customHeight="1">
      <c r="A707" s="5">
        <v>1.0</v>
      </c>
      <c r="B707" s="5">
        <v>20133.0</v>
      </c>
      <c r="C707" s="5">
        <v>99.7837837837838</v>
      </c>
      <c r="D707" s="5">
        <v>95.64766839378238</v>
      </c>
      <c r="E707" s="5">
        <v>-0.21621621621619624</v>
      </c>
      <c r="F707" s="5">
        <v>-4.352331606217618</v>
      </c>
      <c r="G707" s="5">
        <v>-4.325232597543193</v>
      </c>
      <c r="H707" s="5">
        <v>0.027099008674424496</v>
      </c>
      <c r="I707" s="9" t="b">
        <v>1</v>
      </c>
      <c r="J707" s="9" t="b">
        <v>0</v>
      </c>
    </row>
    <row r="708" ht="15.75" customHeight="1">
      <c r="A708" s="5">
        <v>2.0</v>
      </c>
      <c r="B708" s="5">
        <v>20133.0</v>
      </c>
      <c r="C708" s="5">
        <v>99.67141292442496</v>
      </c>
      <c r="D708" s="5">
        <v>96.60297239915074</v>
      </c>
      <c r="E708" s="5">
        <v>-0.32858707557504374</v>
      </c>
      <c r="F708" s="5">
        <v>-3.397027600849256</v>
      </c>
      <c r="G708" s="5">
        <v>-0.0857644324265161</v>
      </c>
      <c r="H708" s="5">
        <v>3.31126316842274</v>
      </c>
      <c r="I708" s="9" t="b">
        <v>1</v>
      </c>
      <c r="J708" s="9" t="b">
        <v>0</v>
      </c>
    </row>
    <row r="709" ht="15.75" customHeight="1">
      <c r="A709" s="5">
        <v>5.0</v>
      </c>
      <c r="B709" s="5">
        <v>20133.0</v>
      </c>
      <c r="C709" s="5">
        <v>105.4944670319134</v>
      </c>
      <c r="D709" s="5">
        <v>99.40179461615156</v>
      </c>
      <c r="E709" s="5">
        <v>5.494467031913402</v>
      </c>
      <c r="F709" s="5">
        <v>-0.5982053838484376</v>
      </c>
      <c r="G709" s="5">
        <v>-2.1941242314236664</v>
      </c>
      <c r="H709" s="5">
        <v>-1.5959188475752288</v>
      </c>
      <c r="I709" s="9" t="b">
        <v>1</v>
      </c>
      <c r="J709" s="9" t="b">
        <v>0</v>
      </c>
    </row>
    <row r="710" ht="15.75" customHeight="1">
      <c r="A710" s="5">
        <v>6.0</v>
      </c>
      <c r="B710" s="5">
        <v>20133.0</v>
      </c>
      <c r="C710" s="5">
        <v>101.8392326267127</v>
      </c>
      <c r="D710" s="5">
        <v>99.41325898270225</v>
      </c>
      <c r="E710" s="5">
        <v>1.8392326267127004</v>
      </c>
      <c r="F710" s="5">
        <v>-0.5867410172977543</v>
      </c>
      <c r="G710" s="5">
        <v>-4.743969958970218</v>
      </c>
      <c r="H710" s="5">
        <v>-4.1572289416724635</v>
      </c>
      <c r="I710" s="9" t="b">
        <v>1</v>
      </c>
      <c r="J710" s="9" t="b">
        <v>0</v>
      </c>
    </row>
    <row r="711" ht="15.75" customHeight="1">
      <c r="A711" s="5">
        <v>7.0</v>
      </c>
      <c r="B711" s="5">
        <v>20133.0</v>
      </c>
      <c r="C711" s="5">
        <v>101.1487848475692</v>
      </c>
      <c r="D711" s="5">
        <v>100.1771282912368</v>
      </c>
      <c r="E711" s="5">
        <v>1.1487848475692033</v>
      </c>
      <c r="F711" s="5">
        <v>0.17712829123679796</v>
      </c>
      <c r="G711" s="5">
        <v>-5.235270455733387</v>
      </c>
      <c r="H711" s="5">
        <v>-5.412398746970185</v>
      </c>
      <c r="I711" s="9" t="b">
        <v>1</v>
      </c>
      <c r="J711" s="9" t="b">
        <v>1</v>
      </c>
    </row>
    <row r="712" ht="15.75" customHeight="1">
      <c r="A712" s="5">
        <v>8.0</v>
      </c>
      <c r="B712" s="5">
        <v>20133.0</v>
      </c>
      <c r="C712" s="5">
        <v>91.54654898048004</v>
      </c>
      <c r="D712" s="5">
        <v>89.19819682020915</v>
      </c>
      <c r="E712" s="5">
        <v>-8.45345101951996</v>
      </c>
      <c r="F712" s="5">
        <v>-10.801803179790852</v>
      </c>
      <c r="G712" s="5">
        <v>-6.05456672516087</v>
      </c>
      <c r="H712" s="5">
        <v>4.747236454629982</v>
      </c>
      <c r="I712" s="9" t="b">
        <v>1</v>
      </c>
      <c r="J712" s="9" t="b">
        <v>0</v>
      </c>
    </row>
    <row r="713" ht="15.75" customHeight="1">
      <c r="A713" s="5">
        <v>9.0</v>
      </c>
      <c r="B713" s="5">
        <v>20133.0</v>
      </c>
      <c r="C713" s="5">
        <v>99.62280418148508</v>
      </c>
      <c r="D713" s="5">
        <v>96.5329991645781</v>
      </c>
      <c r="E713" s="5">
        <v>-0.37719581851492023</v>
      </c>
      <c r="F713" s="5">
        <v>-3.4670008354218993</v>
      </c>
      <c r="G713" s="5">
        <v>-3.961962114571027</v>
      </c>
      <c r="H713" s="5">
        <v>-0.4949612791491278</v>
      </c>
      <c r="I713" s="9" t="b">
        <v>1</v>
      </c>
      <c r="J713" s="9" t="b">
        <v>0</v>
      </c>
    </row>
    <row r="714" ht="15.75" customHeight="1">
      <c r="A714" s="5">
        <v>10.0</v>
      </c>
      <c r="B714" s="5">
        <v>20133.0</v>
      </c>
      <c r="C714" s="5">
        <v>96.62896252513836</v>
      </c>
      <c r="D714" s="5">
        <v>105.73814193180333</v>
      </c>
      <c r="E714" s="5">
        <v>-3.3710374748616374</v>
      </c>
      <c r="F714" s="5">
        <v>5.738141931803327</v>
      </c>
      <c r="G714" s="5">
        <v>-1.1881149472664831</v>
      </c>
      <c r="H714" s="5">
        <v>-6.926256879069809</v>
      </c>
      <c r="I714" s="9" t="b">
        <v>1</v>
      </c>
      <c r="J714" s="9" t="b">
        <v>1</v>
      </c>
    </row>
    <row r="715" ht="15.75" customHeight="1">
      <c r="A715" s="5">
        <v>11.0</v>
      </c>
      <c r="B715" s="5">
        <v>20133.0</v>
      </c>
      <c r="C715" s="5">
        <v>103.24008971195144</v>
      </c>
      <c r="D715" s="5">
        <v>102.1351585550028</v>
      </c>
      <c r="E715" s="5">
        <v>3.240089711951441</v>
      </c>
      <c r="F715" s="5">
        <v>2.1351585550028034</v>
      </c>
      <c r="G715" s="5">
        <v>-0.3452174030855626</v>
      </c>
      <c r="H715" s="5">
        <v>-2.480375958088366</v>
      </c>
      <c r="I715" s="9" t="b">
        <v>1</v>
      </c>
      <c r="J715" s="9" t="b">
        <v>1</v>
      </c>
    </row>
    <row r="716" ht="15.75" customHeight="1">
      <c r="A716" s="5">
        <v>12.0</v>
      </c>
      <c r="B716" s="5">
        <v>20133.0</v>
      </c>
      <c r="C716" s="5">
        <v>99.64093357271096</v>
      </c>
      <c r="D716" s="5">
        <v>95.93777009507346</v>
      </c>
      <c r="E716" s="5">
        <v>-0.3590664272890365</v>
      </c>
      <c r="F716" s="5">
        <v>-4.062229904926539</v>
      </c>
      <c r="G716" s="5">
        <v>-1.800634700160486</v>
      </c>
      <c r="H716" s="5">
        <v>2.2615952047660532</v>
      </c>
      <c r="I716" s="9" t="b">
        <v>1</v>
      </c>
      <c r="J716" s="9" t="b">
        <v>0</v>
      </c>
    </row>
    <row r="717" ht="15.75" customHeight="1">
      <c r="A717" s="5">
        <v>13.0</v>
      </c>
      <c r="B717" s="5">
        <v>20133.0</v>
      </c>
      <c r="C717" s="5">
        <v>100.37747332807336</v>
      </c>
      <c r="D717" s="5">
        <v>96.56193058702785</v>
      </c>
      <c r="E717" s="5">
        <v>0.3774733280733642</v>
      </c>
      <c r="F717" s="5">
        <v>-3.4380694129721547</v>
      </c>
      <c r="G717" s="5">
        <v>-1.6608548369018372</v>
      </c>
      <c r="H717" s="5">
        <v>1.7772145760703175</v>
      </c>
      <c r="I717" s="9" t="b">
        <v>1</v>
      </c>
      <c r="J717" s="9" t="b">
        <v>0</v>
      </c>
    </row>
    <row r="718" ht="15.75" customHeight="1">
      <c r="A718" s="5">
        <v>14.0</v>
      </c>
      <c r="B718" s="5">
        <v>20133.0</v>
      </c>
      <c r="C718" s="5">
        <v>103.03588912399874</v>
      </c>
      <c r="D718" s="5">
        <v>95.23587001020134</v>
      </c>
      <c r="E718" s="5">
        <v>3.035889123998743</v>
      </c>
      <c r="F718" s="5">
        <v>-4.764129989798661</v>
      </c>
      <c r="G718" s="5">
        <v>-5.062752134051363</v>
      </c>
      <c r="H718" s="5">
        <v>-0.2986221442527013</v>
      </c>
      <c r="I718" s="9" t="b">
        <v>1</v>
      </c>
      <c r="J718" s="9" t="b">
        <v>0</v>
      </c>
    </row>
    <row r="719" ht="15.75" customHeight="1">
      <c r="A719" s="5">
        <v>15.0</v>
      </c>
      <c r="B719" s="5">
        <v>20133.0</v>
      </c>
      <c r="C719" s="5">
        <v>98.7709497206704</v>
      </c>
      <c r="D719" s="5">
        <v>93.94261424017004</v>
      </c>
      <c r="E719" s="5">
        <v>-1.2290502793295985</v>
      </c>
      <c r="F719" s="5">
        <v>-6.057385759829955</v>
      </c>
      <c r="G719" s="5">
        <v>-5.994150610165294</v>
      </c>
      <c r="H719" s="5">
        <v>0.0632351496646617</v>
      </c>
      <c r="I719" s="9" t="b">
        <v>1</v>
      </c>
      <c r="J719" s="9" t="b">
        <v>0</v>
      </c>
    </row>
    <row r="720" ht="15.75" customHeight="1">
      <c r="A720" s="5">
        <v>16.0</v>
      </c>
      <c r="B720" s="5">
        <v>20133.0</v>
      </c>
      <c r="C720" s="5">
        <v>89.56356736242884</v>
      </c>
      <c r="D720" s="5">
        <v>91.82879377431908</v>
      </c>
      <c r="E720" s="5">
        <v>-10.436432637571158</v>
      </c>
      <c r="F720" s="5">
        <v>-8.171206225680919</v>
      </c>
      <c r="G720" s="5">
        <v>-0.28976269564487955</v>
      </c>
      <c r="H720" s="5">
        <v>7.881443530036039</v>
      </c>
      <c r="I720" s="9" t="b">
        <v>1</v>
      </c>
      <c r="J720" s="9" t="b">
        <v>0</v>
      </c>
    </row>
    <row r="721" ht="15.75" customHeight="1">
      <c r="A721" s="5">
        <v>17.0</v>
      </c>
      <c r="B721" s="5">
        <v>20133.0</v>
      </c>
      <c r="C721" s="5">
        <v>99.07621247113164</v>
      </c>
      <c r="D721" s="5">
        <v>91.0828025477707</v>
      </c>
      <c r="E721" s="5">
        <v>-0.9237875288683597</v>
      </c>
      <c r="F721" s="5">
        <v>-8.917197452229303</v>
      </c>
      <c r="G721" s="5">
        <v>-4.0658694425064095</v>
      </c>
      <c r="H721" s="5">
        <v>4.851328009722893</v>
      </c>
      <c r="I721" s="9" t="b">
        <v>1</v>
      </c>
      <c r="J721" s="9" t="b">
        <v>0</v>
      </c>
    </row>
    <row r="722" ht="15.75" customHeight="1">
      <c r="A722" s="5">
        <v>1.0</v>
      </c>
      <c r="B722" s="5">
        <v>20143.0</v>
      </c>
      <c r="C722" s="5">
        <v>104.11568409343714</v>
      </c>
      <c r="D722" s="5">
        <v>101.40845070422534</v>
      </c>
      <c r="E722" s="5">
        <v>4.115684093437139</v>
      </c>
      <c r="F722" s="5">
        <v>1.408450704225345</v>
      </c>
      <c r="G722" s="5">
        <v>1.9534654527972206</v>
      </c>
      <c r="H722" s="5">
        <v>0.5450147485718757</v>
      </c>
      <c r="I722" s="9" t="b">
        <v>1</v>
      </c>
      <c r="J722" s="9" t="b">
        <v>0</v>
      </c>
    </row>
    <row r="723" ht="15.75" customHeight="1">
      <c r="A723" s="5">
        <v>2.0</v>
      </c>
      <c r="B723" s="5">
        <v>20143.0</v>
      </c>
      <c r="C723" s="5">
        <v>104.13043478260867</v>
      </c>
      <c r="D723" s="5">
        <v>105.27472527472528</v>
      </c>
      <c r="E723" s="5">
        <v>4.130434782608674</v>
      </c>
      <c r="F723" s="5">
        <v>5.274725274725284</v>
      </c>
      <c r="G723" s="5">
        <v>-0.6455302382834316</v>
      </c>
      <c r="H723" s="5">
        <v>-5.9202555130087156</v>
      </c>
      <c r="I723" s="9" t="b">
        <v>1</v>
      </c>
      <c r="J723" s="9" t="b">
        <v>1</v>
      </c>
    </row>
    <row r="724" ht="15.75" customHeight="1">
      <c r="A724" s="5">
        <v>5.0</v>
      </c>
      <c r="B724" s="5">
        <v>20143.0</v>
      </c>
      <c r="C724" s="5">
        <v>110.67980741146148</v>
      </c>
      <c r="D724" s="5">
        <v>111.78993587095458</v>
      </c>
      <c r="E724" s="5">
        <v>10.679807411461482</v>
      </c>
      <c r="F724" s="5">
        <v>11.78993587095458</v>
      </c>
      <c r="G724" s="5">
        <v>4.980024924144955</v>
      </c>
      <c r="H724" s="5">
        <v>-6.809910946809625</v>
      </c>
      <c r="I724" s="9" t="b">
        <v>1</v>
      </c>
      <c r="J724" s="9" t="b">
        <v>0</v>
      </c>
    </row>
    <row r="725" ht="15.75" customHeight="1">
      <c r="A725" s="5">
        <v>6.0</v>
      </c>
      <c r="B725" s="5">
        <v>20143.0</v>
      </c>
      <c r="C725" s="5">
        <v>99.32433167679096</v>
      </c>
      <c r="D725" s="5">
        <v>97.1968282361064</v>
      </c>
      <c r="E725" s="5">
        <v>-0.6756683232090381</v>
      </c>
      <c r="F725" s="5">
        <v>-2.8031717638936016</v>
      </c>
      <c r="G725" s="5">
        <v>-0.07464585155785297</v>
      </c>
      <c r="H725" s="5">
        <v>2.7285259123357486</v>
      </c>
      <c r="I725" s="9" t="b">
        <v>1</v>
      </c>
      <c r="J725" s="9" t="b">
        <v>0</v>
      </c>
    </row>
    <row r="726" ht="15.75" customHeight="1">
      <c r="A726" s="5">
        <v>7.0</v>
      </c>
      <c r="B726" s="5">
        <v>20143.0</v>
      </c>
      <c r="C726" s="5">
        <v>98.8322147523738</v>
      </c>
      <c r="D726" s="5">
        <v>101.06596372929404</v>
      </c>
      <c r="E726" s="5">
        <v>-1.167785247626199</v>
      </c>
      <c r="F726" s="5">
        <v>1.0659637292940403</v>
      </c>
      <c r="G726" s="5">
        <v>1.9673987197920129</v>
      </c>
      <c r="H726" s="5">
        <v>0.9014349904979726</v>
      </c>
      <c r="I726" s="9" t="b">
        <v>1</v>
      </c>
      <c r="J726" s="9" t="b">
        <v>0</v>
      </c>
    </row>
    <row r="727" ht="15.75" customHeight="1">
      <c r="A727" s="5">
        <v>8.0</v>
      </c>
      <c r="B727" s="5">
        <v>20143.0</v>
      </c>
      <c r="C727" s="5">
        <v>102.6651147568124</v>
      </c>
      <c r="D727" s="5">
        <v>106.3501211836766</v>
      </c>
      <c r="E727" s="5">
        <v>2.6651147568124003</v>
      </c>
      <c r="F727" s="5">
        <v>6.350121183676606</v>
      </c>
      <c r="G727" s="5">
        <v>1.1392089802489735</v>
      </c>
      <c r="H727" s="5">
        <v>-5.2109122034276325</v>
      </c>
      <c r="I727" s="9" t="b">
        <v>1</v>
      </c>
      <c r="J727" s="9" t="b">
        <v>0</v>
      </c>
    </row>
    <row r="728" ht="15.75" customHeight="1">
      <c r="A728" s="5">
        <v>9.0</v>
      </c>
      <c r="B728" s="5">
        <v>20143.0</v>
      </c>
      <c r="C728" s="5">
        <v>98.61483947170622</v>
      </c>
      <c r="D728" s="5">
        <v>99.3509303331891</v>
      </c>
      <c r="E728" s="5">
        <v>-1.3851605282937811</v>
      </c>
      <c r="F728" s="5">
        <v>-0.6490696668109024</v>
      </c>
      <c r="G728" s="5">
        <v>0.08681416807223563</v>
      </c>
      <c r="H728" s="5">
        <v>0.735883834883138</v>
      </c>
      <c r="I728" s="9" t="b">
        <v>1</v>
      </c>
      <c r="J728" s="9" t="b">
        <v>1</v>
      </c>
    </row>
    <row r="729" ht="15.75" customHeight="1">
      <c r="A729" s="5">
        <v>10.0</v>
      </c>
      <c r="B729" s="5">
        <v>20143.0</v>
      </c>
      <c r="C729" s="5">
        <v>97.38788910139226</v>
      </c>
      <c r="D729" s="5">
        <v>105.08900240007976</v>
      </c>
      <c r="E729" s="5">
        <v>-2.612110898607739</v>
      </c>
      <c r="F729" s="5">
        <v>5.089002400079764</v>
      </c>
      <c r="G729" s="5">
        <v>1.4270227572684924</v>
      </c>
      <c r="H729" s="5">
        <v>-3.6619796428112714</v>
      </c>
      <c r="I729" s="9" t="b">
        <v>1</v>
      </c>
      <c r="J729" s="9" t="b">
        <v>0</v>
      </c>
    </row>
    <row r="730" ht="15.75" customHeight="1">
      <c r="A730" s="5">
        <v>11.0</v>
      </c>
      <c r="B730" s="5">
        <v>20143.0</v>
      </c>
      <c r="C730" s="5">
        <v>103.06262602603786</v>
      </c>
      <c r="D730" s="5">
        <v>98.6489574793175</v>
      </c>
      <c r="E730" s="5">
        <v>3.0626260260378615</v>
      </c>
      <c r="F730" s="5">
        <v>-1.3510425206824976</v>
      </c>
      <c r="G730" s="5">
        <v>0.6508627020565871</v>
      </c>
      <c r="H730" s="5">
        <v>2.0019052227390848</v>
      </c>
      <c r="I730" s="9" t="b">
        <v>1</v>
      </c>
      <c r="J730" s="9" t="b">
        <v>1</v>
      </c>
    </row>
    <row r="731" ht="15.75" customHeight="1">
      <c r="A731" s="5">
        <v>12.0</v>
      </c>
      <c r="B731" s="5">
        <v>20143.0</v>
      </c>
      <c r="C731" s="5">
        <v>102.493321460374</v>
      </c>
      <c r="D731" s="5">
        <v>103.69369369369367</v>
      </c>
      <c r="E731" s="5">
        <v>2.4933214603740055</v>
      </c>
      <c r="F731" s="5">
        <v>3.6936936936936746</v>
      </c>
      <c r="G731" s="5">
        <v>1.7648138294997118</v>
      </c>
      <c r="H731" s="5">
        <v>-1.9288798641939628</v>
      </c>
      <c r="I731" s="9" t="b">
        <v>1</v>
      </c>
      <c r="J731" s="9" t="b">
        <v>0</v>
      </c>
    </row>
    <row r="732" ht="15.75" customHeight="1">
      <c r="A732" s="5">
        <v>13.0</v>
      </c>
      <c r="B732" s="5">
        <v>20143.0</v>
      </c>
      <c r="C732" s="5">
        <v>103.60252592045948</v>
      </c>
      <c r="D732" s="5">
        <v>98.29828503241517</v>
      </c>
      <c r="E732" s="5">
        <v>3.6025259204594846</v>
      </c>
      <c r="F732" s="5">
        <v>-1.7017149675848344</v>
      </c>
      <c r="G732" s="5">
        <v>0.30750080290999904</v>
      </c>
      <c r="H732" s="5">
        <v>2.0092157704948335</v>
      </c>
      <c r="I732" s="9" t="b">
        <v>1</v>
      </c>
      <c r="J732" s="9" t="b">
        <v>1</v>
      </c>
    </row>
    <row r="733" ht="15.75" customHeight="1">
      <c r="A733" s="5">
        <v>14.0</v>
      </c>
      <c r="B733" s="5">
        <v>20143.0</v>
      </c>
      <c r="C733" s="5">
        <v>102.44391837022285</v>
      </c>
      <c r="D733" s="5">
        <v>102.16080870291611</v>
      </c>
      <c r="E733" s="5">
        <v>2.443918370222846</v>
      </c>
      <c r="F733" s="5">
        <v>2.160808702916114</v>
      </c>
      <c r="G733" s="5">
        <v>3.3883793350543367</v>
      </c>
      <c r="H733" s="5">
        <v>1.2275706321382227</v>
      </c>
      <c r="I733" s="9" t="b">
        <v>1</v>
      </c>
      <c r="J733" s="9" t="b">
        <v>0</v>
      </c>
    </row>
    <row r="734" ht="15.75" customHeight="1">
      <c r="A734" s="5">
        <v>15.0</v>
      </c>
      <c r="B734" s="5">
        <v>20143.0</v>
      </c>
      <c r="C734" s="5">
        <v>96.77765843179375</v>
      </c>
      <c r="D734" s="5">
        <v>101.92307692307692</v>
      </c>
      <c r="E734" s="5">
        <v>-3.2223415682062466</v>
      </c>
      <c r="F734" s="5">
        <v>1.9230769230769198</v>
      </c>
      <c r="G734" s="5">
        <v>0.9507205190224965</v>
      </c>
      <c r="H734" s="5">
        <v>-0.9723564040544233</v>
      </c>
      <c r="I734" s="9" t="b">
        <v>1</v>
      </c>
      <c r="J734" s="9" t="b">
        <v>0</v>
      </c>
    </row>
    <row r="735" ht="15.75" customHeight="1">
      <c r="A735" s="5">
        <v>16.0</v>
      </c>
      <c r="B735" s="5">
        <v>20143.0</v>
      </c>
      <c r="C735" s="5">
        <v>97.66145255621966</v>
      </c>
      <c r="D735" s="5">
        <v>103.93008843922148</v>
      </c>
      <c r="E735" s="5">
        <v>-2.3385474437803424</v>
      </c>
      <c r="F735" s="5">
        <v>3.9300884392214783</v>
      </c>
      <c r="G735" s="5">
        <v>8.547522578836443</v>
      </c>
      <c r="H735" s="5">
        <v>4.617434139614964</v>
      </c>
      <c r="I735" s="9" t="b">
        <v>1</v>
      </c>
      <c r="J735" s="9" t="b">
        <v>0</v>
      </c>
    </row>
    <row r="736" ht="15.75" customHeight="1">
      <c r="A736" s="5">
        <v>17.0</v>
      </c>
      <c r="B736" s="5">
        <v>20143.0</v>
      </c>
      <c r="C736" s="5">
        <v>98.29738933030649</v>
      </c>
      <c r="D736" s="5">
        <v>100.93240093240092</v>
      </c>
      <c r="E736" s="5">
        <v>-1.702610669693513</v>
      </c>
      <c r="F736" s="5">
        <v>0.9324009324009239</v>
      </c>
      <c r="G736" s="5">
        <v>-0.768546312124474</v>
      </c>
      <c r="H736" s="5">
        <v>-1.700947244525398</v>
      </c>
      <c r="I736" s="9" t="b">
        <v>1</v>
      </c>
      <c r="J736" s="9" t="b">
        <v>1</v>
      </c>
    </row>
    <row r="737" ht="15.75" customHeight="1">
      <c r="A737" s="5">
        <v>1.0</v>
      </c>
      <c r="B737" s="5">
        <v>20153.0</v>
      </c>
      <c r="C737" s="5">
        <v>101.30010834236188</v>
      </c>
      <c r="D737" s="5">
        <v>99.8931623931624</v>
      </c>
      <c r="E737" s="5">
        <v>1.3001083423618809</v>
      </c>
      <c r="F737" s="5">
        <v>-0.10683760683760113</v>
      </c>
      <c r="G737" s="5">
        <v>0.29887024919375005</v>
      </c>
      <c r="H737" s="5">
        <v>0.4057078560313512</v>
      </c>
      <c r="I737" s="9" t="b">
        <v>1</v>
      </c>
      <c r="J737" s="9" t="b">
        <v>1</v>
      </c>
    </row>
    <row r="738" ht="15.75" customHeight="1">
      <c r="A738" s="5">
        <v>2.0</v>
      </c>
      <c r="B738" s="5">
        <v>20153.0</v>
      </c>
      <c r="C738" s="5">
        <v>101.1578947368421</v>
      </c>
      <c r="D738" s="5">
        <v>100.31315240083508</v>
      </c>
      <c r="E738" s="5">
        <v>1.1578947368420955</v>
      </c>
      <c r="F738" s="5">
        <v>0.31315240083507945</v>
      </c>
      <c r="G738" s="5">
        <v>2.9816982948687842</v>
      </c>
      <c r="H738" s="5">
        <v>2.668545894033705</v>
      </c>
      <c r="I738" s="9" t="b">
        <v>1</v>
      </c>
      <c r="J738" s="9" t="b">
        <v>0</v>
      </c>
    </row>
    <row r="739" ht="15.75" customHeight="1">
      <c r="A739" s="5">
        <v>5.0</v>
      </c>
      <c r="B739" s="5">
        <v>20153.0</v>
      </c>
      <c r="C739" s="5">
        <v>98.78719025751217</v>
      </c>
      <c r="D739" s="5">
        <v>92.57017142571318</v>
      </c>
      <c r="E739" s="5">
        <v>-1.2128097424878348</v>
      </c>
      <c r="F739" s="5">
        <v>-7.429828574286816</v>
      </c>
      <c r="G739" s="5">
        <v>-1.5684481616573653</v>
      </c>
      <c r="H739" s="5">
        <v>5.861380412629451</v>
      </c>
      <c r="I739" s="9" t="b">
        <v>1</v>
      </c>
      <c r="J739" s="9" t="b">
        <v>0</v>
      </c>
    </row>
    <row r="740" ht="15.75" customHeight="1">
      <c r="A740" s="5">
        <v>6.0</v>
      </c>
      <c r="B740" s="5">
        <v>20153.0</v>
      </c>
      <c r="C740" s="5">
        <v>100.25049349472836</v>
      </c>
      <c r="D740" s="5">
        <v>98.99397442135826</v>
      </c>
      <c r="E740" s="5">
        <v>0.25049349472836013</v>
      </c>
      <c r="F740" s="5">
        <v>-1.00602557864174</v>
      </c>
      <c r="G740" s="5">
        <v>-5.057096085782343</v>
      </c>
      <c r="H740" s="5">
        <v>-4.051070507140603</v>
      </c>
      <c r="I740" s="9" t="b">
        <v>1</v>
      </c>
      <c r="J740" s="9" t="b">
        <v>0</v>
      </c>
    </row>
    <row r="741" ht="15.75" customHeight="1">
      <c r="A741" s="5">
        <v>7.0</v>
      </c>
      <c r="B741" s="5">
        <v>20153.0</v>
      </c>
      <c r="C741" s="5">
        <v>96.51653025141592</v>
      </c>
      <c r="D741" s="5">
        <v>97.8256698833898</v>
      </c>
      <c r="E741" s="5">
        <v>-3.483469748584085</v>
      </c>
      <c r="F741" s="5">
        <v>-2.174330116610193</v>
      </c>
      <c r="G741" s="5">
        <v>2.882445523946875</v>
      </c>
      <c r="H741" s="5">
        <v>5.056775640557068</v>
      </c>
      <c r="I741" s="9" t="b">
        <v>1</v>
      </c>
      <c r="J741" s="9" t="b">
        <v>1</v>
      </c>
    </row>
    <row r="742" ht="15.75" customHeight="1">
      <c r="A742" s="5">
        <v>8.0</v>
      </c>
      <c r="B742" s="5">
        <v>20153.0</v>
      </c>
      <c r="C742" s="5">
        <v>103.6293677204659</v>
      </c>
      <c r="D742" s="5">
        <v>101.12645124382712</v>
      </c>
      <c r="E742" s="5">
        <v>3.6293677204658934</v>
      </c>
      <c r="F742" s="5">
        <v>1.1264512438271197</v>
      </c>
      <c r="G742" s="5">
        <v>2.217355838890467</v>
      </c>
      <c r="H742" s="5">
        <v>1.0909045950633471</v>
      </c>
      <c r="I742" s="9" t="b">
        <v>1</v>
      </c>
      <c r="J742" s="9" t="b">
        <v>0</v>
      </c>
    </row>
    <row r="743" ht="15.75" customHeight="1">
      <c r="A743" s="5">
        <v>9.0</v>
      </c>
      <c r="B743" s="5">
        <v>20153.0</v>
      </c>
      <c r="C743" s="5">
        <v>101.21002592912706</v>
      </c>
      <c r="D743" s="5">
        <v>102.00348432055748</v>
      </c>
      <c r="E743" s="5">
        <v>1.210025929127056</v>
      </c>
      <c r="F743" s="5">
        <v>2.003484320557476</v>
      </c>
      <c r="G743" s="5">
        <v>-0.3122599192089348</v>
      </c>
      <c r="H743" s="5">
        <v>-2.3157442397664108</v>
      </c>
      <c r="I743" s="9" t="b">
        <v>1</v>
      </c>
      <c r="J743" s="9" t="b">
        <v>1</v>
      </c>
    </row>
    <row r="744" ht="15.75" customHeight="1">
      <c r="A744" s="5">
        <v>10.0</v>
      </c>
      <c r="B744" s="5">
        <v>20153.0</v>
      </c>
      <c r="C744" s="5">
        <v>99.96456069505444</v>
      </c>
      <c r="D744" s="5">
        <v>99.81970975911256</v>
      </c>
      <c r="E744" s="5">
        <v>-0.03543930494555525</v>
      </c>
      <c r="F744" s="5">
        <v>-0.1802902408874445</v>
      </c>
      <c r="G744" s="5">
        <v>0.5627532354464115</v>
      </c>
      <c r="H744" s="5">
        <v>0.743043476333856</v>
      </c>
      <c r="I744" s="9" t="b">
        <v>1</v>
      </c>
      <c r="J744" s="9" t="b">
        <v>1</v>
      </c>
    </row>
    <row r="745" ht="15.75" customHeight="1">
      <c r="A745" s="5">
        <v>11.0</v>
      </c>
      <c r="B745" s="5">
        <v>20153.0</v>
      </c>
      <c r="C745" s="5">
        <v>104.65175593622564</v>
      </c>
      <c r="D745" s="5">
        <v>101.52855889410468</v>
      </c>
      <c r="E745" s="5">
        <v>4.651755936225641</v>
      </c>
      <c r="F745" s="5">
        <v>1.5285588941046768</v>
      </c>
      <c r="G745" s="5">
        <v>1.8335729717219085</v>
      </c>
      <c r="H745" s="5">
        <v>0.30501407761723165</v>
      </c>
      <c r="I745" s="9" t="b">
        <v>1</v>
      </c>
      <c r="J745" s="9" t="b">
        <v>0</v>
      </c>
    </row>
    <row r="746" ht="15.75" customHeight="1">
      <c r="A746" s="5">
        <v>12.0</v>
      </c>
      <c r="B746" s="5">
        <v>20153.0</v>
      </c>
      <c r="C746" s="5">
        <v>99.647577092511</v>
      </c>
      <c r="D746" s="5">
        <v>98.26238053866204</v>
      </c>
      <c r="E746" s="5">
        <v>-0.3524229074890002</v>
      </c>
      <c r="F746" s="5">
        <v>-1.7376194613379567</v>
      </c>
      <c r="G746" s="5">
        <v>-1.8763456084777919</v>
      </c>
      <c r="H746" s="5">
        <v>-0.1387261471398351</v>
      </c>
      <c r="I746" s="9" t="b">
        <v>1</v>
      </c>
      <c r="J746" s="9" t="b">
        <v>0</v>
      </c>
    </row>
    <row r="747" ht="15.75" customHeight="1">
      <c r="A747" s="5">
        <v>13.0</v>
      </c>
      <c r="B747" s="5">
        <v>20153.0</v>
      </c>
      <c r="C747" s="5">
        <v>104.13201796937908</v>
      </c>
      <c r="D747" s="5">
        <v>102.08515537467837</v>
      </c>
      <c r="E747" s="5">
        <v>4.132017969379078</v>
      </c>
      <c r="F747" s="5">
        <v>2.085155374678365</v>
      </c>
      <c r="G747" s="5">
        <v>1.2207300332830906</v>
      </c>
      <c r="H747" s="5">
        <v>-0.8644253413952745</v>
      </c>
      <c r="I747" s="9" t="b">
        <v>1</v>
      </c>
      <c r="J747" s="9" t="b">
        <v>0</v>
      </c>
    </row>
    <row r="748" ht="15.75" customHeight="1">
      <c r="A748" s="5">
        <v>14.0</v>
      </c>
      <c r="B748" s="5">
        <v>20153.0</v>
      </c>
      <c r="C748" s="5">
        <v>97.260593507165</v>
      </c>
      <c r="D748" s="5">
        <v>98.28236296883112</v>
      </c>
      <c r="E748" s="5">
        <v>-2.739406492835002</v>
      </c>
      <c r="F748" s="5">
        <v>-1.7176370311688771</v>
      </c>
      <c r="G748" s="5">
        <v>1.3609179819331185</v>
      </c>
      <c r="H748" s="5">
        <v>3.0785550131019956</v>
      </c>
      <c r="I748" s="9" t="b">
        <v>1</v>
      </c>
      <c r="J748" s="9" t="b">
        <v>1</v>
      </c>
    </row>
    <row r="749" ht="15.75" customHeight="1">
      <c r="A749" s="5">
        <v>15.0</v>
      </c>
      <c r="B749" s="5">
        <v>20153.0</v>
      </c>
      <c r="C749" s="5">
        <v>102.76548672566372</v>
      </c>
      <c r="D749" s="5">
        <v>103.10765815760269</v>
      </c>
      <c r="E749" s="5">
        <v>2.7654867256637203</v>
      </c>
      <c r="F749" s="5">
        <v>3.1076581576026854</v>
      </c>
      <c r="G749" s="5">
        <v>1.6433212507493966</v>
      </c>
      <c r="H749" s="5">
        <v>-1.4643369068532888</v>
      </c>
      <c r="I749" s="9" t="b">
        <v>1</v>
      </c>
      <c r="J749" s="9" t="b">
        <v>0</v>
      </c>
    </row>
    <row r="750" ht="15.75" customHeight="1">
      <c r="A750" s="5">
        <v>16.0</v>
      </c>
      <c r="B750" s="5">
        <v>20153.0</v>
      </c>
      <c r="C750" s="5">
        <v>103.49651188587832</v>
      </c>
      <c r="D750" s="5">
        <v>98.747303940436</v>
      </c>
      <c r="E750" s="5">
        <v>3.49651188587832</v>
      </c>
      <c r="F750" s="5">
        <v>-1.252696059564002</v>
      </c>
      <c r="G750" s="5">
        <v>-3.302910326000552</v>
      </c>
      <c r="H750" s="5">
        <v>-2.05021426643655</v>
      </c>
      <c r="I750" s="9" t="b">
        <v>1</v>
      </c>
      <c r="J750" s="9" t="b">
        <v>0</v>
      </c>
    </row>
    <row r="751" ht="15.75" customHeight="1">
      <c r="A751" s="5">
        <v>17.0</v>
      </c>
      <c r="B751" s="5">
        <v>20153.0</v>
      </c>
      <c r="C751" s="5">
        <v>102.94324577861164</v>
      </c>
      <c r="D751" s="5">
        <v>101.3741339491917</v>
      </c>
      <c r="E751" s="5">
        <v>2.94324577861164</v>
      </c>
      <c r="F751" s="5">
        <v>1.3741339491917017</v>
      </c>
      <c r="G751" s="5">
        <v>0.5218915167366722</v>
      </c>
      <c r="H751" s="5">
        <v>-0.8522424324550295</v>
      </c>
      <c r="I751" s="9" t="b">
        <v>1</v>
      </c>
      <c r="J751" s="9" t="b">
        <v>0</v>
      </c>
    </row>
    <row r="752" ht="15.75" customHeight="1">
      <c r="A752" s="5">
        <v>1.0</v>
      </c>
      <c r="B752" s="5">
        <v>20163.0</v>
      </c>
      <c r="C752" s="5">
        <v>101.82207931404072</v>
      </c>
      <c r="D752" s="5">
        <v>101.60427807486631</v>
      </c>
      <c r="E752" s="5">
        <v>1.822079314040721</v>
      </c>
      <c r="F752" s="5">
        <v>1.6042780748663148</v>
      </c>
      <c r="G752" s="5">
        <v>0.07197575741448858</v>
      </c>
      <c r="H752" s="5">
        <v>-1.5323023174518262</v>
      </c>
      <c r="I752" s="9" t="b">
        <v>1</v>
      </c>
      <c r="J752" s="9" t="b">
        <v>0</v>
      </c>
    </row>
    <row r="753" ht="15.75" customHeight="1">
      <c r="A753" s="5">
        <v>2.0</v>
      </c>
      <c r="B753" s="5">
        <v>20163.0</v>
      </c>
      <c r="C753" s="5">
        <v>101.42131979695432</v>
      </c>
      <c r="D753" s="5">
        <v>103.95421436004165</v>
      </c>
      <c r="E753" s="5">
        <v>1.4213197969543216</v>
      </c>
      <c r="F753" s="5">
        <v>3.9542143600416466</v>
      </c>
      <c r="G753" s="5">
        <v>4.063954630101785</v>
      </c>
      <c r="H753" s="5">
        <v>0.1097402700601382</v>
      </c>
      <c r="I753" s="9" t="b">
        <v>1</v>
      </c>
      <c r="J753" s="9" t="b">
        <v>0</v>
      </c>
    </row>
    <row r="754" ht="15.75" customHeight="1">
      <c r="A754" s="5">
        <v>5.0</v>
      </c>
      <c r="B754" s="5">
        <v>20163.0</v>
      </c>
      <c r="C754" s="5">
        <v>102.787448313156</v>
      </c>
      <c r="D754" s="5">
        <v>101.96398643246978</v>
      </c>
      <c r="E754" s="5">
        <v>2.7874483131560055</v>
      </c>
      <c r="F754" s="5">
        <v>1.963986432469781</v>
      </c>
      <c r="G754" s="5">
        <v>3.707179326780352</v>
      </c>
      <c r="H754" s="5">
        <v>1.743192894310571</v>
      </c>
      <c r="I754" s="9" t="b">
        <v>1</v>
      </c>
      <c r="J754" s="9" t="b">
        <v>0</v>
      </c>
    </row>
    <row r="755" ht="15.75" customHeight="1">
      <c r="A755" s="5">
        <v>6.0</v>
      </c>
      <c r="B755" s="5">
        <v>20163.0</v>
      </c>
      <c r="C755" s="5">
        <v>100.19976628302454</v>
      </c>
      <c r="D755" s="5">
        <v>94.24994709572763</v>
      </c>
      <c r="E755" s="5">
        <v>0.19976628302454458</v>
      </c>
      <c r="F755" s="5">
        <v>-5.750052904272366</v>
      </c>
      <c r="G755" s="5">
        <v>-0.7361066830749774</v>
      </c>
      <c r="H755" s="5">
        <v>5.013946221197388</v>
      </c>
      <c r="I755" s="9" t="b">
        <v>1</v>
      </c>
      <c r="J755" s="9" t="b">
        <v>0</v>
      </c>
    </row>
    <row r="756" ht="15.75" customHeight="1">
      <c r="A756" s="5">
        <v>7.0</v>
      </c>
      <c r="B756" s="5">
        <v>20163.0</v>
      </c>
      <c r="C756" s="5">
        <v>104.96940522234416</v>
      </c>
      <c r="D756" s="5">
        <v>108.8629812402002</v>
      </c>
      <c r="E756" s="5">
        <v>4.9694052223441645</v>
      </c>
      <c r="F756" s="5">
        <v>8.862981240200199</v>
      </c>
      <c r="G756" s="5">
        <v>0.10094560348414827</v>
      </c>
      <c r="H756" s="5">
        <v>-8.76203563671605</v>
      </c>
      <c r="I756" s="9" t="b">
        <v>1</v>
      </c>
      <c r="J756" s="9" t="b">
        <v>0</v>
      </c>
    </row>
    <row r="757" ht="15.75" customHeight="1">
      <c r="A757" s="5">
        <v>8.0</v>
      </c>
      <c r="B757" s="5">
        <v>20163.0</v>
      </c>
      <c r="C757" s="5">
        <v>100.43872768969986</v>
      </c>
      <c r="D757" s="5">
        <v>101.08379327646765</v>
      </c>
      <c r="E757" s="5">
        <v>0.43872768969986</v>
      </c>
      <c r="F757" s="5">
        <v>1.0837932764676452</v>
      </c>
      <c r="G757" s="5">
        <v>1.1537816246725008</v>
      </c>
      <c r="H757" s="5">
        <v>0.06998834820485555</v>
      </c>
      <c r="I757" s="9" t="b">
        <v>1</v>
      </c>
      <c r="J757" s="9" t="b">
        <v>0</v>
      </c>
    </row>
    <row r="758" ht="15.75" customHeight="1">
      <c r="A758" s="5">
        <v>9.0</v>
      </c>
      <c r="B758" s="5">
        <v>20163.0</v>
      </c>
      <c r="C758" s="5">
        <v>101.5940488841658</v>
      </c>
      <c r="D758" s="5">
        <v>102.04953031596924</v>
      </c>
      <c r="E758" s="5">
        <v>1.594048884165801</v>
      </c>
      <c r="F758" s="5">
        <v>2.0495303159692355</v>
      </c>
      <c r="G758" s="5">
        <v>5.184338098197627</v>
      </c>
      <c r="H758" s="5">
        <v>3.1348077822283917</v>
      </c>
      <c r="I758" s="9" t="b">
        <v>1</v>
      </c>
      <c r="J758" s="9" t="b">
        <v>0</v>
      </c>
    </row>
    <row r="759" ht="15.75" customHeight="1">
      <c r="A759" s="5">
        <v>10.0</v>
      </c>
      <c r="B759" s="5">
        <v>20163.0</v>
      </c>
      <c r="C759" s="5">
        <v>103.49473659677903</v>
      </c>
      <c r="D759" s="5">
        <v>107.4492911371685</v>
      </c>
      <c r="E759" s="5">
        <v>3.4947365967790347</v>
      </c>
      <c r="F759" s="5">
        <v>7.449291137168501</v>
      </c>
      <c r="G759" s="5">
        <v>-1.4006448393638182</v>
      </c>
      <c r="H759" s="5">
        <v>-8.849935976532318</v>
      </c>
      <c r="I759" s="9" t="b">
        <v>1</v>
      </c>
      <c r="J759" s="9" t="b">
        <v>1</v>
      </c>
    </row>
    <row r="760" ht="15.75" customHeight="1">
      <c r="A760" s="5">
        <v>11.0</v>
      </c>
      <c r="B760" s="5">
        <v>20163.0</v>
      </c>
      <c r="C760" s="5">
        <v>101.4959339999963</v>
      </c>
      <c r="D760" s="5">
        <v>101.1092346665069</v>
      </c>
      <c r="E760" s="5">
        <v>1.4959339999962964</v>
      </c>
      <c r="F760" s="5">
        <v>1.109234666506893</v>
      </c>
      <c r="G760" s="5">
        <v>2.5568777823502753</v>
      </c>
      <c r="H760" s="5">
        <v>1.4476431158433822</v>
      </c>
      <c r="I760" s="9" t="b">
        <v>1</v>
      </c>
      <c r="J760" s="9" t="b">
        <v>0</v>
      </c>
    </row>
    <row r="761" ht="15.75" customHeight="1">
      <c r="A761" s="5">
        <v>12.0</v>
      </c>
      <c r="B761" s="5">
        <v>20163.0</v>
      </c>
      <c r="C761" s="5">
        <v>98.29059829059828</v>
      </c>
      <c r="D761" s="5">
        <v>101.67992926613616</v>
      </c>
      <c r="E761" s="5">
        <v>-1.7094017094017175</v>
      </c>
      <c r="F761" s="5">
        <v>1.6799292661361562</v>
      </c>
      <c r="G761" s="5">
        <v>3.0152807721490538</v>
      </c>
      <c r="H761" s="5">
        <v>1.3353515060128975</v>
      </c>
      <c r="I761" s="9" t="b">
        <v>1</v>
      </c>
      <c r="J761" s="9" t="b">
        <v>0</v>
      </c>
    </row>
    <row r="762" ht="15.75" customHeight="1">
      <c r="A762" s="5">
        <v>13.0</v>
      </c>
      <c r="B762" s="5">
        <v>20163.0</v>
      </c>
      <c r="C762" s="5">
        <v>100.84297780300726</v>
      </c>
      <c r="D762" s="5">
        <v>104.01186684856248</v>
      </c>
      <c r="E762" s="5">
        <v>0.8429778030072583</v>
      </c>
      <c r="F762" s="5">
        <v>4.011866848562477</v>
      </c>
      <c r="G762" s="5">
        <v>3.412001028129086</v>
      </c>
      <c r="H762" s="5">
        <v>-0.5998658204333909</v>
      </c>
      <c r="I762" s="9" t="b">
        <v>1</v>
      </c>
      <c r="J762" s="9" t="b">
        <v>0</v>
      </c>
    </row>
    <row r="763" ht="15.75" customHeight="1">
      <c r="A763" s="5">
        <v>14.0</v>
      </c>
      <c r="B763" s="5">
        <v>20163.0</v>
      </c>
      <c r="C763" s="5">
        <v>101.49576313713688</v>
      </c>
      <c r="D763" s="5">
        <v>105.74666664221712</v>
      </c>
      <c r="E763" s="5">
        <v>1.4957631371368763</v>
      </c>
      <c r="F763" s="5">
        <v>5.7466666422171215</v>
      </c>
      <c r="G763" s="5">
        <v>2.021035336354471</v>
      </c>
      <c r="H763" s="5">
        <v>-3.7256313058626507</v>
      </c>
      <c r="I763" s="9" t="b">
        <v>1</v>
      </c>
      <c r="J763" s="9" t="b">
        <v>0</v>
      </c>
    </row>
    <row r="764" ht="15.75" customHeight="1">
      <c r="A764" s="5">
        <v>15.0</v>
      </c>
      <c r="B764" s="5">
        <v>20163.0</v>
      </c>
      <c r="C764" s="5">
        <v>98.50905218317358</v>
      </c>
      <c r="D764" s="5">
        <v>99.56942949407966</v>
      </c>
      <c r="E764" s="5">
        <v>-1.49094781682642</v>
      </c>
      <c r="F764" s="5">
        <v>-0.4305705059203433</v>
      </c>
      <c r="G764" s="5">
        <v>2.320091807316582</v>
      </c>
      <c r="H764" s="5">
        <v>2.7506623132369254</v>
      </c>
      <c r="I764" s="9" t="b">
        <v>1</v>
      </c>
      <c r="J764" s="9" t="b">
        <v>1</v>
      </c>
    </row>
    <row r="765" ht="15.75" customHeight="1">
      <c r="A765" s="5">
        <v>16.0</v>
      </c>
      <c r="B765" s="5">
        <v>20163.0</v>
      </c>
      <c r="C765" s="5">
        <v>99.57501063892462</v>
      </c>
      <c r="D765" s="5">
        <v>102.98791211380484</v>
      </c>
      <c r="E765" s="5">
        <v>-0.4249893610753759</v>
      </c>
      <c r="F765" s="5">
        <v>2.987912113804839</v>
      </c>
      <c r="G765" s="5">
        <v>4.494448461072786</v>
      </c>
      <c r="H765" s="5">
        <v>1.5065363472679474</v>
      </c>
      <c r="I765" s="9" t="b">
        <v>1</v>
      </c>
      <c r="J765" s="9" t="b">
        <v>0</v>
      </c>
    </row>
    <row r="766" ht="15.75" customHeight="1">
      <c r="A766" s="5">
        <v>17.0</v>
      </c>
      <c r="B766" s="5">
        <v>20163.0</v>
      </c>
      <c r="C766" s="5">
        <v>97.1623282314825</v>
      </c>
      <c r="D766" s="5">
        <v>99.06595284200932</v>
      </c>
      <c r="E766" s="5">
        <v>-2.8376717685174953</v>
      </c>
      <c r="F766" s="5">
        <v>-0.9340471579906762</v>
      </c>
      <c r="G766" s="5">
        <v>3.224342215299747</v>
      </c>
      <c r="H766" s="5">
        <v>4.158389373290423</v>
      </c>
      <c r="I766" s="9" t="b">
        <v>1</v>
      </c>
      <c r="J766" s="9" t="b">
        <v>1</v>
      </c>
    </row>
    <row r="767" ht="15.75" customHeight="1">
      <c r="A767" s="5">
        <v>1.0</v>
      </c>
      <c r="B767" s="5">
        <v>20173.0</v>
      </c>
      <c r="C767" s="5">
        <v>102.5211390310972</v>
      </c>
      <c r="D767" s="5">
        <v>104.22563107889331</v>
      </c>
      <c r="E767" s="5">
        <v>2.5211390310972064</v>
      </c>
      <c r="F767" s="5">
        <v>4.225631078893315</v>
      </c>
      <c r="G767" s="5">
        <v>2.692600889650576</v>
      </c>
      <c r="H767" s="5">
        <v>-1.533030189242739</v>
      </c>
      <c r="I767" s="9" t="b">
        <v>1</v>
      </c>
      <c r="J767" s="9" t="b">
        <v>0</v>
      </c>
    </row>
    <row r="768" ht="15.75" customHeight="1">
      <c r="A768" s="5">
        <v>2.0</v>
      </c>
      <c r="B768" s="5">
        <v>20173.0</v>
      </c>
      <c r="C768" s="5">
        <v>101.1684518013632</v>
      </c>
      <c r="D768" s="5">
        <v>104.004004004004</v>
      </c>
      <c r="E768" s="5">
        <v>1.1684518013632044</v>
      </c>
      <c r="F768" s="5">
        <v>4.004004004004003</v>
      </c>
      <c r="G768" s="5">
        <v>7.247658419711023</v>
      </c>
      <c r="H768" s="5">
        <v>3.24365441570702</v>
      </c>
      <c r="I768" s="9" t="b">
        <v>1</v>
      </c>
      <c r="J768" s="9" t="b">
        <v>0</v>
      </c>
    </row>
    <row r="769" ht="15.75" customHeight="1">
      <c r="A769" s="5">
        <v>5.0</v>
      </c>
      <c r="B769" s="5">
        <v>20173.0</v>
      </c>
      <c r="C769" s="5">
        <v>111.0433190768152</v>
      </c>
      <c r="D769" s="5">
        <v>108.5194770664289</v>
      </c>
      <c r="E769" s="5">
        <v>11.043319076815195</v>
      </c>
      <c r="F769" s="5">
        <v>8.519477066428905</v>
      </c>
      <c r="G769" s="5">
        <v>5.257948948728863</v>
      </c>
      <c r="H769" s="5">
        <v>-3.261528117700042</v>
      </c>
      <c r="I769" s="9" t="b">
        <v>1</v>
      </c>
      <c r="J769" s="9" t="b">
        <v>0</v>
      </c>
    </row>
    <row r="770" ht="15.75" customHeight="1">
      <c r="A770" s="5">
        <v>6.0</v>
      </c>
      <c r="B770" s="5">
        <v>20173.0</v>
      </c>
      <c r="C770" s="5">
        <v>100.68466694597014</v>
      </c>
      <c r="D770" s="5">
        <v>100.55838127557875</v>
      </c>
      <c r="E770" s="5">
        <v>0.684666945970136</v>
      </c>
      <c r="F770" s="5">
        <v>0.5583812755787534</v>
      </c>
      <c r="G770" s="5">
        <v>0.8277364870654225</v>
      </c>
      <c r="H770" s="5">
        <v>0.2693552114866691</v>
      </c>
      <c r="I770" s="9" t="b">
        <v>1</v>
      </c>
      <c r="J770" s="9" t="b">
        <v>0</v>
      </c>
    </row>
    <row r="771" ht="15.75" customHeight="1">
      <c r="A771" s="5">
        <v>7.0</v>
      </c>
      <c r="B771" s="5">
        <v>20173.0</v>
      </c>
      <c r="C771" s="5">
        <v>96.96240644458972</v>
      </c>
      <c r="D771" s="5">
        <v>99.44614262044216</v>
      </c>
      <c r="E771" s="5">
        <v>-3.0375935554102824</v>
      </c>
      <c r="F771" s="5">
        <v>-0.5538573795578401</v>
      </c>
      <c r="G771" s="5">
        <v>7.056533934578946</v>
      </c>
      <c r="H771" s="5">
        <v>7.610391314136786</v>
      </c>
      <c r="I771" s="9" t="b">
        <v>1</v>
      </c>
      <c r="J771" s="9" t="b">
        <v>1</v>
      </c>
    </row>
    <row r="772" ht="15.75" customHeight="1">
      <c r="A772" s="5">
        <v>8.0</v>
      </c>
      <c r="B772" s="5">
        <v>20173.0</v>
      </c>
      <c r="C772" s="5">
        <v>101.55062024809924</v>
      </c>
      <c r="D772" s="5">
        <v>100.77434726496574</v>
      </c>
      <c r="E772" s="5">
        <v>1.5506202480992357</v>
      </c>
      <c r="F772" s="5">
        <v>0.7743472649657406</v>
      </c>
      <c r="G772" s="5">
        <v>3.024858060263247</v>
      </c>
      <c r="H772" s="5">
        <v>2.2505107952975063</v>
      </c>
      <c r="I772" s="9" t="b">
        <v>1</v>
      </c>
      <c r="J772" s="9" t="b">
        <v>0</v>
      </c>
    </row>
    <row r="773" ht="15.75" customHeight="1">
      <c r="A773" s="5">
        <v>9.0</v>
      </c>
      <c r="B773" s="5">
        <v>20173.0</v>
      </c>
      <c r="C773" s="5">
        <v>100.7902672351045</v>
      </c>
      <c r="D773" s="5">
        <v>101.39121338912136</v>
      </c>
      <c r="E773" s="5">
        <v>0.7902672351044941</v>
      </c>
      <c r="F773" s="5">
        <v>1.3912133891213614</v>
      </c>
      <c r="G773" s="5">
        <v>-0.42400922704581845</v>
      </c>
      <c r="H773" s="5">
        <v>-1.8152226161671798</v>
      </c>
      <c r="I773" s="9" t="b">
        <v>1</v>
      </c>
      <c r="J773" s="9" t="b">
        <v>1</v>
      </c>
    </row>
    <row r="774" ht="15.75" customHeight="1">
      <c r="A774" s="5">
        <v>10.0</v>
      </c>
      <c r="B774" s="5">
        <v>20173.0</v>
      </c>
      <c r="C774" s="5">
        <v>102.05821796479276</v>
      </c>
      <c r="D774" s="5">
        <v>103.66805972172864</v>
      </c>
      <c r="E774" s="5">
        <v>2.0582179647927603</v>
      </c>
      <c r="F774" s="5">
        <v>3.668059721728639</v>
      </c>
      <c r="G774" s="5">
        <v>7.374402112934364</v>
      </c>
      <c r="H774" s="5">
        <v>3.706342391205725</v>
      </c>
      <c r="I774" s="9" t="b">
        <v>1</v>
      </c>
      <c r="J774" s="9" t="b">
        <v>0</v>
      </c>
    </row>
    <row r="775" ht="15.75" customHeight="1">
      <c r="A775" s="5">
        <v>11.0</v>
      </c>
      <c r="B775" s="5">
        <v>20173.0</v>
      </c>
      <c r="C775" s="5">
        <v>100.09089948705558</v>
      </c>
      <c r="D775" s="5">
        <v>100.96067099497164</v>
      </c>
      <c r="E775" s="5">
        <v>0.09089948705558015</v>
      </c>
      <c r="F775" s="5">
        <v>0.9606709949716361</v>
      </c>
      <c r="G775" s="5">
        <v>4.963232680828589</v>
      </c>
      <c r="H775" s="5">
        <v>4.002561685856953</v>
      </c>
      <c r="I775" s="9" t="b">
        <v>1</v>
      </c>
      <c r="J775" s="9" t="b">
        <v>0</v>
      </c>
    </row>
    <row r="776" ht="15.75" customHeight="1">
      <c r="A776" s="5">
        <v>12.0</v>
      </c>
      <c r="B776" s="5">
        <v>20173.0</v>
      </c>
      <c r="C776" s="5">
        <v>98.58921161825724</v>
      </c>
      <c r="D776" s="5">
        <v>103.30434782608695</v>
      </c>
      <c r="E776" s="5">
        <v>-1.410788381742762</v>
      </c>
      <c r="F776" s="5">
        <v>3.3043478260869534</v>
      </c>
      <c r="G776" s="5">
        <v>7.750990952528247</v>
      </c>
      <c r="H776" s="5">
        <v>4.446643126441294</v>
      </c>
      <c r="I776" s="9" t="b">
        <v>1</v>
      </c>
      <c r="J776" s="9" t="b">
        <v>0</v>
      </c>
    </row>
    <row r="777" ht="15.75" customHeight="1">
      <c r="A777" s="5">
        <v>13.0</v>
      </c>
      <c r="B777" s="5">
        <v>20173.0</v>
      </c>
      <c r="C777" s="5">
        <v>101.9441144718591</v>
      </c>
      <c r="D777" s="5">
        <v>105.68022144436566</v>
      </c>
      <c r="E777" s="5">
        <v>1.9441144718590948</v>
      </c>
      <c r="F777" s="5">
        <v>5.680221444365657</v>
      </c>
      <c r="G777" s="5">
        <v>6.26119920895718</v>
      </c>
      <c r="H777" s="5">
        <v>0.5809777645915233</v>
      </c>
      <c r="I777" s="9" t="b">
        <v>1</v>
      </c>
      <c r="J777" s="9" t="b">
        <v>0</v>
      </c>
    </row>
    <row r="778" ht="15.75" customHeight="1">
      <c r="A778" s="5">
        <v>14.0</v>
      </c>
      <c r="B778" s="5">
        <v>20173.0</v>
      </c>
      <c r="C778" s="5">
        <v>100.8471604331145</v>
      </c>
      <c r="D778" s="5">
        <v>101.97722978798754</v>
      </c>
      <c r="E778" s="5">
        <v>0.847160433114496</v>
      </c>
      <c r="F778" s="5">
        <v>1.9772297879875396</v>
      </c>
      <c r="G778" s="5">
        <v>5.672150748761928</v>
      </c>
      <c r="H778" s="5">
        <v>3.6949209607743887</v>
      </c>
      <c r="I778" s="9" t="b">
        <v>1</v>
      </c>
      <c r="J778" s="9" t="b">
        <v>0</v>
      </c>
    </row>
    <row r="779" ht="15.75" customHeight="1">
      <c r="A779" s="5">
        <v>15.0</v>
      </c>
      <c r="B779" s="5">
        <v>20173.0</v>
      </c>
      <c r="C779" s="5">
        <v>104.320987654321</v>
      </c>
      <c r="D779" s="5">
        <v>109.62162162162164</v>
      </c>
      <c r="E779" s="5">
        <v>4.3209876543210015</v>
      </c>
      <c r="F779" s="5">
        <v>9.621621621621642</v>
      </c>
      <c r="G779" s="5">
        <v>6.393300177270733</v>
      </c>
      <c r="H779" s="5">
        <v>-3.228321444350909</v>
      </c>
      <c r="I779" s="9" t="b">
        <v>1</v>
      </c>
      <c r="J779" s="9" t="b">
        <v>0</v>
      </c>
    </row>
    <row r="780" ht="15.75" customHeight="1">
      <c r="A780" s="5">
        <v>16.0</v>
      </c>
      <c r="B780" s="5">
        <v>20173.0</v>
      </c>
      <c r="C780" s="5">
        <v>95.18735156435515</v>
      </c>
      <c r="D780" s="5">
        <v>105.00028065682886</v>
      </c>
      <c r="E780" s="5">
        <v>-4.812648435644846</v>
      </c>
      <c r="F780" s="5">
        <v>5.000280656828863</v>
      </c>
      <c r="G780" s="5">
        <v>2.5464796772498577</v>
      </c>
      <c r="H780" s="5">
        <v>-2.4538009795790057</v>
      </c>
      <c r="I780" s="9" t="b">
        <v>1</v>
      </c>
      <c r="J780" s="9" t="b">
        <v>0</v>
      </c>
    </row>
    <row r="781" ht="15.75" customHeight="1">
      <c r="A781" s="5">
        <v>17.0</v>
      </c>
      <c r="B781" s="5">
        <v>20173.0</v>
      </c>
      <c r="C781" s="5">
        <v>106.60262780170036</v>
      </c>
      <c r="D781" s="5">
        <v>111.0152926296424</v>
      </c>
      <c r="E781" s="5">
        <v>6.602627801700365</v>
      </c>
      <c r="F781" s="5">
        <v>11.015292629642403</v>
      </c>
      <c r="G781" s="5">
        <v>6.424506691917653</v>
      </c>
      <c r="H781" s="5">
        <v>-4.59078593772475</v>
      </c>
      <c r="I781" s="9" t="b">
        <v>1</v>
      </c>
      <c r="J781" s="9" t="b">
        <v>0</v>
      </c>
    </row>
    <row r="782" ht="15.75" customHeight="1">
      <c r="A782" s="5">
        <v>1.0</v>
      </c>
      <c r="B782" s="5">
        <v>20183.0</v>
      </c>
      <c r="C782" s="5">
        <v>98.78185343887574</v>
      </c>
      <c r="D782" s="5">
        <v>107.762158224465</v>
      </c>
      <c r="E782" s="5">
        <v>-1.2181465611242572</v>
      </c>
      <c r="F782" s="5">
        <v>7.762158224464997</v>
      </c>
      <c r="G782" s="5">
        <v>14.601451983930346</v>
      </c>
      <c r="H782" s="5">
        <v>6.839293759465349</v>
      </c>
      <c r="I782" s="9" t="b">
        <v>1</v>
      </c>
      <c r="J782" s="9" t="b">
        <v>0</v>
      </c>
    </row>
    <row r="783" ht="15.75" customHeight="1">
      <c r="A783" s="5">
        <v>2.0</v>
      </c>
      <c r="B783" s="5">
        <v>20183.0</v>
      </c>
      <c r="C783" s="5">
        <v>104.85981308411216</v>
      </c>
      <c r="D783" s="5">
        <v>107.98845043310877</v>
      </c>
      <c r="E783" s="5">
        <v>4.859813084112162</v>
      </c>
      <c r="F783" s="5">
        <v>7.988450433108767</v>
      </c>
      <c r="G783" s="5">
        <v>10.454608328222626</v>
      </c>
      <c r="H783" s="5">
        <v>2.4661578951138594</v>
      </c>
      <c r="I783" s="9" t="b">
        <v>1</v>
      </c>
      <c r="J783" s="9" t="b">
        <v>0</v>
      </c>
    </row>
    <row r="784" ht="15.75" customHeight="1">
      <c r="A784" s="5">
        <v>5.0</v>
      </c>
      <c r="B784" s="5">
        <v>20183.0</v>
      </c>
      <c r="C784" s="5">
        <v>99.20361492465244</v>
      </c>
      <c r="D784" s="5">
        <v>105.24895560966002</v>
      </c>
      <c r="E784" s="5">
        <v>-0.7963850753475583</v>
      </c>
      <c r="F784" s="5">
        <v>5.248955609660015</v>
      </c>
      <c r="G784" s="5">
        <v>12.893983610779669</v>
      </c>
      <c r="H784" s="5">
        <v>7.645028001119654</v>
      </c>
      <c r="I784" s="9" t="b">
        <v>1</v>
      </c>
      <c r="J784" s="9" t="b">
        <v>0</v>
      </c>
    </row>
    <row r="785" ht="15.75" customHeight="1">
      <c r="A785" s="5">
        <v>6.0</v>
      </c>
      <c r="B785" s="5">
        <v>20183.0</v>
      </c>
      <c r="C785" s="5">
        <v>100.80051032758956</v>
      </c>
      <c r="D785" s="5">
        <v>104.63334842025522</v>
      </c>
      <c r="E785" s="5">
        <v>0.8005103275895635</v>
      </c>
      <c r="F785" s="5">
        <v>4.633348420255217</v>
      </c>
      <c r="G785" s="5">
        <v>6.218059574143897</v>
      </c>
      <c r="H785" s="5">
        <v>1.58471115388868</v>
      </c>
      <c r="I785" s="9" t="b">
        <v>1</v>
      </c>
      <c r="J785" s="9" t="b">
        <v>0</v>
      </c>
    </row>
    <row r="786" ht="15.75" customHeight="1">
      <c r="A786" s="5">
        <v>7.0</v>
      </c>
      <c r="B786" s="5">
        <v>20183.0</v>
      </c>
      <c r="C786" s="5">
        <v>106.70368146555457</v>
      </c>
      <c r="D786" s="5">
        <v>111.91619124812648</v>
      </c>
      <c r="E786" s="5">
        <v>6.703681465554567</v>
      </c>
      <c r="F786" s="5">
        <v>11.91619124812648</v>
      </c>
      <c r="G786" s="5">
        <v>7.194765079374021</v>
      </c>
      <c r="H786" s="5">
        <v>-4.721426168752459</v>
      </c>
      <c r="I786" s="9" t="b">
        <v>1</v>
      </c>
      <c r="J786" s="9" t="b">
        <v>0</v>
      </c>
    </row>
    <row r="787" ht="15.75" customHeight="1">
      <c r="A787" s="5">
        <v>8.0</v>
      </c>
      <c r="B787" s="5">
        <v>20183.0</v>
      </c>
      <c r="C787" s="5">
        <v>103.11136958418145</v>
      </c>
      <c r="D787" s="5">
        <v>104.7975568909467</v>
      </c>
      <c r="E787" s="5">
        <v>3.111369584181446</v>
      </c>
      <c r="F787" s="5">
        <v>4.797556890946694</v>
      </c>
      <c r="G787" s="5">
        <v>6.585207277680882</v>
      </c>
      <c r="H787" s="5">
        <v>1.787650386734188</v>
      </c>
      <c r="I787" s="9" t="b">
        <v>1</v>
      </c>
      <c r="J787" s="9" t="b">
        <v>0</v>
      </c>
    </row>
    <row r="788" ht="15.75" customHeight="1">
      <c r="A788" s="5">
        <v>9.0</v>
      </c>
      <c r="B788" s="5">
        <v>20183.0</v>
      </c>
      <c r="C788" s="5">
        <v>102.98055311247924</v>
      </c>
      <c r="D788" s="5">
        <v>108.71763128030535</v>
      </c>
      <c r="E788" s="5">
        <v>2.9805531124792424</v>
      </c>
      <c r="F788" s="5">
        <v>8.717631280305355</v>
      </c>
      <c r="G788" s="5">
        <v>8.21081863710804</v>
      </c>
      <c r="H788" s="5">
        <v>-0.5068126431973141</v>
      </c>
      <c r="I788" s="9" t="b">
        <v>1</v>
      </c>
      <c r="J788" s="9" t="b">
        <v>0</v>
      </c>
    </row>
    <row r="789" ht="15.75" customHeight="1">
      <c r="A789" s="5">
        <v>10.0</v>
      </c>
      <c r="B789" s="5">
        <v>20183.0</v>
      </c>
      <c r="C789" s="5">
        <v>98.85969627721464</v>
      </c>
      <c r="D789" s="5">
        <v>100.63051332727528</v>
      </c>
      <c r="E789" s="5">
        <v>-1.1403037227853616</v>
      </c>
      <c r="F789" s="5">
        <v>0.6305133272752812</v>
      </c>
      <c r="G789" s="5">
        <v>14.024826671912827</v>
      </c>
      <c r="H789" s="5">
        <v>13.394313344637546</v>
      </c>
      <c r="I789" s="9" t="b">
        <v>1</v>
      </c>
      <c r="J789" s="9" t="b">
        <v>0</v>
      </c>
    </row>
    <row r="790" ht="15.75" customHeight="1">
      <c r="A790" s="5">
        <v>11.0</v>
      </c>
      <c r="B790" s="5">
        <v>20183.0</v>
      </c>
      <c r="C790" s="5">
        <v>101.8349230628578</v>
      </c>
      <c r="D790" s="5">
        <v>108.48123471200992</v>
      </c>
      <c r="E790" s="5">
        <v>1.834923062857797</v>
      </c>
      <c r="F790" s="5">
        <v>8.481234712009922</v>
      </c>
      <c r="G790" s="5">
        <v>8.75633667898661</v>
      </c>
      <c r="H790" s="5">
        <v>0.2751019669766883</v>
      </c>
      <c r="I790" s="9" t="b">
        <v>1</v>
      </c>
      <c r="J790" s="9" t="b">
        <v>0</v>
      </c>
    </row>
    <row r="791" ht="15.75" customHeight="1">
      <c r="A791" s="5">
        <v>12.0</v>
      </c>
      <c r="B791" s="5">
        <v>20183.0</v>
      </c>
      <c r="C791" s="5">
        <v>101.74050632911391</v>
      </c>
      <c r="D791" s="5">
        <v>108.24915824915824</v>
      </c>
      <c r="E791" s="5">
        <v>1.740506329113913</v>
      </c>
      <c r="F791" s="5">
        <v>8.249158249158242</v>
      </c>
      <c r="G791" s="5">
        <v>5.022909596611558</v>
      </c>
      <c r="H791" s="5">
        <v>-3.2262486525466842</v>
      </c>
      <c r="I791" s="9" t="b">
        <v>1</v>
      </c>
      <c r="J791" s="9" t="b">
        <v>0</v>
      </c>
    </row>
    <row r="792" ht="15.75" customHeight="1">
      <c r="A792" s="5">
        <v>13.0</v>
      </c>
      <c r="B792" s="5">
        <v>20183.0</v>
      </c>
      <c r="C792" s="5">
        <v>103.32523043373982</v>
      </c>
      <c r="D792" s="5">
        <v>109.90674946954198</v>
      </c>
      <c r="E792" s="5">
        <v>3.3252304337398186</v>
      </c>
      <c r="F792" s="5">
        <v>9.906749469541978</v>
      </c>
      <c r="G792" s="5">
        <v>13.668669950951085</v>
      </c>
      <c r="H792" s="5">
        <v>3.7619204814091063</v>
      </c>
      <c r="I792" s="9" t="b">
        <v>1</v>
      </c>
      <c r="J792" s="9" t="b">
        <v>0</v>
      </c>
    </row>
    <row r="793" ht="15.75" customHeight="1">
      <c r="A793" s="5">
        <v>14.0</v>
      </c>
      <c r="B793" s="5">
        <v>20183.0</v>
      </c>
      <c r="C793" s="5">
        <v>101.06599730158152</v>
      </c>
      <c r="D793" s="5">
        <v>105.2066946742822</v>
      </c>
      <c r="E793" s="5">
        <v>1.0659973015815183</v>
      </c>
      <c r="F793" s="5">
        <v>5.206694674282204</v>
      </c>
      <c r="G793" s="5">
        <v>7.3398371190432465</v>
      </c>
      <c r="H793" s="5">
        <v>2.1331424447610425</v>
      </c>
      <c r="I793" s="9" t="b">
        <v>1</v>
      </c>
      <c r="J793" s="9" t="b">
        <v>0</v>
      </c>
    </row>
    <row r="794" ht="15.75" customHeight="1">
      <c r="A794" s="5">
        <v>15.0</v>
      </c>
      <c r="B794" s="5">
        <v>20183.0</v>
      </c>
      <c r="C794" s="5">
        <v>102.10696920583467</v>
      </c>
      <c r="D794" s="5">
        <v>111.8343195266272</v>
      </c>
      <c r="E794" s="5">
        <v>2.106969205834673</v>
      </c>
      <c r="F794" s="5">
        <v>11.834319526627198</v>
      </c>
      <c r="G794" s="5">
        <v>10.69811352078971</v>
      </c>
      <c r="H794" s="5">
        <v>-1.1362060058374883</v>
      </c>
      <c r="I794" s="9" t="b">
        <v>1</v>
      </c>
      <c r="J794" s="9" t="b">
        <v>0</v>
      </c>
    </row>
    <row r="795" ht="15.75" customHeight="1">
      <c r="A795" s="5">
        <v>16.0</v>
      </c>
      <c r="B795" s="5">
        <v>20183.0</v>
      </c>
      <c r="C795" s="5">
        <v>99.71647619395507</v>
      </c>
      <c r="D795" s="5">
        <v>108.0514047060024</v>
      </c>
      <c r="E795" s="5">
        <v>-0.28352380604492566</v>
      </c>
      <c r="F795" s="5">
        <v>8.051404706002401</v>
      </c>
      <c r="G795" s="5">
        <v>5.367743380019263</v>
      </c>
      <c r="H795" s="5">
        <v>-2.683661325983138</v>
      </c>
      <c r="I795" s="9" t="b">
        <v>1</v>
      </c>
      <c r="J795" s="9" t="b">
        <v>0</v>
      </c>
    </row>
    <row r="796" ht="15.75" customHeight="1">
      <c r="A796" s="5">
        <v>17.0</v>
      </c>
      <c r="B796" s="5">
        <v>20183.0</v>
      </c>
      <c r="C796" s="5">
        <v>106.99100168100466</v>
      </c>
      <c r="D796" s="5">
        <v>112.06628689798032</v>
      </c>
      <c r="E796" s="5">
        <v>6.991001681004661</v>
      </c>
      <c r="F796" s="5">
        <v>12.06628689798032</v>
      </c>
      <c r="G796" s="5">
        <v>12.64270894007662</v>
      </c>
      <c r="H796" s="5">
        <v>0.5764220420963007</v>
      </c>
      <c r="I796" s="9" t="b">
        <v>1</v>
      </c>
      <c r="J796" s="9" t="b">
        <v>0</v>
      </c>
    </row>
    <row r="797" ht="15.75" customHeight="1">
      <c r="A797" s="5">
        <v>1.0</v>
      </c>
      <c r="B797" s="5">
        <v>20193.0</v>
      </c>
      <c r="C797" s="5">
        <v>102.03191643415484</v>
      </c>
      <c r="D797" s="5">
        <v>114.72213393482627</v>
      </c>
      <c r="E797" s="5">
        <v>2.0319164341548372</v>
      </c>
      <c r="F797" s="5">
        <v>14.722133934826275</v>
      </c>
      <c r="G797" s="5">
        <v>14.13666334347614</v>
      </c>
      <c r="H797" s="5">
        <v>-0.5854705913501341</v>
      </c>
      <c r="I797" s="9" t="b">
        <v>1</v>
      </c>
      <c r="J797" s="9" t="b">
        <v>0</v>
      </c>
    </row>
    <row r="798" ht="15.75" customHeight="1">
      <c r="A798" s="5">
        <v>2.0</v>
      </c>
      <c r="B798" s="5">
        <v>20193.0</v>
      </c>
      <c r="C798" s="5">
        <v>105.7518488085456</v>
      </c>
      <c r="D798" s="5">
        <v>114.70588235294116</v>
      </c>
      <c r="E798" s="5">
        <v>5.751848808545603</v>
      </c>
      <c r="F798" s="5">
        <v>14.70588235294116</v>
      </c>
      <c r="G798" s="5">
        <v>13.755486508259951</v>
      </c>
      <c r="H798" s="5">
        <v>-0.9503958446812089</v>
      </c>
      <c r="I798" s="9" t="b">
        <v>1</v>
      </c>
      <c r="J798" s="9" t="b">
        <v>0</v>
      </c>
    </row>
    <row r="799" ht="15.75" customHeight="1">
      <c r="A799" s="5">
        <v>5.0</v>
      </c>
      <c r="B799" s="5">
        <v>20193.0</v>
      </c>
      <c r="C799" s="5">
        <v>106.18272145677534</v>
      </c>
      <c r="D799" s="5">
        <v>114.31370023234162</v>
      </c>
      <c r="E799" s="5">
        <v>6.18272145677534</v>
      </c>
      <c r="F799" s="5">
        <v>14.313700232341617</v>
      </c>
      <c r="G799" s="5">
        <v>12.121947766620211</v>
      </c>
      <c r="H799" s="5">
        <v>-2.1917524657214056</v>
      </c>
      <c r="I799" s="9" t="b">
        <v>1</v>
      </c>
      <c r="J799" s="9" t="b">
        <v>0</v>
      </c>
    </row>
    <row r="800" ht="15.75" customHeight="1">
      <c r="A800" s="5">
        <v>6.0</v>
      </c>
      <c r="B800" s="5">
        <v>20193.0</v>
      </c>
      <c r="C800" s="5">
        <v>105.81748484274364</v>
      </c>
      <c r="D800" s="5">
        <v>109.67548240877332</v>
      </c>
      <c r="E800" s="5">
        <v>5.817484842743639</v>
      </c>
      <c r="F800" s="5">
        <v>9.67548240877332</v>
      </c>
      <c r="G800" s="5">
        <v>13.458947761250828</v>
      </c>
      <c r="H800" s="5">
        <v>3.783465352477508</v>
      </c>
      <c r="I800" s="9" t="b">
        <v>1</v>
      </c>
      <c r="J800" s="9" t="b">
        <v>0</v>
      </c>
    </row>
    <row r="801" ht="15.75" customHeight="1">
      <c r="A801" s="5">
        <v>7.0</v>
      </c>
      <c r="B801" s="5">
        <v>20193.0</v>
      </c>
      <c r="C801" s="5">
        <v>102.96991331868244</v>
      </c>
      <c r="D801" s="5">
        <v>109.73028870744548</v>
      </c>
      <c r="E801" s="5">
        <v>2.969913318682444</v>
      </c>
      <c r="F801" s="5">
        <v>9.730288707445482</v>
      </c>
      <c r="G801" s="5">
        <v>13.325292458882142</v>
      </c>
      <c r="H801" s="5">
        <v>3.5950037514366606</v>
      </c>
      <c r="I801" s="9" t="b">
        <v>1</v>
      </c>
      <c r="J801" s="9" t="b">
        <v>0</v>
      </c>
    </row>
    <row r="802" ht="15.75" customHeight="1">
      <c r="A802" s="5">
        <v>8.0</v>
      </c>
      <c r="B802" s="5">
        <v>20193.0</v>
      </c>
      <c r="C802" s="5">
        <v>103.59019264448337</v>
      </c>
      <c r="D802" s="5">
        <v>111.2051137431848</v>
      </c>
      <c r="E802" s="5">
        <v>3.5901926444833663</v>
      </c>
      <c r="F802" s="5">
        <v>11.205113743184796</v>
      </c>
      <c r="G802" s="5">
        <v>9.811580170410528</v>
      </c>
      <c r="H802" s="5">
        <v>-1.3935335727742686</v>
      </c>
      <c r="I802" s="9" t="b">
        <v>1</v>
      </c>
      <c r="J802" s="9" t="b">
        <v>0</v>
      </c>
    </row>
    <row r="803" ht="15.75" customHeight="1">
      <c r="A803" s="5">
        <v>9.0</v>
      </c>
      <c r="B803" s="5">
        <v>20193.0</v>
      </c>
      <c r="C803" s="5">
        <v>101.50421179302046</v>
      </c>
      <c r="D803" s="5">
        <v>112.0611121654963</v>
      </c>
      <c r="E803" s="5">
        <v>1.5042117930204597</v>
      </c>
      <c r="F803" s="5">
        <v>12.061112165496297</v>
      </c>
      <c r="G803" s="5">
        <v>13.236148917642577</v>
      </c>
      <c r="H803" s="5">
        <v>1.17503675214628</v>
      </c>
      <c r="I803" s="9" t="b">
        <v>1</v>
      </c>
      <c r="J803" s="9" t="b">
        <v>0</v>
      </c>
    </row>
    <row r="804" ht="15.75" customHeight="1">
      <c r="A804" s="5">
        <v>10.0</v>
      </c>
      <c r="B804" s="5">
        <v>20193.0</v>
      </c>
      <c r="C804" s="5">
        <v>106.24872699127104</v>
      </c>
      <c r="D804" s="5">
        <v>114.8193401197873</v>
      </c>
      <c r="E804" s="5">
        <v>6.248726991271042</v>
      </c>
      <c r="F804" s="5">
        <v>14.819340119787299</v>
      </c>
      <c r="G804" s="5">
        <v>7.364201730799258</v>
      </c>
      <c r="H804" s="5">
        <v>-7.455138388988041</v>
      </c>
      <c r="I804" s="9" t="b">
        <v>1</v>
      </c>
      <c r="J804" s="9" t="b">
        <v>0</v>
      </c>
    </row>
    <row r="805" ht="15.75" customHeight="1">
      <c r="A805" s="5">
        <v>11.0</v>
      </c>
      <c r="B805" s="5">
        <v>20193.0</v>
      </c>
      <c r="C805" s="5">
        <v>101.50570280258188</v>
      </c>
      <c r="D805" s="5">
        <v>107.26418803875532</v>
      </c>
      <c r="E805" s="5">
        <v>1.5057028025818795</v>
      </c>
      <c r="F805" s="5">
        <v>7.2641880387553215</v>
      </c>
      <c r="G805" s="5">
        <v>7.378044744045997</v>
      </c>
      <c r="H805" s="5">
        <v>0.11385670529067582</v>
      </c>
      <c r="I805" s="9" t="b">
        <v>1</v>
      </c>
      <c r="J805" s="9" t="b">
        <v>0</v>
      </c>
    </row>
    <row r="806" ht="15.75" customHeight="1">
      <c r="A806" s="5">
        <v>12.0</v>
      </c>
      <c r="B806" s="5">
        <v>20193.0</v>
      </c>
      <c r="C806" s="5">
        <v>102.28782287822878</v>
      </c>
      <c r="D806" s="5">
        <v>107.7760497667185</v>
      </c>
      <c r="E806" s="5">
        <v>2.2878228782287806</v>
      </c>
      <c r="F806" s="5">
        <v>7.776049766718501</v>
      </c>
      <c r="G806" s="5">
        <v>8.287124191812968</v>
      </c>
      <c r="H806" s="5">
        <v>0.511074425094467</v>
      </c>
      <c r="I806" s="9" t="b">
        <v>1</v>
      </c>
      <c r="J806" s="9" t="b">
        <v>0</v>
      </c>
    </row>
    <row r="807" ht="15.75" customHeight="1">
      <c r="A807" s="5">
        <v>13.0</v>
      </c>
      <c r="B807" s="5">
        <v>20193.0</v>
      </c>
      <c r="C807" s="5">
        <v>104.52322842656083</v>
      </c>
      <c r="D807" s="5">
        <v>115.78952257300097</v>
      </c>
      <c r="E807" s="5">
        <v>4.523228426560834</v>
      </c>
      <c r="F807" s="5">
        <v>15.789522573000966</v>
      </c>
      <c r="G807" s="5">
        <v>11.718285199694755</v>
      </c>
      <c r="H807" s="5">
        <v>-4.071237373306211</v>
      </c>
      <c r="I807" s="9" t="b">
        <v>1</v>
      </c>
      <c r="J807" s="9" t="b">
        <v>0</v>
      </c>
    </row>
    <row r="808" ht="15.75" customHeight="1">
      <c r="A808" s="5">
        <v>14.0</v>
      </c>
      <c r="B808" s="5">
        <v>20193.0</v>
      </c>
      <c r="C808" s="5">
        <v>104.17251698552754</v>
      </c>
      <c r="D808" s="5">
        <v>111.8447880260637</v>
      </c>
      <c r="E808" s="5">
        <v>4.172516985527537</v>
      </c>
      <c r="F808" s="5">
        <v>11.844788026063696</v>
      </c>
      <c r="G808" s="5">
        <v>10.236705998588347</v>
      </c>
      <c r="H808" s="5">
        <v>-1.6080820274753496</v>
      </c>
      <c r="I808" s="9" t="b">
        <v>1</v>
      </c>
      <c r="J808" s="9" t="b">
        <v>0</v>
      </c>
    </row>
    <row r="809" ht="15.75" customHeight="1">
      <c r="A809" s="5">
        <v>15.0</v>
      </c>
      <c r="B809" s="5">
        <v>20193.0</v>
      </c>
      <c r="C809" s="5">
        <v>104.15584415584416</v>
      </c>
      <c r="D809" s="5">
        <v>106.08465608465607</v>
      </c>
      <c r="E809" s="5">
        <v>4.155844155844164</v>
      </c>
      <c r="F809" s="5">
        <v>6.084656084656075</v>
      </c>
      <c r="G809" s="5">
        <v>9.08955140771701</v>
      </c>
      <c r="H809" s="5">
        <v>3.0048953230609357</v>
      </c>
      <c r="I809" s="9" t="b">
        <v>1</v>
      </c>
      <c r="J809" s="9" t="b">
        <v>0</v>
      </c>
    </row>
    <row r="810" ht="15.75" customHeight="1">
      <c r="A810" s="5">
        <v>16.0</v>
      </c>
      <c r="B810" s="5">
        <v>20193.0</v>
      </c>
      <c r="C810" s="5">
        <v>99.05893805226226</v>
      </c>
      <c r="D810" s="5">
        <v>112.76357287143968</v>
      </c>
      <c r="E810" s="5">
        <v>-0.9410619477377367</v>
      </c>
      <c r="F810" s="5">
        <v>12.763572871439678</v>
      </c>
      <c r="G810" s="5">
        <v>24.778355623588723</v>
      </c>
      <c r="H810" s="5">
        <v>12.014782752149046</v>
      </c>
      <c r="I810" s="9" t="b">
        <v>1</v>
      </c>
      <c r="J810" s="9" t="b">
        <v>0</v>
      </c>
    </row>
    <row r="811" ht="15.75" customHeight="1">
      <c r="A811" s="5">
        <v>17.0</v>
      </c>
      <c r="B811" s="5">
        <v>20193.0</v>
      </c>
      <c r="C811" s="5">
        <v>100.51465885846936</v>
      </c>
      <c r="D811" s="5">
        <v>112.12569316081328</v>
      </c>
      <c r="E811" s="5">
        <v>0.5146588584693603</v>
      </c>
      <c r="F811" s="5">
        <v>12.125693160813285</v>
      </c>
      <c r="G811" s="5">
        <v>9.713170910982027</v>
      </c>
      <c r="H811" s="5">
        <v>-2.412522249831257</v>
      </c>
      <c r="I811" s="9" t="b">
        <v>1</v>
      </c>
      <c r="J811" s="9" t="b">
        <v>0</v>
      </c>
    </row>
    <row r="812" ht="15.75" customHeight="1">
      <c r="A812" s="5">
        <v>1.0</v>
      </c>
      <c r="B812" s="5">
        <v>20203.0</v>
      </c>
      <c r="C812" s="5">
        <v>104.93482733458316</v>
      </c>
      <c r="D812" s="5">
        <v>108.08071475854696</v>
      </c>
      <c r="E812" s="5">
        <v>4.9348273345831615</v>
      </c>
      <c r="F812" s="5">
        <v>8.08071475854696</v>
      </c>
      <c r="G812" s="5">
        <v>9.999856458367828</v>
      </c>
      <c r="H812" s="5">
        <v>1.9191416998208677</v>
      </c>
      <c r="I812" s="9" t="b">
        <v>1</v>
      </c>
      <c r="J812" s="9" t="b">
        <v>0</v>
      </c>
    </row>
    <row r="813" ht="15.75" customHeight="1">
      <c r="A813" s="5">
        <v>2.0</v>
      </c>
      <c r="B813" s="5">
        <v>20203.0</v>
      </c>
      <c r="C813" s="5">
        <v>98.3187134502924</v>
      </c>
      <c r="D813" s="5">
        <v>104.50660450660452</v>
      </c>
      <c r="E813" s="5">
        <v>-1.6812865497075933</v>
      </c>
      <c r="F813" s="5">
        <v>4.506604506604518</v>
      </c>
      <c r="G813" s="5">
        <v>9.813588223417735</v>
      </c>
      <c r="H813" s="5">
        <v>5.3069837168132175</v>
      </c>
      <c r="I813" s="9" t="b">
        <v>1</v>
      </c>
      <c r="J813" s="9" t="b">
        <v>0</v>
      </c>
    </row>
    <row r="814" ht="15.75" customHeight="1">
      <c r="A814" s="5">
        <v>5.0</v>
      </c>
      <c r="B814" s="5">
        <v>20203.0</v>
      </c>
      <c r="C814" s="5">
        <v>101.35986219329835</v>
      </c>
      <c r="D814" s="5">
        <v>113.37127937720524</v>
      </c>
      <c r="E814" s="5">
        <v>1.3598621932983548</v>
      </c>
      <c r="F814" s="5">
        <v>13.37127937720524</v>
      </c>
      <c r="G814" s="5">
        <v>10.974062557048935</v>
      </c>
      <c r="H814" s="5">
        <v>-2.3972168201563058</v>
      </c>
      <c r="I814" s="9" t="b">
        <v>1</v>
      </c>
      <c r="J814" s="9" t="b">
        <v>0</v>
      </c>
    </row>
    <row r="815" ht="15.75" customHeight="1">
      <c r="A815" s="5">
        <v>6.0</v>
      </c>
      <c r="B815" s="5">
        <v>20203.0</v>
      </c>
      <c r="C815" s="5">
        <v>100.57120982253068</v>
      </c>
      <c r="D815" s="5">
        <v>109.33325434518044</v>
      </c>
      <c r="E815" s="5">
        <v>0.5712098225306761</v>
      </c>
      <c r="F815" s="5">
        <v>9.333254345180436</v>
      </c>
      <c r="G815" s="5">
        <v>10.021292373643021</v>
      </c>
      <c r="H815" s="5">
        <v>0.6880380284625858</v>
      </c>
      <c r="I815" s="9" t="b">
        <v>1</v>
      </c>
      <c r="J815" s="9" t="b">
        <v>0</v>
      </c>
    </row>
    <row r="816" ht="15.75" customHeight="1">
      <c r="A816" s="5">
        <v>7.0</v>
      </c>
      <c r="B816" s="5">
        <v>20203.0</v>
      </c>
      <c r="C816" s="5">
        <v>101.19522936465997</v>
      </c>
      <c r="D816" s="5">
        <v>115.066268637451</v>
      </c>
      <c r="E816" s="5">
        <v>1.1952293646599657</v>
      </c>
      <c r="F816" s="5">
        <v>15.066268637451003</v>
      </c>
      <c r="G816" s="5">
        <v>10.955555161353804</v>
      </c>
      <c r="H816" s="5">
        <v>-4.1107134760971995</v>
      </c>
      <c r="I816" s="9" t="b">
        <v>1</v>
      </c>
      <c r="J816" s="9" t="b">
        <v>0</v>
      </c>
    </row>
    <row r="817" ht="15.75" customHeight="1">
      <c r="A817" s="5">
        <v>8.0</v>
      </c>
      <c r="B817" s="5">
        <v>20203.0</v>
      </c>
      <c r="C817" s="5">
        <v>101.29969418960243</v>
      </c>
      <c r="D817" s="5">
        <v>112.00338123415048</v>
      </c>
      <c r="E817" s="5">
        <v>1.2996941896024339</v>
      </c>
      <c r="F817" s="5">
        <v>12.003381234150481</v>
      </c>
      <c r="G817" s="5">
        <v>14.5480163719631</v>
      </c>
      <c r="H817" s="5">
        <v>2.5446351378126195</v>
      </c>
      <c r="I817" s="9" t="b">
        <v>1</v>
      </c>
      <c r="J817" s="9" t="b">
        <v>0</v>
      </c>
    </row>
    <row r="818" ht="15.75" customHeight="1">
      <c r="A818" s="5">
        <v>9.0</v>
      </c>
      <c r="B818" s="5">
        <v>20203.0</v>
      </c>
      <c r="C818" s="5">
        <v>100.74859638178414</v>
      </c>
      <c r="D818" s="5">
        <v>109.40807858413072</v>
      </c>
      <c r="E818" s="5">
        <v>0.7485963817841395</v>
      </c>
      <c r="F818" s="5">
        <v>9.40807858413072</v>
      </c>
      <c r="G818" s="5">
        <v>10.019041272879047</v>
      </c>
      <c r="H818" s="5">
        <v>0.6109626887483266</v>
      </c>
      <c r="I818" s="9" t="b">
        <v>1</v>
      </c>
      <c r="J818" s="9" t="b">
        <v>0</v>
      </c>
    </row>
    <row r="819" ht="15.75" customHeight="1">
      <c r="A819" s="5">
        <v>10.0</v>
      </c>
      <c r="B819" s="5">
        <v>20203.0</v>
      </c>
      <c r="C819" s="5">
        <v>100.03905613657386</v>
      </c>
      <c r="D819" s="5">
        <v>110.69975481179112</v>
      </c>
      <c r="E819" s="5">
        <v>0.03905613657386198</v>
      </c>
      <c r="F819" s="5">
        <v>10.699754811791124</v>
      </c>
      <c r="G819" s="5">
        <v>8.17677684998448</v>
      </c>
      <c r="H819" s="5">
        <v>-2.522977961806644</v>
      </c>
      <c r="I819" s="9" t="b">
        <v>1</v>
      </c>
      <c r="J819" s="9" t="b">
        <v>0</v>
      </c>
    </row>
    <row r="820" ht="15.75" customHeight="1">
      <c r="A820" s="5">
        <v>11.0</v>
      </c>
      <c r="B820" s="5">
        <v>20203.0</v>
      </c>
      <c r="C820" s="5">
        <v>100.6730697304647</v>
      </c>
      <c r="D820" s="5">
        <v>108.13710124077124</v>
      </c>
      <c r="E820" s="5">
        <v>0.6730697304647038</v>
      </c>
      <c r="F820" s="5">
        <v>8.137101240771244</v>
      </c>
      <c r="G820" s="5">
        <v>9.837631944808267</v>
      </c>
      <c r="H820" s="5">
        <v>1.700530704037023</v>
      </c>
      <c r="I820" s="9" t="b">
        <v>1</v>
      </c>
      <c r="J820" s="9" t="b">
        <v>0</v>
      </c>
    </row>
    <row r="821" ht="15.75" customHeight="1">
      <c r="A821" s="5">
        <v>12.0</v>
      </c>
      <c r="B821" s="5">
        <v>20203.0</v>
      </c>
      <c r="C821" s="5">
        <v>96.66230366492144</v>
      </c>
      <c r="D821" s="5">
        <v>106.56565656565655</v>
      </c>
      <c r="E821" s="5">
        <v>-3.3376963350785616</v>
      </c>
      <c r="F821" s="5">
        <v>6.565656565656553</v>
      </c>
      <c r="G821" s="5">
        <v>17.705799936974454</v>
      </c>
      <c r="H821" s="5">
        <v>11.140143371317901</v>
      </c>
      <c r="I821" s="9" t="b">
        <v>1</v>
      </c>
      <c r="J821" s="9" t="b">
        <v>0</v>
      </c>
    </row>
    <row r="822" ht="15.75" customHeight="1">
      <c r="A822" s="5">
        <v>13.0</v>
      </c>
      <c r="B822" s="5">
        <v>20203.0</v>
      </c>
      <c r="C822" s="5">
        <v>102.96983325071882</v>
      </c>
      <c r="D822" s="5">
        <v>111.2992286271693</v>
      </c>
      <c r="E822" s="5">
        <v>2.969833250718821</v>
      </c>
      <c r="F822" s="5">
        <v>11.299228627169299</v>
      </c>
      <c r="G822" s="5">
        <v>12.83358347463941</v>
      </c>
      <c r="H822" s="5">
        <v>1.5343548474701105</v>
      </c>
      <c r="I822" s="9" t="b">
        <v>1</v>
      </c>
      <c r="J822" s="9" t="b">
        <v>0</v>
      </c>
    </row>
    <row r="823" ht="15.75" customHeight="1">
      <c r="A823" s="5">
        <v>14.0</v>
      </c>
      <c r="B823" s="5">
        <v>20203.0</v>
      </c>
      <c r="C823" s="5">
        <v>99.1930981513727</v>
      </c>
      <c r="D823" s="5">
        <v>105.14393153375453</v>
      </c>
      <c r="E823" s="5">
        <v>-0.8069018486273052</v>
      </c>
      <c r="F823" s="5">
        <v>5.143931533754525</v>
      </c>
      <c r="G823" s="5">
        <v>10.988522351066155</v>
      </c>
      <c r="H823" s="5">
        <v>5.84459081731163</v>
      </c>
      <c r="I823" s="9" t="b">
        <v>1</v>
      </c>
      <c r="J823" s="9" t="b">
        <v>0</v>
      </c>
    </row>
    <row r="824" ht="15.75" customHeight="1">
      <c r="A824" s="5">
        <v>15.0</v>
      </c>
      <c r="B824" s="5">
        <v>20203.0</v>
      </c>
      <c r="C824" s="5">
        <v>99.52158832945524</v>
      </c>
      <c r="D824" s="5">
        <v>110.82552859137247</v>
      </c>
      <c r="E824" s="5">
        <v>-0.47841167054475875</v>
      </c>
      <c r="F824" s="5">
        <v>10.825528591372475</v>
      </c>
      <c r="G824" s="5">
        <v>14.632635620848177</v>
      </c>
      <c r="H824" s="5">
        <v>3.807107029475702</v>
      </c>
      <c r="I824" s="9" t="b">
        <v>1</v>
      </c>
      <c r="J824" s="9" t="b">
        <v>0</v>
      </c>
    </row>
    <row r="825" ht="15.75" customHeight="1">
      <c r="A825" s="5">
        <v>16.0</v>
      </c>
      <c r="B825" s="5">
        <v>20203.0</v>
      </c>
      <c r="C825" s="5">
        <v>90.38616513396872</v>
      </c>
      <c r="D825" s="5">
        <v>104.94359947114052</v>
      </c>
      <c r="E825" s="5">
        <v>-9.613834866031283</v>
      </c>
      <c r="F825" s="5">
        <v>4.943599471140516</v>
      </c>
      <c r="G825" s="5">
        <v>5.138949672093163</v>
      </c>
      <c r="H825" s="5">
        <v>0.19535020095264688</v>
      </c>
      <c r="I825" s="9" t="b">
        <v>1</v>
      </c>
      <c r="J825" s="9" t="b">
        <v>0</v>
      </c>
    </row>
    <row r="826" ht="15.75" customHeight="1">
      <c r="A826" s="5">
        <v>17.0</v>
      </c>
      <c r="B826" s="5">
        <v>20203.0</v>
      </c>
      <c r="C826" s="5">
        <v>104.79862254828566</v>
      </c>
      <c r="D826" s="5">
        <v>115.38905374216948</v>
      </c>
      <c r="E826" s="5">
        <v>4.798622548285664</v>
      </c>
      <c r="F826" s="5">
        <v>15.38905374216948</v>
      </c>
      <c r="G826" s="5">
        <v>15.658573241245243</v>
      </c>
      <c r="H826" s="5">
        <v>0.2695194990757628</v>
      </c>
      <c r="I826" s="9" t="b">
        <v>1</v>
      </c>
      <c r="J826" s="9" t="b">
        <v>0</v>
      </c>
    </row>
    <row r="827" ht="15.75" customHeight="1">
      <c r="A827" s="5">
        <v>1.0</v>
      </c>
      <c r="B827" s="5">
        <v>20213.0</v>
      </c>
      <c r="C827" s="5">
        <v>103.2637189088141</v>
      </c>
      <c r="D827" s="5">
        <v>114.47855086645062</v>
      </c>
      <c r="E827" s="5">
        <v>3.2637189088140985</v>
      </c>
      <c r="F827" s="5">
        <v>14.478550866450618</v>
      </c>
      <c r="G827" s="5">
        <v>8.540888180490281</v>
      </c>
      <c r="H827" s="5">
        <v>-5.937662685960337</v>
      </c>
      <c r="I827" s="9" t="b">
        <v>1</v>
      </c>
      <c r="J827" s="9" t="b">
        <v>0</v>
      </c>
    </row>
    <row r="828" ht="15.75" customHeight="1">
      <c r="A828" s="5">
        <v>2.0</v>
      </c>
      <c r="B828" s="5">
        <v>20213.0</v>
      </c>
      <c r="C828" s="5">
        <v>100.56258790436006</v>
      </c>
      <c r="D828" s="5">
        <v>106.31970260223048</v>
      </c>
      <c r="E828" s="5">
        <v>0.5625879043600577</v>
      </c>
      <c r="F828" s="5">
        <v>6.319702602230478</v>
      </c>
      <c r="G828" s="5">
        <v>8.932806478315047</v>
      </c>
      <c r="H828" s="5">
        <v>2.613103876084569</v>
      </c>
      <c r="I828" s="9" t="b">
        <v>1</v>
      </c>
      <c r="J828" s="9" t="b">
        <v>0</v>
      </c>
    </row>
    <row r="829" ht="15.75" customHeight="1">
      <c r="A829" s="5">
        <v>5.0</v>
      </c>
      <c r="B829" s="5">
        <v>20213.0</v>
      </c>
      <c r="C829" s="5">
        <v>105.89620109199342</v>
      </c>
      <c r="D829" s="5">
        <v>112.64138973274164</v>
      </c>
      <c r="E829" s="5">
        <v>5.896201091993419</v>
      </c>
      <c r="F829" s="5">
        <v>12.641389732741644</v>
      </c>
      <c r="G829" s="5">
        <v>11.3790817205069</v>
      </c>
      <c r="H829" s="5">
        <v>-1.2623080122347439</v>
      </c>
      <c r="I829" s="9" t="b">
        <v>1</v>
      </c>
      <c r="J829" s="9" t="b">
        <v>0</v>
      </c>
    </row>
    <row r="830" ht="15.75" customHeight="1">
      <c r="A830" s="5">
        <v>6.0</v>
      </c>
      <c r="B830" s="5">
        <v>20213.0</v>
      </c>
      <c r="C830" s="5">
        <v>102.1022293284825</v>
      </c>
      <c r="D830" s="5">
        <v>112.37770079902444</v>
      </c>
      <c r="E830" s="5">
        <v>2.102229328482494</v>
      </c>
      <c r="F830" s="5">
        <v>12.377700799024439</v>
      </c>
      <c r="G830" s="5">
        <v>11.47595021979695</v>
      </c>
      <c r="H830" s="5">
        <v>-0.9017505792274889</v>
      </c>
      <c r="I830" s="9" t="b">
        <v>1</v>
      </c>
      <c r="J830" s="9" t="b">
        <v>0</v>
      </c>
    </row>
    <row r="831" ht="15.75" customHeight="1">
      <c r="A831" s="5">
        <v>7.0</v>
      </c>
      <c r="B831" s="5">
        <v>20213.0</v>
      </c>
      <c r="C831" s="5">
        <v>103.71756372449885</v>
      </c>
      <c r="D831" s="5">
        <v>111.85397837151798</v>
      </c>
      <c r="E831" s="5">
        <v>3.717563724498845</v>
      </c>
      <c r="F831" s="5">
        <v>11.853978371517982</v>
      </c>
      <c r="G831" s="5">
        <v>12.03963064072715</v>
      </c>
      <c r="H831" s="5">
        <v>0.185652269209168</v>
      </c>
      <c r="I831" s="9" t="b">
        <v>1</v>
      </c>
      <c r="J831" s="9" t="b">
        <v>0</v>
      </c>
    </row>
    <row r="832" ht="15.75" customHeight="1">
      <c r="A832" s="5">
        <v>8.0</v>
      </c>
      <c r="B832" s="5">
        <v>20213.0</v>
      </c>
      <c r="C832" s="5">
        <v>104.64461646727656</v>
      </c>
      <c r="D832" s="5">
        <v>112.2264150943396</v>
      </c>
      <c r="E832" s="5">
        <v>4.644616467276563</v>
      </c>
      <c r="F832" s="5">
        <v>12.2264150943396</v>
      </c>
      <c r="G832" s="5">
        <v>9.702969992179366</v>
      </c>
      <c r="H832" s="5">
        <v>-2.5234451021602347</v>
      </c>
      <c r="I832" s="9" t="b">
        <v>1</v>
      </c>
      <c r="J832" s="9" t="b">
        <v>0</v>
      </c>
    </row>
    <row r="833" ht="15.75" customHeight="1">
      <c r="A833" s="5">
        <v>9.0</v>
      </c>
      <c r="B833" s="5">
        <v>20213.0</v>
      </c>
      <c r="C833" s="5">
        <v>102.35641709303162</v>
      </c>
      <c r="D833" s="5">
        <v>109.93808049535605</v>
      </c>
      <c r="E833" s="5">
        <v>2.3564170930316237</v>
      </c>
      <c r="F833" s="5">
        <v>9.938080495356047</v>
      </c>
      <c r="G833" s="5">
        <v>9.369508952937643</v>
      </c>
      <c r="H833" s="5">
        <v>-0.5685715424184039</v>
      </c>
      <c r="I833" s="9" t="b">
        <v>1</v>
      </c>
      <c r="J833" s="9" t="b">
        <v>0</v>
      </c>
    </row>
    <row r="834" ht="15.75" customHeight="1">
      <c r="A834" s="5">
        <v>10.0</v>
      </c>
      <c r="B834" s="5">
        <v>20213.0</v>
      </c>
      <c r="C834" s="5">
        <v>102.24712104107373</v>
      </c>
      <c r="D834" s="5">
        <v>106.69937359170588</v>
      </c>
      <c r="E834" s="5">
        <v>2.2471210410737257</v>
      </c>
      <c r="F834" s="5">
        <v>6.6993735917058785</v>
      </c>
      <c r="G834" s="5">
        <v>5.086963736663552</v>
      </c>
      <c r="H834" s="5">
        <v>-1.6124098550423263</v>
      </c>
      <c r="I834" s="9" t="b">
        <v>1</v>
      </c>
      <c r="J834" s="9" t="b">
        <v>0</v>
      </c>
    </row>
    <row r="835" ht="15.75" customHeight="1">
      <c r="A835" s="5">
        <v>11.0</v>
      </c>
      <c r="B835" s="5">
        <v>20213.0</v>
      </c>
      <c r="C835" s="5">
        <v>102.6109420108084</v>
      </c>
      <c r="D835" s="5">
        <v>107.38936735255112</v>
      </c>
      <c r="E835" s="5">
        <v>2.610942010808401</v>
      </c>
      <c r="F835" s="5">
        <v>7.389367352551119</v>
      </c>
      <c r="G835" s="5">
        <v>7.659192529095904</v>
      </c>
      <c r="H835" s="5">
        <v>0.269825176544785</v>
      </c>
      <c r="I835" s="9" t="b">
        <v>1</v>
      </c>
      <c r="J835" s="9" t="b">
        <v>0</v>
      </c>
    </row>
    <row r="836" ht="15.75" customHeight="1">
      <c r="A836" s="5">
        <v>12.0</v>
      </c>
      <c r="B836" s="5">
        <v>20213.0</v>
      </c>
      <c r="C836" s="5">
        <v>100.52424639580605</v>
      </c>
      <c r="D836" s="5">
        <v>103.85917400135412</v>
      </c>
      <c r="E836" s="5">
        <v>0.5242463958060455</v>
      </c>
      <c r="F836" s="5">
        <v>3.85917400135412</v>
      </c>
      <c r="G836" s="5">
        <v>5.99441339690443</v>
      </c>
      <c r="H836" s="5">
        <v>2.13523939555031</v>
      </c>
      <c r="I836" s="9" t="b">
        <v>1</v>
      </c>
      <c r="J836" s="9" t="b">
        <v>0</v>
      </c>
    </row>
    <row r="837" ht="15.75" customHeight="1">
      <c r="A837" s="5">
        <v>13.0</v>
      </c>
      <c r="B837" s="5">
        <v>20213.0</v>
      </c>
      <c r="C837" s="5">
        <v>101.72578068479868</v>
      </c>
      <c r="D837" s="5">
        <v>109.39686616446916</v>
      </c>
      <c r="E837" s="5">
        <v>1.7257806847986785</v>
      </c>
      <c r="F837" s="5">
        <v>9.39686616446916</v>
      </c>
      <c r="G837" s="5">
        <v>9.090007239659958</v>
      </c>
      <c r="H837" s="5">
        <v>-0.30685892480920174</v>
      </c>
      <c r="I837" s="9" t="b">
        <v>1</v>
      </c>
      <c r="J837" s="9" t="b">
        <v>0</v>
      </c>
    </row>
    <row r="838" ht="15.75" customHeight="1">
      <c r="A838" s="5">
        <v>14.0</v>
      </c>
      <c r="B838" s="5">
        <v>20213.0</v>
      </c>
      <c r="C838" s="5">
        <v>102.32148253859307</v>
      </c>
      <c r="D838" s="5">
        <v>111.42316324832382</v>
      </c>
      <c r="E838" s="5">
        <v>2.3214825385930737</v>
      </c>
      <c r="F838" s="5">
        <v>11.423163248323817</v>
      </c>
      <c r="G838" s="5">
        <v>7.806399527317942</v>
      </c>
      <c r="H838" s="5">
        <v>-3.616763721005875</v>
      </c>
      <c r="I838" s="9" t="b">
        <v>1</v>
      </c>
      <c r="J838" s="9" t="b">
        <v>0</v>
      </c>
    </row>
    <row r="839" ht="15.75" customHeight="1">
      <c r="A839" s="5">
        <v>15.0</v>
      </c>
      <c r="B839" s="5">
        <v>20213.0</v>
      </c>
      <c r="C839" s="5">
        <v>102.01007971104272</v>
      </c>
      <c r="D839" s="5">
        <v>113.1633569599026</v>
      </c>
      <c r="E839" s="5">
        <v>2.010079711042721</v>
      </c>
      <c r="F839" s="5">
        <v>13.1633569599026</v>
      </c>
      <c r="G839" s="5">
        <v>10.622977540377022</v>
      </c>
      <c r="H839" s="5">
        <v>-2.5403794195255784</v>
      </c>
      <c r="I839" s="9" t="b">
        <v>1</v>
      </c>
      <c r="J839" s="9" t="b">
        <v>0</v>
      </c>
    </row>
    <row r="840" ht="15.75" customHeight="1">
      <c r="A840" s="5">
        <v>16.0</v>
      </c>
      <c r="B840" s="5">
        <v>20213.0</v>
      </c>
      <c r="C840" s="5">
        <v>101.67929644947311</v>
      </c>
      <c r="D840" s="5">
        <v>120.65862177190274</v>
      </c>
      <c r="E840" s="5">
        <v>1.6792964494731137</v>
      </c>
      <c r="F840" s="5">
        <v>20.658621771902745</v>
      </c>
      <c r="G840" s="5">
        <v>16.206972972699685</v>
      </c>
      <c r="H840" s="5">
        <v>-4.45164879920306</v>
      </c>
      <c r="I840" s="9" t="b">
        <v>1</v>
      </c>
      <c r="J840" s="9" t="b">
        <v>0</v>
      </c>
    </row>
    <row r="841" ht="15.75" customHeight="1">
      <c r="A841" s="5">
        <v>17.0</v>
      </c>
      <c r="B841" s="5">
        <v>20213.0</v>
      </c>
      <c r="C841" s="5">
        <v>104.14387883887252</v>
      </c>
      <c r="D841" s="5">
        <v>106.10043574541037</v>
      </c>
      <c r="E841" s="5">
        <v>4.143878838872524</v>
      </c>
      <c r="F841" s="5">
        <v>6.1004357454103655</v>
      </c>
      <c r="G841" s="5">
        <v>9.106581385800162</v>
      </c>
      <c r="H841" s="5">
        <v>3.0061456403897964</v>
      </c>
      <c r="I841" s="9" t="b">
        <v>1</v>
      </c>
      <c r="J841" s="9" t="b">
        <v>0</v>
      </c>
    </row>
    <row r="842" ht="15.75" customHeight="1">
      <c r="A842" s="5">
        <v>1.0</v>
      </c>
      <c r="B842" s="5">
        <v>20223.0</v>
      </c>
      <c r="C842" s="5">
        <v>101.1527377521614</v>
      </c>
      <c r="D842" s="5">
        <v>115.8759088235152</v>
      </c>
      <c r="E842" s="5">
        <v>1.1527377521614</v>
      </c>
      <c r="F842" s="5">
        <v>15.875908823515203</v>
      </c>
      <c r="G842" s="5">
        <v>18.602570493445604</v>
      </c>
      <c r="H842" s="5">
        <v>2.726661669930401</v>
      </c>
      <c r="I842" s="9" t="b">
        <v>1</v>
      </c>
      <c r="J842" s="9" t="b">
        <v>0</v>
      </c>
    </row>
    <row r="843" ht="15.75" customHeight="1">
      <c r="A843" s="5">
        <v>2.0</v>
      </c>
      <c r="B843" s="5">
        <v>20223.0</v>
      </c>
      <c r="C843" s="5">
        <v>98.89638258736971</v>
      </c>
      <c r="D843" s="5">
        <v>112.7972027972028</v>
      </c>
      <c r="E843" s="5">
        <v>-1.1036174126302853</v>
      </c>
      <c r="F843" s="5">
        <v>12.7972027972028</v>
      </c>
      <c r="G843" s="5">
        <v>9.442416196481918</v>
      </c>
      <c r="H843" s="5">
        <v>-3.3547866007208818</v>
      </c>
      <c r="I843" s="9" t="b">
        <v>1</v>
      </c>
      <c r="J843" s="9" t="b">
        <v>0</v>
      </c>
    </row>
    <row r="844" ht="15.75" customHeight="1">
      <c r="A844" s="5">
        <v>5.0</v>
      </c>
      <c r="B844" s="5">
        <v>20223.0</v>
      </c>
      <c r="C844" s="5">
        <v>99.507752378532</v>
      </c>
      <c r="D844" s="5">
        <v>107.3587305262613</v>
      </c>
      <c r="E844" s="5">
        <v>-0.49224762146799605</v>
      </c>
      <c r="F844" s="5">
        <v>7.358730526261297</v>
      </c>
      <c r="G844" s="5">
        <v>8.193409391028595</v>
      </c>
      <c r="H844" s="5">
        <v>0.834678864767298</v>
      </c>
      <c r="I844" s="9" t="b">
        <v>1</v>
      </c>
      <c r="J844" s="9" t="b">
        <v>0</v>
      </c>
    </row>
    <row r="845" ht="15.75" customHeight="1">
      <c r="A845" s="5">
        <v>6.0</v>
      </c>
      <c r="B845" s="5">
        <v>20223.0</v>
      </c>
      <c r="C845" s="5">
        <v>101.47570975733696</v>
      </c>
      <c r="D845" s="5">
        <v>120.54303699187594</v>
      </c>
      <c r="E845" s="5">
        <v>1.4757097573369578</v>
      </c>
      <c r="F845" s="5">
        <v>20.543036991875937</v>
      </c>
      <c r="G845" s="5">
        <v>18.23584298965899</v>
      </c>
      <c r="H845" s="5">
        <v>-2.3071940022169457</v>
      </c>
      <c r="I845" s="9" t="b">
        <v>1</v>
      </c>
      <c r="J845" s="9" t="b">
        <v>0</v>
      </c>
    </row>
    <row r="846" ht="15.75" customHeight="1">
      <c r="A846" s="5">
        <v>7.0</v>
      </c>
      <c r="B846" s="5">
        <v>20223.0</v>
      </c>
      <c r="C846" s="5">
        <v>102.56296094315532</v>
      </c>
      <c r="D846" s="5">
        <v>113.33490943719912</v>
      </c>
      <c r="E846" s="5">
        <v>2.5629609431553178</v>
      </c>
      <c r="F846" s="5">
        <v>13.334909437199116</v>
      </c>
      <c r="G846" s="5">
        <v>13.99271404903606</v>
      </c>
      <c r="H846" s="5">
        <v>0.6578046118369443</v>
      </c>
      <c r="I846" s="9" t="b">
        <v>1</v>
      </c>
      <c r="J846" s="9" t="b">
        <v>0</v>
      </c>
    </row>
    <row r="847" ht="15.75" customHeight="1">
      <c r="A847" s="5">
        <v>8.0</v>
      </c>
      <c r="B847" s="5">
        <v>20223.0</v>
      </c>
      <c r="C847" s="5">
        <v>103.10975609756096</v>
      </c>
      <c r="D847" s="5">
        <v>113.7188971082717</v>
      </c>
      <c r="E847" s="5">
        <v>3.109756097560961</v>
      </c>
      <c r="F847" s="5">
        <v>13.718897108271705</v>
      </c>
      <c r="G847" s="5">
        <v>10.348713357311556</v>
      </c>
      <c r="H847" s="5">
        <v>-3.370183750960148</v>
      </c>
      <c r="I847" s="9" t="b">
        <v>1</v>
      </c>
      <c r="J847" s="9" t="b">
        <v>0</v>
      </c>
    </row>
    <row r="848" ht="15.75" customHeight="1">
      <c r="A848" s="5">
        <v>9.0</v>
      </c>
      <c r="B848" s="5">
        <v>20223.0</v>
      </c>
      <c r="C848" s="5">
        <v>100.15076323889691</v>
      </c>
      <c r="D848" s="5">
        <v>112.24303013235708</v>
      </c>
      <c r="E848" s="5">
        <v>0.15076323889691423</v>
      </c>
      <c r="F848" s="5">
        <v>12.243030132357077</v>
      </c>
      <c r="G848" s="5">
        <v>15.81152827011556</v>
      </c>
      <c r="H848" s="5">
        <v>3.568498137758482</v>
      </c>
      <c r="I848" s="9" t="b">
        <v>1</v>
      </c>
      <c r="J848" s="9" t="b">
        <v>0</v>
      </c>
    </row>
    <row r="849" ht="15.75" customHeight="1">
      <c r="A849" s="5">
        <v>10.0</v>
      </c>
      <c r="B849" s="5">
        <v>20223.0</v>
      </c>
      <c r="C849" s="5">
        <v>100.40735218789902</v>
      </c>
      <c r="D849" s="5">
        <v>113.15546023000093</v>
      </c>
      <c r="E849" s="5">
        <v>0.40735218789902206</v>
      </c>
      <c r="F849" s="5">
        <v>13.155460230000926</v>
      </c>
      <c r="G849" s="5">
        <v>14.92613864479262</v>
      </c>
      <c r="H849" s="5">
        <v>1.7706784147916927</v>
      </c>
      <c r="I849" s="9" t="b">
        <v>1</v>
      </c>
      <c r="J849" s="9" t="b">
        <v>0</v>
      </c>
    </row>
    <row r="850" ht="15.75" customHeight="1">
      <c r="A850" s="5">
        <v>11.0</v>
      </c>
      <c r="B850" s="5">
        <v>20223.0</v>
      </c>
      <c r="C850" s="5">
        <v>102.3981017514835</v>
      </c>
      <c r="D850" s="5">
        <v>112.61707820565525</v>
      </c>
      <c r="E850" s="5">
        <v>2.3981017514834946</v>
      </c>
      <c r="F850" s="5">
        <v>12.617078205655247</v>
      </c>
      <c r="G850" s="5">
        <v>14.748526750294854</v>
      </c>
      <c r="H850" s="5">
        <v>2.131448544639607</v>
      </c>
      <c r="I850" s="9" t="b">
        <v>1</v>
      </c>
      <c r="J850" s="9" t="b">
        <v>0</v>
      </c>
    </row>
    <row r="851" ht="15.75" customHeight="1">
      <c r="A851" s="5">
        <v>12.0</v>
      </c>
      <c r="B851" s="5">
        <v>20223.0</v>
      </c>
      <c r="C851" s="5">
        <v>97.68715763846622</v>
      </c>
      <c r="D851" s="5">
        <v>104.62842242503258</v>
      </c>
      <c r="E851" s="5">
        <v>-2.3128423615337823</v>
      </c>
      <c r="F851" s="5">
        <v>4.628422425032582</v>
      </c>
      <c r="G851" s="5">
        <v>17.121851441537416</v>
      </c>
      <c r="H851" s="5">
        <v>12.493429016504834</v>
      </c>
      <c r="I851" s="9" t="b">
        <v>1</v>
      </c>
      <c r="J851" s="9" t="b">
        <v>0</v>
      </c>
    </row>
    <row r="852" ht="15.75" customHeight="1">
      <c r="A852" s="5">
        <v>13.0</v>
      </c>
      <c r="B852" s="5">
        <v>20223.0</v>
      </c>
      <c r="C852" s="5">
        <v>96.33207269157792</v>
      </c>
      <c r="D852" s="5">
        <v>113.95616942974868</v>
      </c>
      <c r="E852" s="5">
        <v>-3.6679273084220796</v>
      </c>
      <c r="F852" s="5">
        <v>13.956169429748684</v>
      </c>
      <c r="G852" s="5">
        <v>13.919759499723284</v>
      </c>
      <c r="H852" s="5">
        <v>-0.03640993002539972</v>
      </c>
      <c r="I852" s="9" t="b">
        <v>1</v>
      </c>
      <c r="J852" s="9" t="b">
        <v>0</v>
      </c>
    </row>
    <row r="853" ht="15.75" customHeight="1">
      <c r="A853" s="5">
        <v>14.0</v>
      </c>
      <c r="B853" s="5">
        <v>20223.0</v>
      </c>
      <c r="C853" s="5">
        <v>99.62268562418704</v>
      </c>
      <c r="D853" s="5">
        <v>108.25865004104382</v>
      </c>
      <c r="E853" s="5">
        <v>-0.3773143758129578</v>
      </c>
      <c r="F853" s="5">
        <v>8.258650041043822</v>
      </c>
      <c r="G853" s="5">
        <v>12.71557677978976</v>
      </c>
      <c r="H853" s="5">
        <v>4.456926738745938</v>
      </c>
      <c r="I853" s="9" t="b">
        <v>1</v>
      </c>
      <c r="J853" s="9" t="b">
        <v>0</v>
      </c>
    </row>
    <row r="854" ht="15.75" customHeight="1">
      <c r="A854" s="5">
        <v>15.0</v>
      </c>
      <c r="B854" s="5">
        <v>20223.0</v>
      </c>
      <c r="C854" s="5">
        <v>99.70799481357572</v>
      </c>
      <c r="D854" s="5">
        <v>113.25399178600244</v>
      </c>
      <c r="E854" s="5">
        <v>-0.29200518642427653</v>
      </c>
      <c r="F854" s="5">
        <v>13.253991786002445</v>
      </c>
      <c r="G854" s="5">
        <v>18.322794818257428</v>
      </c>
      <c r="H854" s="5">
        <v>5.0688030322549835</v>
      </c>
      <c r="I854" s="9" t="b">
        <v>1</v>
      </c>
      <c r="J854" s="9" t="b">
        <v>0</v>
      </c>
    </row>
    <row r="855" ht="15.75" customHeight="1">
      <c r="A855" s="5">
        <v>16.0</v>
      </c>
      <c r="B855" s="5">
        <v>20223.0</v>
      </c>
      <c r="C855" s="5">
        <v>105.3122714899249</v>
      </c>
      <c r="D855" s="5">
        <v>117.90187400410512</v>
      </c>
      <c r="E855" s="5">
        <v>5.312271489924896</v>
      </c>
      <c r="F855" s="5">
        <v>17.901874004105125</v>
      </c>
      <c r="G855" s="5">
        <v>21.219366383121073</v>
      </c>
      <c r="H855" s="5">
        <v>3.317492379015949</v>
      </c>
      <c r="I855" s="9" t="b">
        <v>1</v>
      </c>
      <c r="J855" s="9" t="b">
        <v>0</v>
      </c>
    </row>
    <row r="856" ht="15.75" customHeight="1">
      <c r="A856" s="5">
        <v>17.0</v>
      </c>
      <c r="B856" s="5">
        <v>20223.0</v>
      </c>
      <c r="C856" s="5">
        <v>100.73537927041112</v>
      </c>
      <c r="D856" s="5">
        <v>117.1278529589982</v>
      </c>
      <c r="E856" s="5">
        <v>0.7353792704111157</v>
      </c>
      <c r="F856" s="5">
        <v>17.127852958998204</v>
      </c>
      <c r="G856" s="5">
        <v>13.175141198377105</v>
      </c>
      <c r="H856" s="5">
        <v>-3.9527117606210993</v>
      </c>
      <c r="I856" s="9" t="b">
        <v>1</v>
      </c>
      <c r="J856" s="9" t="b">
        <v>0</v>
      </c>
    </row>
    <row r="857" ht="15.75" customHeight="1">
      <c r="A857" s="5">
        <v>1.0</v>
      </c>
      <c r="B857" s="5">
        <v>20233.0</v>
      </c>
      <c r="C857" s="5">
        <v>105.7012542759407</v>
      </c>
      <c r="D857" s="5">
        <v>105.64102564102564</v>
      </c>
      <c r="E857" s="5">
        <v>5.701254275940698</v>
      </c>
      <c r="F857" s="5">
        <v>5.641025641025635</v>
      </c>
      <c r="G857" s="5">
        <v>1.9173729868493306</v>
      </c>
      <c r="H857" s="5">
        <v>-3.7236526541763046</v>
      </c>
      <c r="I857" s="9" t="b">
        <v>1</v>
      </c>
      <c r="J857" s="9" t="b">
        <v>0</v>
      </c>
    </row>
    <row r="858" ht="15.75" customHeight="1">
      <c r="A858" s="5">
        <v>2.0</v>
      </c>
      <c r="B858" s="5">
        <v>20233.0</v>
      </c>
      <c r="C858" s="5">
        <v>99.38080495356036</v>
      </c>
      <c r="D858" s="5">
        <v>99.5040297582145</v>
      </c>
      <c r="E858" s="5">
        <v>-0.6191950464396427</v>
      </c>
      <c r="F858" s="5">
        <v>-0.49597024178549987</v>
      </c>
      <c r="G858" s="5">
        <v>7.202426080363922</v>
      </c>
      <c r="H858" s="5">
        <v>7.698396322149422</v>
      </c>
      <c r="I858" s="9" t="b">
        <v>1</v>
      </c>
      <c r="J858" s="9" t="b">
        <v>1</v>
      </c>
    </row>
    <row r="859" ht="15.75" customHeight="1">
      <c r="A859" s="5">
        <v>5.0</v>
      </c>
      <c r="B859" s="5">
        <v>20233.0</v>
      </c>
      <c r="C859" s="5">
        <v>101.8419870643208</v>
      </c>
      <c r="D859" s="5">
        <v>105.3243317574888</v>
      </c>
      <c r="E859" s="5">
        <v>1.8419870643208043</v>
      </c>
      <c r="F859" s="5">
        <v>5.324331757488807</v>
      </c>
      <c r="G859" s="5">
        <v>9.932599827012778</v>
      </c>
      <c r="H859" s="5">
        <v>4.608268069523971</v>
      </c>
      <c r="I859" s="9" t="b">
        <v>1</v>
      </c>
      <c r="J859" s="9" t="b">
        <v>0</v>
      </c>
    </row>
    <row r="860" ht="15.75" customHeight="1">
      <c r="A860" s="5">
        <v>6.0</v>
      </c>
      <c r="B860" s="5">
        <v>20233.0</v>
      </c>
      <c r="C860" s="5">
        <v>100.3770202386885</v>
      </c>
      <c r="D860" s="5">
        <v>101.33186878850432</v>
      </c>
      <c r="E860" s="5">
        <v>0.37702023868850176</v>
      </c>
      <c r="F860" s="5">
        <v>1.3318687885043232</v>
      </c>
      <c r="G860" s="5">
        <v>3.488691642573394</v>
      </c>
      <c r="H860" s="5">
        <v>2.1568228540690706</v>
      </c>
      <c r="I860" s="9" t="b">
        <v>1</v>
      </c>
      <c r="J860" s="9" t="b">
        <v>0</v>
      </c>
    </row>
    <row r="861" ht="15.75" customHeight="1">
      <c r="A861" s="5">
        <v>7.0</v>
      </c>
      <c r="B861" s="5">
        <v>20233.0</v>
      </c>
      <c r="C861" s="5">
        <v>105.75842574669944</v>
      </c>
      <c r="D861" s="5">
        <v>109.0658391643776</v>
      </c>
      <c r="E861" s="5">
        <v>5.758425746699444</v>
      </c>
      <c r="F861" s="5">
        <v>9.065839164377607</v>
      </c>
      <c r="G861" s="5">
        <v>8.936621296019776</v>
      </c>
      <c r="H861" s="5">
        <v>-0.12921786835783067</v>
      </c>
      <c r="I861" s="9" t="b">
        <v>1</v>
      </c>
      <c r="J861" s="9" t="b">
        <v>0</v>
      </c>
    </row>
    <row r="862" ht="15.75" customHeight="1">
      <c r="A862" s="5">
        <v>8.0</v>
      </c>
      <c r="B862" s="5">
        <v>20233.0</v>
      </c>
      <c r="C862" s="5">
        <v>102.59406403365271</v>
      </c>
      <c r="D862" s="5">
        <v>103.84387936132468</v>
      </c>
      <c r="E862" s="5">
        <v>2.594064033652714</v>
      </c>
      <c r="F862" s="5">
        <v>3.8438793613246816</v>
      </c>
      <c r="G862" s="5">
        <v>5.477436461559004</v>
      </c>
      <c r="H862" s="5">
        <v>1.6335571002343228</v>
      </c>
      <c r="I862" s="9" t="b">
        <v>1</v>
      </c>
      <c r="J862" s="9" t="b">
        <v>0</v>
      </c>
    </row>
    <row r="863" ht="15.75" customHeight="1">
      <c r="A863" s="5">
        <v>9.0</v>
      </c>
      <c r="B863" s="5">
        <v>20233.0</v>
      </c>
      <c r="C863" s="5">
        <v>100.02992757526786</v>
      </c>
      <c r="D863" s="5">
        <v>104.82343348177884</v>
      </c>
      <c r="E863" s="5">
        <v>0.029927575267862494</v>
      </c>
      <c r="F863" s="5">
        <v>4.823433481778835</v>
      </c>
      <c r="G863" s="5">
        <v>1.362834564674964</v>
      </c>
      <c r="H863" s="5">
        <v>-3.460598917103871</v>
      </c>
      <c r="I863" s="9" t="b">
        <v>1</v>
      </c>
      <c r="J863" s="9" t="b">
        <v>0</v>
      </c>
    </row>
    <row r="864" ht="15.75" customHeight="1">
      <c r="A864" s="5">
        <v>10.0</v>
      </c>
      <c r="B864" s="5">
        <v>20233.0</v>
      </c>
      <c r="C864" s="5">
        <v>101.7136879044828</v>
      </c>
      <c r="D864" s="5">
        <v>109.08473908979106</v>
      </c>
      <c r="E864" s="5">
        <v>1.7136879044827964</v>
      </c>
      <c r="F864" s="5">
        <v>9.084739089791057</v>
      </c>
      <c r="G864" s="5">
        <v>11.783316928694632</v>
      </c>
      <c r="H864" s="5">
        <v>2.6985778389035744</v>
      </c>
      <c r="I864" s="9" t="b">
        <v>1</v>
      </c>
      <c r="J864" s="9" t="b">
        <v>0</v>
      </c>
    </row>
    <row r="865" ht="15.75" customHeight="1">
      <c r="A865" s="5">
        <v>11.0</v>
      </c>
      <c r="B865" s="5">
        <v>20233.0</v>
      </c>
      <c r="C865" s="5">
        <v>103.11831810292183</v>
      </c>
      <c r="D865" s="5">
        <v>106.46866534392836</v>
      </c>
      <c r="E865" s="5">
        <v>3.118318102921833</v>
      </c>
      <c r="F865" s="5">
        <v>6.468665343928365</v>
      </c>
      <c r="G865" s="5">
        <v>5.521800821004197</v>
      </c>
      <c r="H865" s="5">
        <v>-0.9468645229241677</v>
      </c>
      <c r="I865" s="9" t="b">
        <v>1</v>
      </c>
      <c r="J865" s="9" t="b">
        <v>0</v>
      </c>
    </row>
    <row r="866" ht="15.75" customHeight="1">
      <c r="A866" s="5">
        <v>12.0</v>
      </c>
      <c r="B866" s="5">
        <v>20233.0</v>
      </c>
      <c r="C866" s="5">
        <v>102.98420128730253</v>
      </c>
      <c r="D866" s="5">
        <v>109.65732087227413</v>
      </c>
      <c r="E866" s="5">
        <v>2.9842012873025254</v>
      </c>
      <c r="F866" s="5">
        <v>9.657320872274127</v>
      </c>
      <c r="G866" s="5">
        <v>7.455896413844854</v>
      </c>
      <c r="H866" s="5">
        <v>-2.2014244584292735</v>
      </c>
      <c r="I866" s="9" t="b">
        <v>1</v>
      </c>
      <c r="J866" s="9" t="b">
        <v>0</v>
      </c>
    </row>
    <row r="867" ht="15.75" customHeight="1">
      <c r="A867" s="5">
        <v>13.0</v>
      </c>
      <c r="B867" s="5">
        <v>20233.0</v>
      </c>
      <c r="C867" s="5">
        <v>106.9305760715665</v>
      </c>
      <c r="D867" s="5">
        <v>107.29214775134608</v>
      </c>
      <c r="E867" s="5">
        <v>6.930576071566506</v>
      </c>
      <c r="F867" s="5">
        <v>7.292147751346079</v>
      </c>
      <c r="G867" s="5">
        <v>7.03202095872244</v>
      </c>
      <c r="H867" s="5">
        <v>-0.26012679262363836</v>
      </c>
      <c r="I867" s="9" t="b">
        <v>1</v>
      </c>
      <c r="J867" s="9" t="b">
        <v>0</v>
      </c>
    </row>
    <row r="868" ht="15.75" customHeight="1">
      <c r="A868" s="5">
        <v>14.0</v>
      </c>
      <c r="B868" s="5">
        <v>20233.0</v>
      </c>
      <c r="C868" s="5">
        <v>105.4877546414093</v>
      </c>
      <c r="D868" s="5">
        <v>109.18137459935686</v>
      </c>
      <c r="E868" s="5">
        <v>5.487754641409296</v>
      </c>
      <c r="F868" s="5">
        <v>9.181374599356857</v>
      </c>
      <c r="G868" s="5">
        <v>8.236578565333797</v>
      </c>
      <c r="H868" s="5">
        <v>-0.9447960340230601</v>
      </c>
      <c r="I868" s="9" t="b">
        <v>1</v>
      </c>
      <c r="J868" s="9" t="b">
        <v>0</v>
      </c>
    </row>
    <row r="869" ht="15.75" customHeight="1">
      <c r="A869" s="5">
        <v>15.0</v>
      </c>
      <c r="B869" s="5">
        <v>20233.0</v>
      </c>
      <c r="C869" s="5">
        <v>99.950981038273</v>
      </c>
      <c r="D869" s="5">
        <v>109.39239033743422</v>
      </c>
      <c r="E869" s="5">
        <v>-0.04901896172700049</v>
      </c>
      <c r="F869" s="5">
        <v>9.392390337434222</v>
      </c>
      <c r="G869" s="5">
        <v>6.135330677074902</v>
      </c>
      <c r="H869" s="5">
        <v>-3.25705966035932</v>
      </c>
      <c r="I869" s="9" t="b">
        <v>1</v>
      </c>
      <c r="J869" s="9" t="b">
        <v>0</v>
      </c>
    </row>
    <row r="870" ht="15.75" customHeight="1">
      <c r="A870" s="5">
        <v>16.0</v>
      </c>
      <c r="B870" s="5">
        <v>20233.0</v>
      </c>
      <c r="C870" s="5">
        <v>107.07120874006328</v>
      </c>
      <c r="D870" s="5">
        <v>107.64940534822462</v>
      </c>
      <c r="E870" s="5">
        <v>7.071208740063284</v>
      </c>
      <c r="F870" s="5">
        <v>7.649405348224619</v>
      </c>
      <c r="G870" s="5">
        <v>4.751080625052295</v>
      </c>
      <c r="H870" s="5">
        <v>-2.8983247231723235</v>
      </c>
      <c r="I870" s="9" t="b">
        <v>1</v>
      </c>
      <c r="J870" s="9" t="b">
        <v>0</v>
      </c>
    </row>
    <row r="871" ht="15.75" customHeight="1">
      <c r="A871" s="5">
        <v>17.0</v>
      </c>
      <c r="B871" s="5">
        <v>20233.0</v>
      </c>
      <c r="C871" s="5">
        <v>107.99776286353467</v>
      </c>
      <c r="D871" s="5">
        <v>99.8965338851526</v>
      </c>
      <c r="E871" s="5">
        <v>7.997762863534675</v>
      </c>
      <c r="F871" s="5">
        <v>-0.10346611484739299</v>
      </c>
      <c r="G871" s="5">
        <v>1.4187561940135485</v>
      </c>
      <c r="H871" s="5">
        <v>1.5222223088609415</v>
      </c>
      <c r="I871" s="9" t="b">
        <v>1</v>
      </c>
      <c r="J871" s="9" t="b">
        <v>1</v>
      </c>
    </row>
    <row r="872" ht="15.75" customHeight="1">
      <c r="A872" s="5">
        <v>1.0</v>
      </c>
      <c r="B872" s="5">
        <v>20243.0</v>
      </c>
      <c r="C872" s="5">
        <v>106.21026894865524</v>
      </c>
      <c r="D872" s="5">
        <v>117.15210355987054</v>
      </c>
      <c r="E872" s="5">
        <v>6.210268948655241</v>
      </c>
      <c r="F872" s="5">
        <v>17.15210355987054</v>
      </c>
      <c r="G872" s="5">
        <v>18.40422448885306</v>
      </c>
      <c r="H872" s="5">
        <v>1.2521209289825208</v>
      </c>
      <c r="I872" s="9" t="b">
        <v>1</v>
      </c>
      <c r="J872" s="9" t="b">
        <v>0</v>
      </c>
    </row>
    <row r="873" ht="15.75" customHeight="1">
      <c r="A873" s="5">
        <v>2.0</v>
      </c>
      <c r="B873" s="5">
        <v>20243.0</v>
      </c>
      <c r="C873" s="5">
        <v>99.76412280904805</v>
      </c>
      <c r="D873" s="5">
        <v>113.00047807023172</v>
      </c>
      <c r="E873" s="5">
        <v>-0.23587719095195325</v>
      </c>
      <c r="F873" s="5">
        <v>13.000478070231722</v>
      </c>
      <c r="G873" s="5">
        <v>10.735502121640739</v>
      </c>
      <c r="H873" s="5">
        <v>-2.2649759485909833</v>
      </c>
      <c r="I873" s="9" t="b">
        <v>1</v>
      </c>
      <c r="J873" s="9" t="b">
        <v>0</v>
      </c>
    </row>
    <row r="874" ht="15.75" customHeight="1">
      <c r="A874" s="5">
        <v>5.0</v>
      </c>
      <c r="B874" s="5">
        <v>20243.0</v>
      </c>
      <c r="C874" s="5">
        <v>103.50321250057026</v>
      </c>
      <c r="D874" s="5">
        <v>118.2728864891594</v>
      </c>
      <c r="E874" s="5">
        <v>3.503212500570257</v>
      </c>
      <c r="F874" s="5">
        <v>18.272886489159404</v>
      </c>
      <c r="G874" s="5">
        <v>13.251015480860119</v>
      </c>
      <c r="H874" s="5">
        <v>-5.021871008299286</v>
      </c>
      <c r="I874" s="9" t="b">
        <v>1</v>
      </c>
      <c r="J874" s="9" t="b">
        <v>0</v>
      </c>
    </row>
    <row r="875" ht="15.75" customHeight="1">
      <c r="A875" s="5">
        <v>6.0</v>
      </c>
      <c r="B875" s="5">
        <v>20243.0</v>
      </c>
      <c r="C875" s="5">
        <v>101.04034635038563</v>
      </c>
      <c r="D875" s="5">
        <v>122.1557798486792</v>
      </c>
      <c r="E875" s="5">
        <v>1.040346350385633</v>
      </c>
      <c r="F875" s="5">
        <v>22.155779848679202</v>
      </c>
      <c r="G875" s="5">
        <v>21.61677615877</v>
      </c>
      <c r="H875" s="5">
        <v>-0.539003689909201</v>
      </c>
      <c r="I875" s="9" t="b">
        <v>1</v>
      </c>
      <c r="J875" s="9" t="b">
        <v>0</v>
      </c>
    </row>
    <row r="876" ht="15.75" customHeight="1">
      <c r="A876" s="5">
        <v>7.0</v>
      </c>
      <c r="B876" s="5">
        <v>20243.0</v>
      </c>
      <c r="C876" s="5">
        <v>102.56731511332868</v>
      </c>
      <c r="D876" s="5">
        <v>125.3545288941677</v>
      </c>
      <c r="E876" s="5">
        <v>2.567315113328675</v>
      </c>
      <c r="F876" s="5">
        <v>25.3545288941677</v>
      </c>
      <c r="G876" s="5">
        <v>25.214948848894725</v>
      </c>
      <c r="H876" s="5">
        <v>-0.13958004527297518</v>
      </c>
      <c r="I876" s="9" t="b">
        <v>1</v>
      </c>
      <c r="J876" s="9" t="b">
        <v>0</v>
      </c>
    </row>
    <row r="877" ht="15.75" customHeight="1">
      <c r="A877" s="5">
        <v>8.0</v>
      </c>
      <c r="B877" s="5">
        <v>20243.0</v>
      </c>
      <c r="C877" s="5">
        <v>101.16337885685384</v>
      </c>
      <c r="D877" s="5">
        <v>113.89521640091117</v>
      </c>
      <c r="E877" s="5">
        <v>1.1633788568538392</v>
      </c>
      <c r="F877" s="5">
        <v>13.895216400911167</v>
      </c>
      <c r="G877" s="5">
        <v>18.232084166258744</v>
      </c>
      <c r="H877" s="5">
        <v>4.336867765347577</v>
      </c>
      <c r="I877" s="9" t="b">
        <v>1</v>
      </c>
      <c r="J877" s="9" t="b">
        <v>0</v>
      </c>
    </row>
    <row r="878" ht="15.75" customHeight="1">
      <c r="A878" s="5">
        <v>9.0</v>
      </c>
      <c r="B878" s="5">
        <v>20243.0</v>
      </c>
      <c r="C878" s="5">
        <v>104.71906391433932</v>
      </c>
      <c r="D878" s="5">
        <v>113.52920057443752</v>
      </c>
      <c r="E878" s="5">
        <v>4.719063914339316</v>
      </c>
      <c r="F878" s="5">
        <v>13.529200574437525</v>
      </c>
      <c r="G878" s="5">
        <v>16.18114305453866</v>
      </c>
      <c r="H878" s="5">
        <v>2.651942480101134</v>
      </c>
      <c r="I878" s="9" t="b">
        <v>1</v>
      </c>
      <c r="J878" s="9" t="b">
        <v>0</v>
      </c>
    </row>
    <row r="879" ht="15.75" customHeight="1">
      <c r="A879" s="5">
        <v>10.0</v>
      </c>
      <c r="B879" s="5">
        <v>20243.0</v>
      </c>
      <c r="C879" s="5">
        <v>101.41277310279304</v>
      </c>
      <c r="D879" s="5">
        <v>116.18184443207346</v>
      </c>
      <c r="E879" s="5">
        <v>1.4127731027930395</v>
      </c>
      <c r="F879" s="5">
        <v>16.18184443207346</v>
      </c>
      <c r="G879" s="5">
        <v>16.982882617728336</v>
      </c>
      <c r="H879" s="5">
        <v>0.8010381856548747</v>
      </c>
      <c r="I879" s="9" t="b">
        <v>1</v>
      </c>
      <c r="J879" s="9" t="b">
        <v>0</v>
      </c>
    </row>
    <row r="880" ht="15.75" customHeight="1">
      <c r="A880" s="5">
        <v>11.0</v>
      </c>
      <c r="B880" s="5">
        <v>20243.0</v>
      </c>
      <c r="C880" s="5">
        <v>102.6769384042493</v>
      </c>
      <c r="D880" s="5">
        <v>116.3120668595572</v>
      </c>
      <c r="E880" s="5">
        <v>2.6769384042492987</v>
      </c>
      <c r="F880" s="5">
        <v>16.312066859557206</v>
      </c>
      <c r="G880" s="5">
        <v>17.218578623555736</v>
      </c>
      <c r="H880" s="5">
        <v>0.9065117639985303</v>
      </c>
      <c r="I880" s="9" t="b">
        <v>1</v>
      </c>
      <c r="J880" s="9" t="b">
        <v>0</v>
      </c>
    </row>
    <row r="881" ht="15.75" customHeight="1">
      <c r="A881" s="5">
        <v>12.0</v>
      </c>
      <c r="B881" s="5">
        <v>20243.0</v>
      </c>
      <c r="C881" s="5">
        <v>106.64370078740156</v>
      </c>
      <c r="D881" s="5">
        <v>123.125</v>
      </c>
      <c r="E881" s="5">
        <v>6.643700787401556</v>
      </c>
      <c r="F881" s="5">
        <v>23.125</v>
      </c>
      <c r="G881" s="5">
        <v>19.870034884291666</v>
      </c>
      <c r="H881" s="5">
        <v>-3.254965115708334</v>
      </c>
      <c r="I881" s="9" t="b">
        <v>1</v>
      </c>
      <c r="J881" s="9" t="b">
        <v>0</v>
      </c>
    </row>
    <row r="882" ht="15.75" customHeight="1">
      <c r="A882" s="5">
        <v>13.0</v>
      </c>
      <c r="B882" s="5">
        <v>20243.0</v>
      </c>
      <c r="C882" s="5">
        <v>108.25830394233496</v>
      </c>
      <c r="D882" s="5">
        <v>117.6558584976076</v>
      </c>
      <c r="E882" s="5">
        <v>8.258303942334962</v>
      </c>
      <c r="F882" s="5">
        <v>17.655858497607596</v>
      </c>
      <c r="G882" s="5">
        <v>15.73720330394881</v>
      </c>
      <c r="H882" s="5">
        <v>-1.9186551936587861</v>
      </c>
      <c r="I882" s="9" t="b">
        <v>1</v>
      </c>
      <c r="J882" s="9" t="b">
        <v>0</v>
      </c>
    </row>
    <row r="883" ht="15.75" customHeight="1">
      <c r="A883" s="5">
        <v>14.0</v>
      </c>
      <c r="B883" s="5">
        <v>20243.0</v>
      </c>
      <c r="C883" s="5">
        <v>101.85847173722128</v>
      </c>
      <c r="D883" s="5">
        <v>113.76605611302772</v>
      </c>
      <c r="E883" s="5">
        <v>1.8584717372212793</v>
      </c>
      <c r="F883" s="5">
        <v>13.766056113027716</v>
      </c>
      <c r="G883" s="5">
        <v>22.59536733847196</v>
      </c>
      <c r="H883" s="5">
        <v>8.829311225444243</v>
      </c>
      <c r="I883" s="9" t="b">
        <v>1</v>
      </c>
      <c r="J883" s="9" t="b">
        <v>0</v>
      </c>
    </row>
    <row r="884" ht="15.75" customHeight="1">
      <c r="A884" s="5">
        <v>15.0</v>
      </c>
      <c r="B884" s="5">
        <v>20243.0</v>
      </c>
      <c r="C884" s="5">
        <v>104.8212485816166</v>
      </c>
      <c r="D884" s="5">
        <v>118.52313245593795</v>
      </c>
      <c r="E884" s="5">
        <v>4.821248581616601</v>
      </c>
      <c r="F884" s="5">
        <v>18.523132455937954</v>
      </c>
      <c r="G884" s="5">
        <v>17.134809126712035</v>
      </c>
      <c r="H884" s="5">
        <v>-1.3883233292259192</v>
      </c>
      <c r="I884" s="9" t="b">
        <v>1</v>
      </c>
      <c r="J884" s="9" t="b">
        <v>0</v>
      </c>
    </row>
    <row r="885" ht="15.75" customHeight="1">
      <c r="A885" s="5">
        <v>16.0</v>
      </c>
      <c r="B885" s="5">
        <v>20243.0</v>
      </c>
      <c r="C885" s="5">
        <v>107.07052101649056</v>
      </c>
      <c r="D885" s="5">
        <v>116.28248009098787</v>
      </c>
      <c r="E885" s="5">
        <v>7.070521016490559</v>
      </c>
      <c r="F885" s="5">
        <v>16.282480090987875</v>
      </c>
      <c r="G885" s="5">
        <v>19.88284610346167</v>
      </c>
      <c r="H885" s="5">
        <v>3.6003660124737955</v>
      </c>
      <c r="I885" s="9" t="b">
        <v>1</v>
      </c>
      <c r="J885" s="9" t="b">
        <v>0</v>
      </c>
    </row>
    <row r="886" ht="15.75" customHeight="1">
      <c r="A886" s="5">
        <v>17.0</v>
      </c>
      <c r="B886" s="5">
        <v>20243.0</v>
      </c>
      <c r="C886" s="5">
        <v>102.09522811796134</v>
      </c>
      <c r="D886" s="5">
        <v>112.15259796305888</v>
      </c>
      <c r="E886" s="5">
        <v>2.095228117961341</v>
      </c>
      <c r="F886" s="5">
        <v>12.15259796305888</v>
      </c>
      <c r="G886" s="5">
        <v>17.121037289842555</v>
      </c>
      <c r="H886" s="5">
        <v>4.968439326783674</v>
      </c>
      <c r="I886" s="9" t="b">
        <v>1</v>
      </c>
      <c r="J886" s="9" t="b">
        <v>0</v>
      </c>
    </row>
    <row r="887" ht="15.75" customHeight="1">
      <c r="A887" s="5">
        <v>1.0</v>
      </c>
      <c r="B887" s="5">
        <v>20253.0</v>
      </c>
      <c r="C887" s="5">
        <v>100.46794571829668</v>
      </c>
      <c r="D887" s="5">
        <v>98.84898710865562</v>
      </c>
      <c r="E887" s="5">
        <v>0.46794571829667575</v>
      </c>
      <c r="F887" s="5">
        <v>-1.1510128913443793</v>
      </c>
      <c r="G887" s="5">
        <v>4.946585251167468</v>
      </c>
      <c r="H887" s="5">
        <v>6.097598142511847</v>
      </c>
      <c r="I887" s="9" t="b">
        <v>1</v>
      </c>
      <c r="J887" s="9" t="b">
        <v>1</v>
      </c>
    </row>
    <row r="888" ht="15.75" customHeight="1">
      <c r="A888" s="5">
        <v>2.0</v>
      </c>
      <c r="B888" s="5">
        <v>20253.0</v>
      </c>
      <c r="C888" s="5">
        <v>100.60681632988812</v>
      </c>
      <c r="D888" s="5">
        <v>108.28945446589384</v>
      </c>
      <c r="E888" s="5">
        <v>0.6068163298881188</v>
      </c>
      <c r="F888" s="5">
        <v>8.28945446589384</v>
      </c>
      <c r="G888" s="5">
        <v>-3.3465321241537893</v>
      </c>
      <c r="H888" s="5">
        <v>-11.63598659004763</v>
      </c>
      <c r="I888" s="9" t="b">
        <v>1</v>
      </c>
      <c r="J888" s="9" t="b">
        <v>1</v>
      </c>
    </row>
    <row r="889" ht="15.75" customHeight="1">
      <c r="A889" s="5">
        <v>5.0</v>
      </c>
      <c r="B889" s="5">
        <v>20253.0</v>
      </c>
      <c r="C889" s="5">
        <v>99.17729660179728</v>
      </c>
      <c r="D889" s="5">
        <v>105.01884123154576</v>
      </c>
      <c r="E889" s="5">
        <v>-0.8227033982027194</v>
      </c>
      <c r="F889" s="5">
        <v>5.018841231545764</v>
      </c>
      <c r="G889" s="5">
        <v>4.877229768095548</v>
      </c>
      <c r="H889" s="5">
        <v>-0.14161146345021614</v>
      </c>
      <c r="I889" s="9" t="b">
        <v>1</v>
      </c>
      <c r="J889" s="9" t="b">
        <v>0</v>
      </c>
    </row>
    <row r="890" ht="15.75" customHeight="1">
      <c r="A890" s="5">
        <v>6.0</v>
      </c>
      <c r="B890" s="5">
        <v>20253.0</v>
      </c>
      <c r="C890" s="5">
        <v>101.16886298010112</v>
      </c>
      <c r="D890" s="5">
        <v>102.19370958826104</v>
      </c>
      <c r="E890" s="5">
        <v>1.1688629801011245</v>
      </c>
      <c r="F890" s="5">
        <v>2.1937095882610436</v>
      </c>
      <c r="G890" s="5">
        <v>3.9532154324690927</v>
      </c>
      <c r="H890" s="5">
        <v>1.7595058442080491</v>
      </c>
      <c r="I890" s="9" t="b">
        <v>1</v>
      </c>
      <c r="J890" s="9" t="b">
        <v>0</v>
      </c>
    </row>
    <row r="891" ht="15.75" customHeight="1">
      <c r="A891" s="5">
        <v>7.0</v>
      </c>
      <c r="B891" s="5">
        <v>20253.0</v>
      </c>
      <c r="C891" s="5">
        <v>98.9777393945885</v>
      </c>
      <c r="D891" s="5">
        <v>99.5864786992136</v>
      </c>
      <c r="E891" s="5">
        <v>-1.0222606054115033</v>
      </c>
      <c r="F891" s="5">
        <v>-0.4135213007863996</v>
      </c>
      <c r="G891" s="5">
        <v>-1.9267815999354565</v>
      </c>
      <c r="H891" s="5">
        <v>-1.513260299149057</v>
      </c>
      <c r="I891" s="9" t="b">
        <v>1</v>
      </c>
      <c r="J891" s="9" t="b">
        <v>0</v>
      </c>
    </row>
    <row r="892" ht="15.75" customHeight="1">
      <c r="A892" s="5">
        <v>8.0</v>
      </c>
      <c r="B892" s="5">
        <v>20253.0</v>
      </c>
      <c r="C892" s="5">
        <v>101.37420203693776</v>
      </c>
      <c r="D892" s="5">
        <v>104.015</v>
      </c>
      <c r="E892" s="5">
        <v>1.3742020369377599</v>
      </c>
      <c r="F892" s="5">
        <v>4.015000000000001</v>
      </c>
      <c r="G892" s="5">
        <v>3.184197001093181</v>
      </c>
      <c r="H892" s="5">
        <v>-0.8308029989068197</v>
      </c>
      <c r="I892" s="9" t="b">
        <v>1</v>
      </c>
      <c r="J892" s="9" t="b">
        <v>0</v>
      </c>
    </row>
    <row r="893" ht="15.75" customHeight="1">
      <c r="A893" s="5">
        <v>9.0</v>
      </c>
      <c r="B893" s="5">
        <v>20253.0</v>
      </c>
      <c r="C893" s="5">
        <v>101.3437186029444</v>
      </c>
      <c r="D893" s="5">
        <v>103.9118975890982</v>
      </c>
      <c r="E893" s="5">
        <v>1.3437186029444064</v>
      </c>
      <c r="F893" s="5">
        <v>3.911897589098203</v>
      </c>
      <c r="G893" s="5">
        <v>3.373061283844714</v>
      </c>
      <c r="H893" s="5">
        <v>-0.538836305253489</v>
      </c>
      <c r="I893" s="9" t="b">
        <v>1</v>
      </c>
      <c r="J893" s="9" t="b">
        <v>0</v>
      </c>
    </row>
    <row r="894" ht="15.75" customHeight="1">
      <c r="A894" s="5">
        <v>10.0</v>
      </c>
      <c r="B894" s="5">
        <v>20253.0</v>
      </c>
      <c r="C894" s="5">
        <v>104.0812212000276</v>
      </c>
      <c r="D894" s="5">
        <v>109.19146124604896</v>
      </c>
      <c r="E894" s="5">
        <v>4.081221200027599</v>
      </c>
      <c r="F894" s="5">
        <v>9.19146124604896</v>
      </c>
      <c r="G894" s="5">
        <v>4.411253850078323</v>
      </c>
      <c r="H894" s="5">
        <v>-4.780207395970637</v>
      </c>
      <c r="I894" s="9" t="b">
        <v>1</v>
      </c>
      <c r="J894" s="9" t="b">
        <v>0</v>
      </c>
    </row>
    <row r="895" ht="15.75" customHeight="1">
      <c r="A895" s="5">
        <v>11.0</v>
      </c>
      <c r="B895" s="5">
        <v>20253.0</v>
      </c>
      <c r="C895" s="5">
        <v>100.20696426550546</v>
      </c>
      <c r="D895" s="5">
        <v>100.62234586121504</v>
      </c>
      <c r="E895" s="5">
        <v>0.2069642655054622</v>
      </c>
      <c r="F895" s="5">
        <v>0.6223458612150381</v>
      </c>
      <c r="G895" s="5">
        <v>2.3404960241384165</v>
      </c>
      <c r="H895" s="5">
        <v>1.7181501629233784</v>
      </c>
      <c r="I895" s="9" t="b">
        <v>1</v>
      </c>
      <c r="J895" s="9" t="b">
        <v>0</v>
      </c>
    </row>
    <row r="896" ht="15.75" customHeight="1">
      <c r="A896" s="5">
        <v>12.0</v>
      </c>
      <c r="B896" s="5">
        <v>20253.0</v>
      </c>
      <c r="C896" s="5">
        <v>101.6486104569006</v>
      </c>
      <c r="D896" s="5">
        <v>99.58467928011076</v>
      </c>
      <c r="E896" s="5">
        <v>1.6486104569005988</v>
      </c>
      <c r="F896" s="5">
        <v>-0.41532071988923747</v>
      </c>
      <c r="G896" s="5">
        <v>3.9560782421138807</v>
      </c>
      <c r="H896" s="5">
        <v>4.371398962003118</v>
      </c>
      <c r="I896" s="9" t="b">
        <v>1</v>
      </c>
      <c r="J896" s="9" t="b">
        <v>1</v>
      </c>
    </row>
    <row r="897" ht="15.75" customHeight="1">
      <c r="A897" s="5">
        <v>13.0</v>
      </c>
      <c r="B897" s="5">
        <v>20253.0</v>
      </c>
      <c r="C897" s="5">
        <v>96.89617751398856</v>
      </c>
      <c r="D897" s="5">
        <v>95.19558911528924</v>
      </c>
      <c r="E897" s="5">
        <v>-3.1038224860114383</v>
      </c>
      <c r="F897" s="5">
        <v>-4.804410884710762</v>
      </c>
      <c r="G897" s="5">
        <v>0.5254208149135353</v>
      </c>
      <c r="H897" s="5">
        <v>5.329831699624298</v>
      </c>
      <c r="I897" s="9" t="b">
        <v>1</v>
      </c>
      <c r="J897" s="9" t="b">
        <v>1</v>
      </c>
    </row>
    <row r="898" ht="15.75" customHeight="1">
      <c r="A898" s="5">
        <v>14.0</v>
      </c>
      <c r="B898" s="5">
        <v>20253.0</v>
      </c>
      <c r="C898" s="5">
        <v>97.72882015926578</v>
      </c>
      <c r="D898" s="5">
        <v>98.0177534788218</v>
      </c>
      <c r="E898" s="5">
        <v>-2.27117984073422</v>
      </c>
      <c r="F898" s="5">
        <v>-1.9822465211781974</v>
      </c>
      <c r="G898" s="5">
        <v>-2.4028147389891785</v>
      </c>
      <c r="H898" s="5">
        <v>-0.4205682178109811</v>
      </c>
      <c r="I898" s="9" t="b">
        <v>1</v>
      </c>
      <c r="J898" s="9" t="b">
        <v>0</v>
      </c>
    </row>
    <row r="899" ht="15.75" customHeight="1">
      <c r="A899" s="5">
        <v>15.0</v>
      </c>
      <c r="B899" s="5">
        <v>20253.0</v>
      </c>
      <c r="C899" s="5">
        <v>100.47251418261452</v>
      </c>
      <c r="D899" s="5">
        <v>101.2818085404632</v>
      </c>
      <c r="E899" s="5">
        <v>0.4725141826145176</v>
      </c>
      <c r="F899" s="5">
        <v>1.281808540463203</v>
      </c>
      <c r="G899" s="5">
        <v>-1.9768210697645228</v>
      </c>
      <c r="H899" s="5">
        <v>-3.2586296102277257</v>
      </c>
      <c r="I899" s="9" t="b">
        <v>1</v>
      </c>
      <c r="J899" s="9" t="b">
        <v>1</v>
      </c>
    </row>
    <row r="900" ht="15.75" customHeight="1">
      <c r="A900" s="5">
        <v>16.0</v>
      </c>
      <c r="B900" s="5">
        <v>20253.0</v>
      </c>
      <c r="C900" s="5">
        <v>102.2959348933353</v>
      </c>
      <c r="D900" s="5">
        <v>107.58536978054948</v>
      </c>
      <c r="E900" s="5">
        <v>2.2959348933353</v>
      </c>
      <c r="F900" s="5">
        <v>7.585369780549485</v>
      </c>
      <c r="G900" s="5">
        <v>7.615503589609629</v>
      </c>
      <c r="H900" s="5">
        <v>0.0301338090601444</v>
      </c>
      <c r="I900" s="9" t="b">
        <v>1</v>
      </c>
      <c r="J900" s="9" t="b">
        <v>0</v>
      </c>
    </row>
    <row r="901" ht="15.75" customHeight="1">
      <c r="A901" s="5">
        <v>17.0</v>
      </c>
      <c r="B901" s="5">
        <v>20253.0</v>
      </c>
      <c r="C901" s="5">
        <v>96.88071627996533</v>
      </c>
      <c r="D901" s="5">
        <v>103.25791390898362</v>
      </c>
      <c r="E901" s="5">
        <v>-3.119283720034673</v>
      </c>
      <c r="F901" s="5">
        <v>3.2579139089836247</v>
      </c>
      <c r="G901" s="5">
        <v>2.851765561809594</v>
      </c>
      <c r="H901" s="5">
        <v>-0.4061483471740308</v>
      </c>
      <c r="I901" s="9" t="b">
        <v>1</v>
      </c>
      <c r="J901" s="9" t="b">
        <v>0</v>
      </c>
    </row>
    <row r="902" ht="15.75" customHeight="1">
      <c r="A902" s="5">
        <v>1.0</v>
      </c>
      <c r="B902" s="5">
        <v>20064.0</v>
      </c>
      <c r="C902" s="5">
        <v>116.95654142844596</v>
      </c>
      <c r="E902" s="5">
        <v>16.95654142844596</v>
      </c>
      <c r="I902" s="9" t="b">
        <v>0</v>
      </c>
      <c r="J902" s="9" t="b">
        <v>0</v>
      </c>
    </row>
    <row r="903" ht="15.75" customHeight="1">
      <c r="A903" s="5">
        <v>2.0</v>
      </c>
      <c r="B903" s="5">
        <v>20064.0</v>
      </c>
      <c r="C903" s="5">
        <v>105.63607085346214</v>
      </c>
      <c r="E903" s="5">
        <v>5.636070853462144</v>
      </c>
      <c r="I903" s="9" t="b">
        <v>0</v>
      </c>
      <c r="J903" s="9" t="b">
        <v>0</v>
      </c>
    </row>
    <row r="904" ht="15.75" customHeight="1">
      <c r="A904" s="5">
        <v>5.0</v>
      </c>
      <c r="B904" s="5">
        <v>20064.0</v>
      </c>
      <c r="C904" s="5">
        <v>98.8099074068502</v>
      </c>
      <c r="E904" s="5">
        <v>-1.1900925931497994</v>
      </c>
      <c r="I904" s="9" t="b">
        <v>0</v>
      </c>
      <c r="J904" s="9" t="b">
        <v>0</v>
      </c>
    </row>
    <row r="905" ht="15.75" customHeight="1">
      <c r="A905" s="5">
        <v>6.0</v>
      </c>
      <c r="B905" s="5">
        <v>20064.0</v>
      </c>
      <c r="C905" s="5">
        <v>111.04047118662528</v>
      </c>
      <c r="E905" s="5">
        <v>11.040471186625282</v>
      </c>
      <c r="I905" s="9" t="b">
        <v>0</v>
      </c>
      <c r="J905" s="9" t="b">
        <v>0</v>
      </c>
    </row>
    <row r="906" ht="15.75" customHeight="1">
      <c r="A906" s="5">
        <v>7.0</v>
      </c>
      <c r="B906" s="5">
        <v>20064.0</v>
      </c>
      <c r="C906" s="5">
        <v>117.83995422947422</v>
      </c>
      <c r="E906" s="5">
        <v>17.839954229474216</v>
      </c>
      <c r="I906" s="9" t="b">
        <v>0</v>
      </c>
      <c r="J906" s="9" t="b">
        <v>0</v>
      </c>
    </row>
    <row r="907" ht="15.75" customHeight="1">
      <c r="A907" s="5">
        <v>8.0</v>
      </c>
      <c r="B907" s="5">
        <v>20064.0</v>
      </c>
      <c r="C907" s="5">
        <v>101.25749630430025</v>
      </c>
      <c r="E907" s="5">
        <v>1.257496304300247</v>
      </c>
      <c r="I907" s="9" t="b">
        <v>0</v>
      </c>
      <c r="J907" s="9" t="b">
        <v>0</v>
      </c>
    </row>
    <row r="908" ht="15.75" customHeight="1">
      <c r="A908" s="5">
        <v>9.0</v>
      </c>
      <c r="B908" s="5">
        <v>20064.0</v>
      </c>
      <c r="C908" s="5">
        <v>114.83552408020655</v>
      </c>
      <c r="E908" s="5">
        <v>14.835524080206554</v>
      </c>
      <c r="I908" s="9" t="b">
        <v>0</v>
      </c>
      <c r="J908" s="9" t="b">
        <v>0</v>
      </c>
    </row>
    <row r="909" ht="15.75" customHeight="1">
      <c r="A909" s="5">
        <v>10.0</v>
      </c>
      <c r="B909" s="5">
        <v>20064.0</v>
      </c>
      <c r="I909" s="9" t="b">
        <v>0</v>
      </c>
      <c r="J909" s="9" t="b">
        <v>0</v>
      </c>
    </row>
    <row r="910" ht="15.75" customHeight="1">
      <c r="A910" s="5">
        <v>11.0</v>
      </c>
      <c r="B910" s="5">
        <v>20064.0</v>
      </c>
      <c r="C910" s="5">
        <v>115.61382598331348</v>
      </c>
      <c r="E910" s="5">
        <v>15.613825983313475</v>
      </c>
      <c r="I910" s="9" t="b">
        <v>0</v>
      </c>
      <c r="J910" s="9" t="b">
        <v>0</v>
      </c>
    </row>
    <row r="911" ht="15.75" customHeight="1">
      <c r="A911" s="5">
        <v>12.0</v>
      </c>
      <c r="B911" s="5">
        <v>20064.0</v>
      </c>
      <c r="C911" s="5">
        <v>112.3529411764706</v>
      </c>
      <c r="E911" s="5">
        <v>12.352941176470594</v>
      </c>
      <c r="I911" s="9" t="b">
        <v>0</v>
      </c>
      <c r="J911" s="9" t="b">
        <v>0</v>
      </c>
    </row>
    <row r="912" ht="15.75" customHeight="1">
      <c r="A912" s="5">
        <v>13.0</v>
      </c>
      <c r="B912" s="5">
        <v>20064.0</v>
      </c>
      <c r="C912" s="5">
        <v>104.11279484922736</v>
      </c>
      <c r="E912" s="5">
        <v>4.112794849227356</v>
      </c>
      <c r="I912" s="9" t="b">
        <v>0</v>
      </c>
      <c r="J912" s="9" t="b">
        <v>0</v>
      </c>
    </row>
    <row r="913" ht="15.75" customHeight="1">
      <c r="A913" s="5">
        <v>14.0</v>
      </c>
      <c r="B913" s="5">
        <v>20064.0</v>
      </c>
      <c r="C913" s="5">
        <v>121.91142823013416</v>
      </c>
      <c r="E913" s="5">
        <v>21.911428230134163</v>
      </c>
      <c r="I913" s="9" t="b">
        <v>0</v>
      </c>
      <c r="J913" s="9" t="b">
        <v>0</v>
      </c>
    </row>
    <row r="914" ht="15.75" customHeight="1">
      <c r="A914" s="5">
        <v>15.0</v>
      </c>
      <c r="B914" s="5">
        <v>20064.0</v>
      </c>
      <c r="C914" s="5">
        <v>103.27905054515132</v>
      </c>
      <c r="E914" s="5">
        <v>3.279050545151321</v>
      </c>
      <c r="I914" s="9" t="b">
        <v>0</v>
      </c>
      <c r="J914" s="9" t="b">
        <v>0</v>
      </c>
    </row>
    <row r="915" ht="15.75" customHeight="1">
      <c r="A915" s="5">
        <v>16.0</v>
      </c>
      <c r="B915" s="5">
        <v>20064.0</v>
      </c>
      <c r="C915" s="5">
        <v>107.74503599821168</v>
      </c>
      <c r="E915" s="5">
        <v>7.7450359982116765</v>
      </c>
      <c r="I915" s="9" t="b">
        <v>0</v>
      </c>
      <c r="J915" s="9" t="b">
        <v>0</v>
      </c>
    </row>
    <row r="916" ht="15.75" customHeight="1">
      <c r="A916" s="5">
        <v>17.0</v>
      </c>
      <c r="B916" s="5">
        <v>20064.0</v>
      </c>
      <c r="C916" s="5">
        <v>123.4327409710244</v>
      </c>
      <c r="E916" s="5">
        <v>23.4327409710244</v>
      </c>
      <c r="I916" s="9" t="b">
        <v>0</v>
      </c>
      <c r="J916" s="9" t="b">
        <v>0</v>
      </c>
    </row>
    <row r="917" ht="15.75" customHeight="1">
      <c r="A917" s="5">
        <v>1.0</v>
      </c>
      <c r="B917" s="5">
        <v>20074.0</v>
      </c>
      <c r="C917" s="5">
        <v>99.5947833229732</v>
      </c>
      <c r="D917" s="5">
        <v>148.12613985474573</v>
      </c>
      <c r="E917" s="5">
        <v>-0.4052166770268002</v>
      </c>
      <c r="F917" s="5">
        <v>48.12613985474573</v>
      </c>
      <c r="G917" s="5">
        <v>52.471069271516456</v>
      </c>
      <c r="H917" s="5">
        <v>4.344929416770725</v>
      </c>
      <c r="I917" s="9" t="b">
        <v>1</v>
      </c>
      <c r="J917" s="9" t="b">
        <v>0</v>
      </c>
    </row>
    <row r="918" ht="15.75" customHeight="1">
      <c r="A918" s="5">
        <v>2.0</v>
      </c>
      <c r="B918" s="5">
        <v>20074.0</v>
      </c>
      <c r="C918" s="5">
        <v>95.59255631733596</v>
      </c>
      <c r="D918" s="5">
        <v>148.78048780487805</v>
      </c>
      <c r="E918" s="5">
        <v>-4.407443682664038</v>
      </c>
      <c r="F918" s="5">
        <v>48.78048780487805</v>
      </c>
      <c r="G918" s="5">
        <v>51.876002795006414</v>
      </c>
      <c r="H918" s="5">
        <v>3.0955149901283647</v>
      </c>
      <c r="I918" s="9" t="b">
        <v>1</v>
      </c>
      <c r="J918" s="9" t="b">
        <v>0</v>
      </c>
    </row>
    <row r="919" ht="15.75" customHeight="1">
      <c r="A919" s="5">
        <v>5.0</v>
      </c>
      <c r="B919" s="5">
        <v>20074.0</v>
      </c>
      <c r="C919" s="5">
        <v>78.62046336830886</v>
      </c>
      <c r="D919" s="5">
        <v>141.17576447432845</v>
      </c>
      <c r="E919" s="5">
        <v>-21.37953663169114</v>
      </c>
      <c r="F919" s="5">
        <v>41.175764474328446</v>
      </c>
      <c r="G919" s="5">
        <v>71.67698198731418</v>
      </c>
      <c r="H919" s="5">
        <v>30.501217512985733</v>
      </c>
      <c r="I919" s="9" t="b">
        <v>1</v>
      </c>
      <c r="J919" s="9" t="b">
        <v>0</v>
      </c>
    </row>
    <row r="920" ht="15.75" customHeight="1">
      <c r="A920" s="5">
        <v>6.0</v>
      </c>
      <c r="B920" s="5">
        <v>20074.0</v>
      </c>
      <c r="C920" s="5">
        <v>95.77775410819258</v>
      </c>
      <c r="D920" s="5">
        <v>149.23160184845986</v>
      </c>
      <c r="E920" s="5">
        <v>-4.222245891807418</v>
      </c>
      <c r="F920" s="5">
        <v>49.23160184845986</v>
      </c>
      <c r="G920" s="5">
        <v>43.05658563402235</v>
      </c>
      <c r="H920" s="5">
        <v>-6.1750162144375125</v>
      </c>
      <c r="I920" s="9" t="b">
        <v>1</v>
      </c>
      <c r="J920" s="9" t="b">
        <v>0</v>
      </c>
    </row>
    <row r="921" ht="15.75" customHeight="1">
      <c r="A921" s="5">
        <v>7.0</v>
      </c>
      <c r="B921" s="5">
        <v>20074.0</v>
      </c>
      <c r="C921" s="5">
        <v>97.9343777972948</v>
      </c>
      <c r="D921" s="5">
        <v>105.75260281059876</v>
      </c>
      <c r="E921" s="5">
        <v>-2.0656222027051996</v>
      </c>
      <c r="F921" s="5">
        <v>5.752602810598759</v>
      </c>
      <c r="G921" s="5">
        <v>24.58266362711019</v>
      </c>
      <c r="H921" s="5">
        <v>18.83006081651143</v>
      </c>
      <c r="I921" s="9" t="b">
        <v>1</v>
      </c>
      <c r="J921" s="9" t="b">
        <v>0</v>
      </c>
    </row>
    <row r="922" ht="15.75" customHeight="1">
      <c r="A922" s="5">
        <v>8.0</v>
      </c>
      <c r="B922" s="5">
        <v>20074.0</v>
      </c>
      <c r="C922" s="5">
        <v>108.3335447653524</v>
      </c>
      <c r="D922" s="5">
        <v>158.43452592313912</v>
      </c>
      <c r="E922" s="5">
        <v>8.3335447653524</v>
      </c>
      <c r="F922" s="5">
        <v>58.43452592313912</v>
      </c>
      <c r="G922" s="5">
        <v>59.04224295240208</v>
      </c>
      <c r="H922" s="5">
        <v>0.6077170292629575</v>
      </c>
      <c r="I922" s="9" t="b">
        <v>1</v>
      </c>
      <c r="J922" s="9" t="b">
        <v>0</v>
      </c>
    </row>
    <row r="923" ht="15.75" customHeight="1">
      <c r="A923" s="5">
        <v>9.0</v>
      </c>
      <c r="B923" s="5">
        <v>20074.0</v>
      </c>
      <c r="C923" s="5">
        <v>106.03904435882995</v>
      </c>
      <c r="D923" s="5">
        <v>126.33711110649278</v>
      </c>
      <c r="E923" s="5">
        <v>6.039044358829955</v>
      </c>
      <c r="F923" s="5">
        <v>26.337111106492785</v>
      </c>
      <c r="G923" s="5">
        <v>47.13892988395985</v>
      </c>
      <c r="H923" s="5">
        <v>20.801818777467062</v>
      </c>
      <c r="I923" s="9" t="b">
        <v>1</v>
      </c>
      <c r="J923" s="9" t="b">
        <v>0</v>
      </c>
    </row>
    <row r="924" ht="15.75" customHeight="1">
      <c r="A924" s="5">
        <v>10.0</v>
      </c>
      <c r="B924" s="5">
        <v>20074.0</v>
      </c>
      <c r="C924" s="5">
        <v>94.03825003552376</v>
      </c>
      <c r="E924" s="5">
        <v>-5.96174996447624</v>
      </c>
      <c r="G924" s="5">
        <v>38.39664715122122</v>
      </c>
      <c r="I924" s="9" t="b">
        <v>0</v>
      </c>
      <c r="J924" s="9" t="b">
        <v>0</v>
      </c>
    </row>
    <row r="925" ht="15.75" customHeight="1">
      <c r="A925" s="5">
        <v>11.0</v>
      </c>
      <c r="B925" s="5">
        <v>20074.0</v>
      </c>
      <c r="C925" s="5">
        <v>97.4180734856008</v>
      </c>
      <c r="D925" s="5">
        <v>144.47717231222384</v>
      </c>
      <c r="E925" s="5">
        <v>-2.5819265143992</v>
      </c>
      <c r="F925" s="5">
        <v>44.47717231222384</v>
      </c>
      <c r="G925" s="5">
        <v>60.33426030054259</v>
      </c>
      <c r="H925" s="5">
        <v>15.857087988318746</v>
      </c>
      <c r="I925" s="9" t="b">
        <v>1</v>
      </c>
      <c r="J925" s="9" t="b">
        <v>0</v>
      </c>
    </row>
    <row r="926" ht="15.75" customHeight="1">
      <c r="A926" s="5">
        <v>12.0</v>
      </c>
      <c r="B926" s="5">
        <v>20074.0</v>
      </c>
      <c r="C926" s="5">
        <v>110.96153846153848</v>
      </c>
      <c r="D926" s="5">
        <v>151.04712041884815</v>
      </c>
      <c r="E926" s="5">
        <v>10.961538461538481</v>
      </c>
      <c r="F926" s="5">
        <v>51.04712041884815</v>
      </c>
      <c r="G926" s="5">
        <v>51.56882777489626</v>
      </c>
      <c r="H926" s="5">
        <v>0.5217073560481111</v>
      </c>
      <c r="I926" s="9" t="b">
        <v>1</v>
      </c>
      <c r="J926" s="9" t="b">
        <v>0</v>
      </c>
    </row>
    <row r="927" ht="15.75" customHeight="1">
      <c r="A927" s="5">
        <v>13.0</v>
      </c>
      <c r="B927" s="5">
        <v>20074.0</v>
      </c>
      <c r="C927" s="5">
        <v>99.76987818579262</v>
      </c>
      <c r="D927" s="5">
        <v>146.96488617808456</v>
      </c>
      <c r="E927" s="5">
        <v>-0.23012181420737932</v>
      </c>
      <c r="F927" s="5">
        <v>46.964886178084555</v>
      </c>
      <c r="G927" s="5">
        <v>57.563171145626946</v>
      </c>
      <c r="H927" s="5">
        <v>10.59828496754239</v>
      </c>
      <c r="I927" s="9" t="b">
        <v>1</v>
      </c>
      <c r="J927" s="9" t="b">
        <v>0</v>
      </c>
    </row>
    <row r="928" ht="15.75" customHeight="1">
      <c r="A928" s="5">
        <v>14.0</v>
      </c>
      <c r="B928" s="5">
        <v>20074.0</v>
      </c>
      <c r="C928" s="5">
        <v>98.74510746804766</v>
      </c>
      <c r="D928" s="5">
        <v>125.94434562308344</v>
      </c>
      <c r="E928" s="5">
        <v>-1.2548925319523363</v>
      </c>
      <c r="F928" s="5">
        <v>25.944345623083436</v>
      </c>
      <c r="G928" s="5">
        <v>31.51661980004954</v>
      </c>
      <c r="H928" s="5">
        <v>5.572274176966104</v>
      </c>
      <c r="I928" s="9" t="b">
        <v>1</v>
      </c>
      <c r="J928" s="9" t="b">
        <v>0</v>
      </c>
    </row>
    <row r="929" ht="15.75" customHeight="1">
      <c r="A929" s="5">
        <v>15.0</v>
      </c>
      <c r="B929" s="5">
        <v>20074.0</v>
      </c>
      <c r="C929" s="5">
        <v>86.32438108697444</v>
      </c>
      <c r="D929" s="5">
        <v>113.40984423578676</v>
      </c>
      <c r="E929" s="5">
        <v>-13.67561891302556</v>
      </c>
      <c r="F929" s="5">
        <v>13.409844235786764</v>
      </c>
      <c r="G929" s="5">
        <v>22.33834470888423</v>
      </c>
      <c r="H929" s="5">
        <v>8.928500473097465</v>
      </c>
      <c r="I929" s="9" t="b">
        <v>1</v>
      </c>
      <c r="J929" s="9" t="b">
        <v>0</v>
      </c>
    </row>
    <row r="930" ht="15.75" customHeight="1">
      <c r="A930" s="5">
        <v>16.0</v>
      </c>
      <c r="B930" s="5">
        <v>20074.0</v>
      </c>
      <c r="C930" s="5">
        <v>101.43381518895389</v>
      </c>
      <c r="D930" s="5">
        <v>135.85728398662133</v>
      </c>
      <c r="E930" s="5">
        <v>1.4338151889538864</v>
      </c>
      <c r="F930" s="5">
        <v>35.857283986621326</v>
      </c>
      <c r="G930" s="5">
        <v>22.550184692948672</v>
      </c>
      <c r="H930" s="5">
        <v>-13.307099293672653</v>
      </c>
      <c r="I930" s="9" t="b">
        <v>1</v>
      </c>
      <c r="J930" s="9" t="b">
        <v>0</v>
      </c>
    </row>
    <row r="931" ht="15.75" customHeight="1">
      <c r="A931" s="5">
        <v>17.0</v>
      </c>
      <c r="B931" s="5">
        <v>20074.0</v>
      </c>
      <c r="C931" s="5">
        <v>103.0256224121272</v>
      </c>
      <c r="D931" s="5">
        <v>175.25983392899494</v>
      </c>
      <c r="E931" s="5">
        <v>3.0256224121272055</v>
      </c>
      <c r="F931" s="5">
        <v>75.25983392899494</v>
      </c>
      <c r="G931" s="5">
        <v>79.5305614590433</v>
      </c>
      <c r="H931" s="5">
        <v>4.270727530048362</v>
      </c>
      <c r="I931" s="9" t="b">
        <v>1</v>
      </c>
      <c r="J931" s="9" t="b">
        <v>0</v>
      </c>
    </row>
    <row r="932" ht="15.75" customHeight="1">
      <c r="A932" s="5">
        <v>1.0</v>
      </c>
      <c r="B932" s="5">
        <v>20084.0</v>
      </c>
      <c r="C932" s="5">
        <v>99.93491711233268</v>
      </c>
      <c r="D932" s="5">
        <v>98.98237784455924</v>
      </c>
      <c r="E932" s="5">
        <v>-0.06508288766731596</v>
      </c>
      <c r="F932" s="5">
        <v>-1.0176221554407618</v>
      </c>
      <c r="G932" s="5">
        <v>-3.644543641022091</v>
      </c>
      <c r="H932" s="5">
        <v>-2.626921485581329</v>
      </c>
      <c r="I932" s="9" t="b">
        <v>1</v>
      </c>
      <c r="J932" s="9" t="b">
        <v>0</v>
      </c>
    </row>
    <row r="933" ht="15.75" customHeight="1">
      <c r="A933" s="5">
        <v>2.0</v>
      </c>
      <c r="B933" s="5">
        <v>20084.0</v>
      </c>
      <c r="C933" s="5">
        <v>98.92367906066536</v>
      </c>
      <c r="D933" s="5">
        <v>103.5860655737705</v>
      </c>
      <c r="E933" s="5">
        <v>-1.0763209393346358</v>
      </c>
      <c r="F933" s="5">
        <v>3.5860655737704974</v>
      </c>
      <c r="G933" s="5">
        <v>0.07326499928543839</v>
      </c>
      <c r="H933" s="5">
        <v>-3.512800574485059</v>
      </c>
      <c r="I933" s="9" t="b">
        <v>1</v>
      </c>
      <c r="J933" s="9" t="b">
        <v>0</v>
      </c>
    </row>
    <row r="934" ht="15.75" customHeight="1">
      <c r="A934" s="5">
        <v>5.0</v>
      </c>
      <c r="B934" s="5">
        <v>20084.0</v>
      </c>
      <c r="C934" s="5">
        <v>107.34772909977994</v>
      </c>
      <c r="D934" s="5">
        <v>136.20724255168065</v>
      </c>
      <c r="E934" s="5">
        <v>7.34772909977994</v>
      </c>
      <c r="F934" s="5">
        <v>36.20724255168065</v>
      </c>
      <c r="G934" s="5">
        <v>2.537966107939371</v>
      </c>
      <c r="H934" s="5">
        <v>-33.66927644374128</v>
      </c>
      <c r="I934" s="9" t="b">
        <v>1</v>
      </c>
      <c r="J934" s="9" t="b">
        <v>0</v>
      </c>
    </row>
    <row r="935" ht="15.75" customHeight="1">
      <c r="A935" s="5">
        <v>6.0</v>
      </c>
      <c r="B935" s="5">
        <v>20084.0</v>
      </c>
      <c r="C935" s="5">
        <v>100.42572380562174</v>
      </c>
      <c r="D935" s="5">
        <v>105.87592404995154</v>
      </c>
      <c r="E935" s="5">
        <v>0.42572380562174317</v>
      </c>
      <c r="F935" s="5">
        <v>5.875924049951536</v>
      </c>
      <c r="G935" s="5">
        <v>5.5587671537481675</v>
      </c>
      <c r="H935" s="5">
        <v>-0.3171568962033682</v>
      </c>
      <c r="I935" s="9" t="b">
        <v>1</v>
      </c>
      <c r="J935" s="9" t="b">
        <v>0</v>
      </c>
    </row>
    <row r="936" ht="15.75" customHeight="1">
      <c r="A936" s="5">
        <v>7.0</v>
      </c>
      <c r="B936" s="5">
        <v>20084.0</v>
      </c>
      <c r="C936" s="5">
        <v>105.63172071835638</v>
      </c>
      <c r="D936" s="5">
        <v>95.07166390934472</v>
      </c>
      <c r="E936" s="5">
        <v>5.631720718356377</v>
      </c>
      <c r="F936" s="5">
        <v>-4.928336090655279</v>
      </c>
      <c r="G936" s="5">
        <v>-7.891275443046508</v>
      </c>
      <c r="H936" s="5">
        <v>-2.9629393523912295</v>
      </c>
      <c r="I936" s="9" t="b">
        <v>1</v>
      </c>
      <c r="J936" s="9" t="b">
        <v>0</v>
      </c>
    </row>
    <row r="937" ht="15.75" customHeight="1">
      <c r="A937" s="5">
        <v>8.0</v>
      </c>
      <c r="B937" s="5">
        <v>20084.0</v>
      </c>
      <c r="C937" s="5">
        <v>97.05485779183688</v>
      </c>
      <c r="D937" s="5">
        <v>101.70362518778693</v>
      </c>
      <c r="E937" s="5">
        <v>-2.9451422081631193</v>
      </c>
      <c r="F937" s="5">
        <v>1.7036251877869262</v>
      </c>
      <c r="G937" s="5">
        <v>2.861107298493626</v>
      </c>
      <c r="H937" s="5">
        <v>1.1574821107066997</v>
      </c>
      <c r="I937" s="9" t="b">
        <v>1</v>
      </c>
      <c r="J937" s="9" t="b">
        <v>0</v>
      </c>
    </row>
    <row r="938" ht="15.75" customHeight="1">
      <c r="A938" s="5">
        <v>9.0</v>
      </c>
      <c r="B938" s="5">
        <v>20084.0</v>
      </c>
      <c r="C938" s="5">
        <v>102.31580299250696</v>
      </c>
      <c r="D938" s="5">
        <v>96.04941899313258</v>
      </c>
      <c r="E938" s="5">
        <v>2.31580299250696</v>
      </c>
      <c r="F938" s="5">
        <v>-3.9505810068674236</v>
      </c>
      <c r="G938" s="5">
        <v>-9.359684385251377</v>
      </c>
      <c r="H938" s="5">
        <v>-5.4091033783839535</v>
      </c>
      <c r="I938" s="9" t="b">
        <v>1</v>
      </c>
      <c r="J938" s="9" t="b">
        <v>0</v>
      </c>
    </row>
    <row r="939" ht="15.75" customHeight="1">
      <c r="A939" s="5">
        <v>10.0</v>
      </c>
      <c r="B939" s="5">
        <v>20084.0</v>
      </c>
      <c r="C939" s="5">
        <v>101.48600277808258</v>
      </c>
      <c r="D939" s="5">
        <v>100.48087690256612</v>
      </c>
      <c r="E939" s="5">
        <v>1.4860027780825789</v>
      </c>
      <c r="F939" s="5">
        <v>0.4808769025661235</v>
      </c>
      <c r="G939" s="5">
        <v>-6.393060831837804</v>
      </c>
      <c r="H939" s="5">
        <v>-6.873937734403928</v>
      </c>
      <c r="I939" s="9" t="b">
        <v>1</v>
      </c>
      <c r="J939" s="9" t="b">
        <v>1</v>
      </c>
    </row>
    <row r="940" ht="15.75" customHeight="1">
      <c r="A940" s="5">
        <v>11.0</v>
      </c>
      <c r="B940" s="5">
        <v>20084.0</v>
      </c>
      <c r="C940" s="5">
        <v>94.10589410589412</v>
      </c>
      <c r="D940" s="5">
        <v>96.0244648318043</v>
      </c>
      <c r="E940" s="5">
        <v>-5.894105894105877</v>
      </c>
      <c r="F940" s="5">
        <v>-3.975535168195705</v>
      </c>
      <c r="G940" s="5">
        <v>-6.9193689676067205</v>
      </c>
      <c r="H940" s="5">
        <v>-2.9438337994110153</v>
      </c>
      <c r="I940" s="9" t="b">
        <v>1</v>
      </c>
      <c r="J940" s="9" t="b">
        <v>0</v>
      </c>
    </row>
    <row r="941" ht="15.75" customHeight="1">
      <c r="A941" s="5">
        <v>12.0</v>
      </c>
      <c r="B941" s="5">
        <v>20084.0</v>
      </c>
      <c r="C941" s="5">
        <v>99.54044117647058</v>
      </c>
      <c r="D941" s="5">
        <v>93.8474870017331</v>
      </c>
      <c r="E941" s="5">
        <v>-0.4595588235294201</v>
      </c>
      <c r="F941" s="5">
        <v>-6.1525129982669</v>
      </c>
      <c r="G941" s="5">
        <v>-3.441311504262823</v>
      </c>
      <c r="H941" s="5">
        <v>2.711201494004077</v>
      </c>
      <c r="I941" s="9" t="b">
        <v>1</v>
      </c>
      <c r="J941" s="9" t="b">
        <v>0</v>
      </c>
    </row>
    <row r="942" ht="15.75" customHeight="1">
      <c r="A942" s="5">
        <v>13.0</v>
      </c>
      <c r="B942" s="5">
        <v>20084.0</v>
      </c>
      <c r="C942" s="5">
        <v>95.05382974812392</v>
      </c>
      <c r="D942" s="5">
        <v>98.1124904208573</v>
      </c>
      <c r="E942" s="5">
        <v>-4.946170251876083</v>
      </c>
      <c r="F942" s="5">
        <v>-1.8875095791427015</v>
      </c>
      <c r="G942" s="5">
        <v>1.9707555414638422</v>
      </c>
      <c r="H942" s="5">
        <v>3.8582651206065437</v>
      </c>
      <c r="I942" s="9" t="b">
        <v>1</v>
      </c>
      <c r="J942" s="9" t="b">
        <v>1</v>
      </c>
    </row>
    <row r="943" ht="15.75" customHeight="1">
      <c r="A943" s="5">
        <v>14.0</v>
      </c>
      <c r="B943" s="5">
        <v>20084.0</v>
      </c>
      <c r="C943" s="5">
        <v>99.11144947547636</v>
      </c>
      <c r="D943" s="5">
        <v>97.8445558900272</v>
      </c>
      <c r="E943" s="5">
        <v>-0.8885505245236374</v>
      </c>
      <c r="F943" s="5">
        <v>-2.1554441099728052</v>
      </c>
      <c r="G943" s="5">
        <v>-2.6322461450457024</v>
      </c>
      <c r="H943" s="5">
        <v>-0.4768020350728972</v>
      </c>
      <c r="I943" s="9" t="b">
        <v>1</v>
      </c>
      <c r="J943" s="9" t="b">
        <v>0</v>
      </c>
    </row>
    <row r="944" ht="15.75" customHeight="1">
      <c r="A944" s="5">
        <v>15.0</v>
      </c>
      <c r="B944" s="5">
        <v>20084.0</v>
      </c>
      <c r="C944" s="5">
        <v>99.01836686221296</v>
      </c>
      <c r="D944" s="5">
        <v>97.798890642023</v>
      </c>
      <c r="E944" s="5">
        <v>-0.9816331377870426</v>
      </c>
      <c r="F944" s="5">
        <v>-2.2011093579770034</v>
      </c>
      <c r="G944" s="5">
        <v>-0.5746799573777439</v>
      </c>
      <c r="H944" s="5">
        <v>1.6264294005992594</v>
      </c>
      <c r="I944" s="9" t="b">
        <v>1</v>
      </c>
      <c r="J944" s="9" t="b">
        <v>0</v>
      </c>
    </row>
    <row r="945" ht="15.75" customHeight="1">
      <c r="A945" s="5">
        <v>16.0</v>
      </c>
      <c r="B945" s="5">
        <v>20084.0</v>
      </c>
      <c r="C945" s="5">
        <v>98.18835544316694</v>
      </c>
      <c r="D945" s="5">
        <v>91.9477488790459</v>
      </c>
      <c r="E945" s="5">
        <v>-1.811644556833059</v>
      </c>
      <c r="F945" s="5">
        <v>-8.052251120954097</v>
      </c>
      <c r="G945" s="5">
        <v>3.771256122029265</v>
      </c>
      <c r="H945" s="5">
        <v>11.82350724298336</v>
      </c>
      <c r="I945" s="9" t="b">
        <v>1</v>
      </c>
      <c r="J945" s="9" t="b">
        <v>1</v>
      </c>
    </row>
    <row r="946" ht="15.75" customHeight="1">
      <c r="A946" s="5">
        <v>17.0</v>
      </c>
      <c r="B946" s="5">
        <v>20084.0</v>
      </c>
      <c r="C946" s="5">
        <v>105.76838645892607</v>
      </c>
      <c r="D946" s="5">
        <v>97.95449285046568</v>
      </c>
      <c r="E946" s="5">
        <v>5.768386458926074</v>
      </c>
      <c r="F946" s="5">
        <v>-2.0455071495343162</v>
      </c>
      <c r="G946" s="5">
        <v>-0.028253345927042872</v>
      </c>
      <c r="H946" s="5">
        <v>2.0172538036072734</v>
      </c>
      <c r="I946" s="9" t="b">
        <v>1</v>
      </c>
      <c r="J946" s="9" t="b">
        <v>0</v>
      </c>
    </row>
    <row r="947" ht="15.75" customHeight="1">
      <c r="A947" s="5">
        <v>1.0</v>
      </c>
      <c r="B947" s="5">
        <v>20094.0</v>
      </c>
      <c r="C947" s="5">
        <v>95.13163665452956</v>
      </c>
      <c r="D947" s="5">
        <v>91.30859375</v>
      </c>
      <c r="E947" s="5">
        <v>-4.868363345470442</v>
      </c>
      <c r="F947" s="5">
        <v>-8.69140625</v>
      </c>
      <c r="G947" s="5">
        <v>-6.896209961118305</v>
      </c>
      <c r="H947" s="5">
        <v>1.7951962888816952</v>
      </c>
      <c r="I947" s="9" t="b">
        <v>1</v>
      </c>
      <c r="J947" s="9" t="b">
        <v>0</v>
      </c>
    </row>
    <row r="948" ht="15.75" customHeight="1">
      <c r="A948" s="5">
        <v>2.0</v>
      </c>
      <c r="B948" s="5">
        <v>20094.0</v>
      </c>
      <c r="C948" s="5">
        <v>108.24742268041236</v>
      </c>
      <c r="D948" s="5">
        <v>103.85756676557864</v>
      </c>
      <c r="E948" s="5">
        <v>8.247422680412356</v>
      </c>
      <c r="F948" s="5">
        <v>3.857566765578639</v>
      </c>
      <c r="G948" s="5">
        <v>-3.5419422797004607</v>
      </c>
      <c r="H948" s="5">
        <v>-7.3995090452791</v>
      </c>
      <c r="I948" s="9" t="b">
        <v>1</v>
      </c>
      <c r="J948" s="9" t="b">
        <v>1</v>
      </c>
    </row>
    <row r="949" ht="15.75" customHeight="1">
      <c r="A949" s="5">
        <v>5.0</v>
      </c>
      <c r="B949" s="5">
        <v>20094.0</v>
      </c>
      <c r="C949" s="5">
        <v>92.4474629966558</v>
      </c>
      <c r="D949" s="5">
        <v>81.65308279248987</v>
      </c>
      <c r="E949" s="5">
        <v>-7.552537003344199</v>
      </c>
      <c r="F949" s="5">
        <v>-18.34691720751013</v>
      </c>
      <c r="G949" s="5">
        <v>-8.880703445411909</v>
      </c>
      <c r="H949" s="5">
        <v>9.466213762098223</v>
      </c>
      <c r="I949" s="9" t="b">
        <v>1</v>
      </c>
      <c r="J949" s="9" t="b">
        <v>0</v>
      </c>
    </row>
    <row r="950" ht="15.75" customHeight="1">
      <c r="A950" s="5">
        <v>6.0</v>
      </c>
      <c r="B950" s="5">
        <v>20094.0</v>
      </c>
      <c r="C950" s="5">
        <v>104.19295329947175</v>
      </c>
      <c r="D950" s="5">
        <v>98.49380679720912</v>
      </c>
      <c r="E950" s="5">
        <v>4.192953299471753</v>
      </c>
      <c r="F950" s="5">
        <v>-1.5061932027908824</v>
      </c>
      <c r="G950" s="5">
        <v>2.36068222929795</v>
      </c>
      <c r="H950" s="5">
        <v>3.8668754320888326</v>
      </c>
      <c r="I950" s="9" t="b">
        <v>1</v>
      </c>
      <c r="J950" s="9" t="b">
        <v>1</v>
      </c>
    </row>
    <row r="951" ht="15.75" customHeight="1">
      <c r="A951" s="5">
        <v>7.0</v>
      </c>
      <c r="B951" s="5">
        <v>20094.0</v>
      </c>
      <c r="C951" s="5">
        <v>101.37205863494812</v>
      </c>
      <c r="D951" s="5">
        <v>94.93460713723294</v>
      </c>
      <c r="E951" s="5">
        <v>1.372058634948118</v>
      </c>
      <c r="F951" s="5">
        <v>-5.065392862767055</v>
      </c>
      <c r="G951" s="5">
        <v>-4.005353284562507</v>
      </c>
      <c r="H951" s="5">
        <v>1.060039578204548</v>
      </c>
      <c r="I951" s="9" t="b">
        <v>1</v>
      </c>
      <c r="J951" s="9" t="b">
        <v>0</v>
      </c>
    </row>
    <row r="952" ht="15.75" customHeight="1">
      <c r="A952" s="5">
        <v>8.0</v>
      </c>
      <c r="B952" s="5">
        <v>20094.0</v>
      </c>
      <c r="C952" s="5">
        <v>105.07500283246708</v>
      </c>
      <c r="D952" s="5">
        <v>102.47561651373374</v>
      </c>
      <c r="E952" s="5">
        <v>5.075002832467078</v>
      </c>
      <c r="F952" s="5">
        <v>2.4756165137337405</v>
      </c>
      <c r="G952" s="5">
        <v>-2.1964893699088384</v>
      </c>
      <c r="H952" s="5">
        <v>-4.672105883642579</v>
      </c>
      <c r="I952" s="9" t="b">
        <v>1</v>
      </c>
      <c r="J952" s="9" t="b">
        <v>1</v>
      </c>
    </row>
    <row r="953" ht="15.75" customHeight="1">
      <c r="A953" s="5">
        <v>9.0</v>
      </c>
      <c r="B953" s="5">
        <v>20094.0</v>
      </c>
      <c r="C953" s="5">
        <v>104.72117213516616</v>
      </c>
      <c r="D953" s="5">
        <v>100.51952918055348</v>
      </c>
      <c r="E953" s="5">
        <v>4.721172135166157</v>
      </c>
      <c r="F953" s="5">
        <v>0.5195291805534765</v>
      </c>
      <c r="G953" s="5">
        <v>-4.157074447195241</v>
      </c>
      <c r="H953" s="5">
        <v>-4.676603627748718</v>
      </c>
      <c r="I953" s="9" t="b">
        <v>1</v>
      </c>
      <c r="J953" s="9" t="b">
        <v>1</v>
      </c>
    </row>
    <row r="954" ht="15.75" customHeight="1">
      <c r="A954" s="5">
        <v>10.0</v>
      </c>
      <c r="B954" s="5">
        <v>20094.0</v>
      </c>
      <c r="C954" s="5">
        <v>101.64925728615856</v>
      </c>
      <c r="D954" s="5">
        <v>92.37628615122698</v>
      </c>
      <c r="E954" s="5">
        <v>1.6492572861585586</v>
      </c>
      <c r="F954" s="5">
        <v>-7.623713848773022</v>
      </c>
      <c r="G954" s="5">
        <v>-2.884100288589142</v>
      </c>
      <c r="H954" s="5">
        <v>4.73961356018388</v>
      </c>
      <c r="I954" s="9" t="b">
        <v>1</v>
      </c>
      <c r="J954" s="9" t="b">
        <v>0</v>
      </c>
    </row>
    <row r="955" ht="15.75" customHeight="1">
      <c r="A955" s="5">
        <v>11.0</v>
      </c>
      <c r="B955" s="5">
        <v>20094.0</v>
      </c>
      <c r="C955" s="5">
        <v>97.68976897689768</v>
      </c>
      <c r="D955" s="5">
        <v>94.26751592356688</v>
      </c>
      <c r="E955" s="5">
        <v>-2.310231023102318</v>
      </c>
      <c r="F955" s="5">
        <v>-5.732484076433124</v>
      </c>
      <c r="G955" s="5">
        <v>-6.933206306383699</v>
      </c>
      <c r="H955" s="5">
        <v>-1.2007222299505749</v>
      </c>
      <c r="I955" s="9" t="b">
        <v>1</v>
      </c>
      <c r="J955" s="9" t="b">
        <v>0</v>
      </c>
    </row>
    <row r="956" ht="15.75" customHeight="1">
      <c r="A956" s="5">
        <v>12.0</v>
      </c>
      <c r="B956" s="5">
        <v>20094.0</v>
      </c>
      <c r="C956" s="5">
        <v>101.6732283464567</v>
      </c>
      <c r="D956" s="5">
        <v>95.3831948291782</v>
      </c>
      <c r="E956" s="5">
        <v>1.6732283464566962</v>
      </c>
      <c r="F956" s="5">
        <v>-4.616805170821806</v>
      </c>
      <c r="G956" s="5">
        <v>-2.3780153332699894</v>
      </c>
      <c r="H956" s="5">
        <v>2.2387898375518165</v>
      </c>
      <c r="I956" s="9" t="b">
        <v>1</v>
      </c>
      <c r="J956" s="9" t="b">
        <v>0</v>
      </c>
    </row>
    <row r="957" ht="15.75" customHeight="1">
      <c r="A957" s="5">
        <v>13.0</v>
      </c>
      <c r="B957" s="5">
        <v>20094.0</v>
      </c>
      <c r="C957" s="5">
        <v>102.56670416429868</v>
      </c>
      <c r="D957" s="5">
        <v>98.70903026805104</v>
      </c>
      <c r="E957" s="5">
        <v>2.5667041642986845</v>
      </c>
      <c r="F957" s="5">
        <v>-1.2909697319489624</v>
      </c>
      <c r="G957" s="5">
        <v>-8.540610063769039</v>
      </c>
      <c r="H957" s="5">
        <v>-7.249640331820077</v>
      </c>
      <c r="I957" s="9" t="b">
        <v>1</v>
      </c>
      <c r="J957" s="9" t="b">
        <v>0</v>
      </c>
    </row>
    <row r="958" ht="15.75" customHeight="1">
      <c r="A958" s="5">
        <v>14.0</v>
      </c>
      <c r="B958" s="5">
        <v>20094.0</v>
      </c>
      <c r="C958" s="5">
        <v>100.46896234302471</v>
      </c>
      <c r="D958" s="5">
        <v>93.75056238256172</v>
      </c>
      <c r="E958" s="5">
        <v>0.46896234302471385</v>
      </c>
      <c r="F958" s="5">
        <v>-6.249437617438275</v>
      </c>
      <c r="G958" s="5">
        <v>-4.686342817072808</v>
      </c>
      <c r="H958" s="5">
        <v>1.5630948003654668</v>
      </c>
      <c r="I958" s="9" t="b">
        <v>1</v>
      </c>
      <c r="J958" s="9" t="b">
        <v>0</v>
      </c>
    </row>
    <row r="959" ht="15.75" customHeight="1">
      <c r="A959" s="5">
        <v>15.0</v>
      </c>
      <c r="B959" s="5">
        <v>20094.0</v>
      </c>
      <c r="C959" s="5">
        <v>103.42123338193842</v>
      </c>
      <c r="D959" s="5">
        <v>100.49495111645284</v>
      </c>
      <c r="E959" s="5">
        <v>3.4212333819384213</v>
      </c>
      <c r="F959" s="5">
        <v>0.49495111645283885</v>
      </c>
      <c r="G959" s="5">
        <v>-4.459597253348946</v>
      </c>
      <c r="H959" s="5">
        <v>-4.954548369801785</v>
      </c>
      <c r="I959" s="9" t="b">
        <v>1</v>
      </c>
      <c r="J959" s="9" t="b">
        <v>1</v>
      </c>
    </row>
    <row r="960" ht="15.75" customHeight="1">
      <c r="A960" s="5">
        <v>16.0</v>
      </c>
      <c r="B960" s="5">
        <v>20094.0</v>
      </c>
      <c r="C960" s="5">
        <v>100.21751973130633</v>
      </c>
      <c r="D960" s="5">
        <v>96.32594502269885</v>
      </c>
      <c r="E960" s="5">
        <v>0.21751973130632507</v>
      </c>
      <c r="F960" s="5">
        <v>-3.6740549773011537</v>
      </c>
      <c r="G960" s="5">
        <v>-5.113411097738929</v>
      </c>
      <c r="H960" s="5">
        <v>-1.4393561204377754</v>
      </c>
      <c r="I960" s="9" t="b">
        <v>1</v>
      </c>
      <c r="J960" s="9" t="b">
        <v>0</v>
      </c>
    </row>
    <row r="961" ht="15.75" customHeight="1">
      <c r="A961" s="5">
        <v>17.0</v>
      </c>
      <c r="B961" s="5">
        <v>20094.0</v>
      </c>
      <c r="C961" s="5">
        <v>99.0090268619684</v>
      </c>
      <c r="D961" s="5">
        <v>92.21443619159956</v>
      </c>
      <c r="E961" s="5">
        <v>-0.990973138031606</v>
      </c>
      <c r="F961" s="5">
        <v>-7.78556380840044</v>
      </c>
      <c r="G961" s="5">
        <v>-5.858092206226639</v>
      </c>
      <c r="H961" s="5">
        <v>1.9274716021738003</v>
      </c>
      <c r="I961" s="9" t="b">
        <v>1</v>
      </c>
      <c r="J961" s="9" t="b">
        <v>0</v>
      </c>
    </row>
    <row r="962" ht="15.75" customHeight="1">
      <c r="A962" s="5">
        <v>1.0</v>
      </c>
      <c r="B962" s="5">
        <v>20104.0</v>
      </c>
      <c r="C962" s="5">
        <v>98.1818181818182</v>
      </c>
      <c r="D962" s="5">
        <v>103.9572192513369</v>
      </c>
      <c r="E962" s="5">
        <v>-1.8181818181817988</v>
      </c>
      <c r="F962" s="5">
        <v>3.9572192513368947</v>
      </c>
      <c r="G962" s="5">
        <v>4.949313988267101</v>
      </c>
      <c r="H962" s="5">
        <v>0.9920947369302064</v>
      </c>
      <c r="I962" s="9" t="b">
        <v>1</v>
      </c>
      <c r="J962" s="9" t="b">
        <v>0</v>
      </c>
    </row>
    <row r="963" ht="15.75" customHeight="1">
      <c r="A963" s="5">
        <v>2.0</v>
      </c>
      <c r="B963" s="5">
        <v>20104.0</v>
      </c>
      <c r="C963" s="5">
        <v>99.42084942084942</v>
      </c>
      <c r="D963" s="5">
        <v>98.09523809523807</v>
      </c>
      <c r="E963" s="5">
        <v>-0.5791505791505784</v>
      </c>
      <c r="F963" s="5">
        <v>-1.9047619047619264</v>
      </c>
      <c r="G963" s="5">
        <v>1.2128478755366823</v>
      </c>
      <c r="H963" s="5">
        <v>3.1176097802986087</v>
      </c>
      <c r="I963" s="9" t="b">
        <v>1</v>
      </c>
      <c r="J963" s="9" t="b">
        <v>1</v>
      </c>
    </row>
    <row r="964" ht="15.75" customHeight="1">
      <c r="A964" s="5">
        <v>5.0</v>
      </c>
      <c r="B964" s="5">
        <v>20104.0</v>
      </c>
      <c r="C964" s="5">
        <v>98.6653956148713</v>
      </c>
      <c r="D964" s="5">
        <v>104.38326108745308</v>
      </c>
      <c r="E964" s="5">
        <v>-1.3346043851286993</v>
      </c>
      <c r="F964" s="5">
        <v>4.383261087453079</v>
      </c>
      <c r="G964" s="5">
        <v>4.70743260237132</v>
      </c>
      <c r="H964" s="5">
        <v>0.32417151491824114</v>
      </c>
      <c r="I964" s="9" t="b">
        <v>1</v>
      </c>
      <c r="J964" s="9" t="b">
        <v>0</v>
      </c>
    </row>
    <row r="965" ht="15.75" customHeight="1">
      <c r="A965" s="5">
        <v>6.0</v>
      </c>
      <c r="B965" s="5">
        <v>20104.0</v>
      </c>
      <c r="C965" s="5">
        <v>102.66819465221452</v>
      </c>
      <c r="D965" s="5">
        <v>102.01769767478169</v>
      </c>
      <c r="E965" s="5">
        <v>2.668194652214524</v>
      </c>
      <c r="F965" s="5">
        <v>2.0176976747816866</v>
      </c>
      <c r="G965" s="5">
        <v>3.310765305889962</v>
      </c>
      <c r="H965" s="5">
        <v>1.2930676311082756</v>
      </c>
      <c r="I965" s="9" t="b">
        <v>1</v>
      </c>
      <c r="J965" s="9" t="b">
        <v>0</v>
      </c>
    </row>
    <row r="966" ht="15.75" customHeight="1">
      <c r="A966" s="5">
        <v>7.0</v>
      </c>
      <c r="B966" s="5">
        <v>20104.0</v>
      </c>
      <c r="C966" s="5">
        <v>95.38534949405748</v>
      </c>
      <c r="D966" s="5">
        <v>101.5653921853498</v>
      </c>
      <c r="E966" s="5">
        <v>-4.614650505942521</v>
      </c>
      <c r="F966" s="5">
        <v>1.5653921853497934</v>
      </c>
      <c r="G966" s="5">
        <v>2.521253529261802</v>
      </c>
      <c r="H966" s="5">
        <v>0.9558613439120087</v>
      </c>
      <c r="I966" s="9" t="b">
        <v>1</v>
      </c>
      <c r="J966" s="9" t="b">
        <v>0</v>
      </c>
    </row>
    <row r="967" ht="15.75" customHeight="1">
      <c r="A967" s="5">
        <v>8.0</v>
      </c>
      <c r="B967" s="5">
        <v>20104.0</v>
      </c>
      <c r="C967" s="5">
        <v>98.24723273892424</v>
      </c>
      <c r="D967" s="5">
        <v>101.82051191660632</v>
      </c>
      <c r="E967" s="5">
        <v>-1.7527672610757605</v>
      </c>
      <c r="F967" s="5">
        <v>1.8205119166063213</v>
      </c>
      <c r="G967" s="5">
        <v>3.186141796740105</v>
      </c>
      <c r="H967" s="5">
        <v>1.3656298801337838</v>
      </c>
      <c r="I967" s="9" t="b">
        <v>1</v>
      </c>
      <c r="J967" s="9" t="b">
        <v>0</v>
      </c>
    </row>
    <row r="968" ht="15.75" customHeight="1">
      <c r="A968" s="5">
        <v>9.0</v>
      </c>
      <c r="B968" s="5">
        <v>20104.0</v>
      </c>
      <c r="C968" s="5">
        <v>97.9667282809612</v>
      </c>
      <c r="D968" s="5">
        <v>96.82396679709696</v>
      </c>
      <c r="E968" s="5">
        <v>-2.033271719038794</v>
      </c>
      <c r="F968" s="5">
        <v>-3.1760332029030423</v>
      </c>
      <c r="G968" s="5">
        <v>-0.6044580478948292</v>
      </c>
      <c r="H968" s="5">
        <v>2.571575155008213</v>
      </c>
      <c r="I968" s="9" t="b">
        <v>1</v>
      </c>
      <c r="J968" s="9" t="b">
        <v>0</v>
      </c>
    </row>
    <row r="969" ht="15.75" customHeight="1">
      <c r="A969" s="5">
        <v>10.0</v>
      </c>
      <c r="B969" s="5">
        <v>20104.0</v>
      </c>
      <c r="C969" s="5">
        <v>97.13459654725096</v>
      </c>
      <c r="D969" s="5">
        <v>104.17569770584052</v>
      </c>
      <c r="E969" s="5">
        <v>-2.8654034527490353</v>
      </c>
      <c r="F969" s="5">
        <v>4.17569770584052</v>
      </c>
      <c r="G969" s="5">
        <v>2.6687350752540473</v>
      </c>
      <c r="H969" s="5">
        <v>-1.5069626305864725</v>
      </c>
      <c r="I969" s="9" t="b">
        <v>1</v>
      </c>
      <c r="J969" s="9" t="b">
        <v>0</v>
      </c>
    </row>
    <row r="970" ht="15.75" customHeight="1">
      <c r="A970" s="5">
        <v>11.0</v>
      </c>
      <c r="B970" s="5">
        <v>20104.0</v>
      </c>
      <c r="C970" s="5">
        <v>105.4276189412553</v>
      </c>
      <c r="D970" s="5">
        <v>106.30618243243244</v>
      </c>
      <c r="E970" s="5">
        <v>5.427618941255304</v>
      </c>
      <c r="F970" s="5">
        <v>6.306182432432436</v>
      </c>
      <c r="G970" s="5">
        <v>2.465760751682211</v>
      </c>
      <c r="H970" s="5">
        <v>-3.840421680750225</v>
      </c>
      <c r="I970" s="9" t="b">
        <v>1</v>
      </c>
      <c r="J970" s="9" t="b">
        <v>0</v>
      </c>
    </row>
    <row r="971" ht="15.75" customHeight="1">
      <c r="A971" s="5">
        <v>12.0</v>
      </c>
      <c r="B971" s="5">
        <v>20104.0</v>
      </c>
      <c r="C971" s="5">
        <v>97.03770197486534</v>
      </c>
      <c r="D971" s="5">
        <v>104.64666021297194</v>
      </c>
      <c r="E971" s="5">
        <v>-2.9622980251346576</v>
      </c>
      <c r="F971" s="5">
        <v>4.646660212971938</v>
      </c>
      <c r="G971" s="5">
        <v>1.3136494117008013</v>
      </c>
      <c r="H971" s="5">
        <v>-3.3330108012711364</v>
      </c>
      <c r="I971" s="9" t="b">
        <v>1</v>
      </c>
      <c r="J971" s="9" t="b">
        <v>0</v>
      </c>
    </row>
    <row r="972" ht="15.75" customHeight="1">
      <c r="A972" s="5">
        <v>13.0</v>
      </c>
      <c r="B972" s="5">
        <v>20104.0</v>
      </c>
      <c r="C972" s="5">
        <v>101.9942095407736</v>
      </c>
      <c r="D972" s="5">
        <v>97.107835394136</v>
      </c>
      <c r="E972" s="5">
        <v>1.9942095407735962</v>
      </c>
      <c r="F972" s="5">
        <v>-2.8921646058639965</v>
      </c>
      <c r="G972" s="5">
        <v>1.532630586624384</v>
      </c>
      <c r="H972" s="5">
        <v>4.42479519248838</v>
      </c>
      <c r="I972" s="9" t="b">
        <v>1</v>
      </c>
      <c r="J972" s="9" t="b">
        <v>1</v>
      </c>
    </row>
    <row r="973" ht="15.75" customHeight="1">
      <c r="A973" s="5">
        <v>14.0</v>
      </c>
      <c r="B973" s="5">
        <v>20104.0</v>
      </c>
      <c r="C973" s="5">
        <v>100.0058883127046</v>
      </c>
      <c r="D973" s="5">
        <v>101.473094016649</v>
      </c>
      <c r="E973" s="5">
        <v>0.005888312704598775</v>
      </c>
      <c r="F973" s="5">
        <v>1.473094016649</v>
      </c>
      <c r="G973" s="5">
        <v>1.5162643869486958</v>
      </c>
      <c r="H973" s="5">
        <v>0.043170370299695726</v>
      </c>
      <c r="I973" s="9" t="b">
        <v>1</v>
      </c>
      <c r="J973" s="9" t="b">
        <v>0</v>
      </c>
    </row>
    <row r="974" ht="15.75" customHeight="1">
      <c r="A974" s="5">
        <v>15.0</v>
      </c>
      <c r="B974" s="5">
        <v>20104.0</v>
      </c>
      <c r="C974" s="5">
        <v>98.38138608705988</v>
      </c>
      <c r="D974" s="5">
        <v>100.99155617288554</v>
      </c>
      <c r="E974" s="5">
        <v>-1.6186139129401198</v>
      </c>
      <c r="F974" s="5">
        <v>0.991556172885538</v>
      </c>
      <c r="G974" s="5">
        <v>1.4868503699674962</v>
      </c>
      <c r="H974" s="5">
        <v>0.4952941970819582</v>
      </c>
      <c r="I974" s="9" t="b">
        <v>1</v>
      </c>
      <c r="J974" s="9" t="b">
        <v>0</v>
      </c>
    </row>
    <row r="975" ht="15.75" customHeight="1">
      <c r="A975" s="5">
        <v>16.0</v>
      </c>
      <c r="B975" s="5">
        <v>20104.0</v>
      </c>
      <c r="C975" s="5">
        <v>107.09146968139775</v>
      </c>
      <c r="D975" s="5">
        <v>111.83387870928296</v>
      </c>
      <c r="E975" s="5">
        <v>7.091469681397754</v>
      </c>
      <c r="F975" s="5">
        <v>11.833878709282956</v>
      </c>
      <c r="G975" s="5">
        <v>1.2137565165922348</v>
      </c>
      <c r="H975" s="5">
        <v>-10.620122192690722</v>
      </c>
      <c r="I975" s="9" t="b">
        <v>1</v>
      </c>
      <c r="J975" s="9" t="b">
        <v>0</v>
      </c>
    </row>
    <row r="976" ht="15.75" customHeight="1">
      <c r="A976" s="5">
        <v>17.0</v>
      </c>
      <c r="B976" s="5">
        <v>20104.0</v>
      </c>
      <c r="C976" s="5">
        <v>97.16914297685577</v>
      </c>
      <c r="D976" s="5">
        <v>99.33156497392812</v>
      </c>
      <c r="E976" s="5">
        <v>-2.830857023144233</v>
      </c>
      <c r="F976" s="5">
        <v>-0.6684350260718759</v>
      </c>
      <c r="G976" s="5">
        <v>4.92060727085486</v>
      </c>
      <c r="H976" s="5">
        <v>5.589042296926736</v>
      </c>
      <c r="I976" s="9" t="b">
        <v>1</v>
      </c>
      <c r="J976" s="9" t="b">
        <v>1</v>
      </c>
    </row>
    <row r="977" ht="15.75" customHeight="1">
      <c r="A977" s="5">
        <v>1.0</v>
      </c>
      <c r="B977" s="5">
        <v>20114.0</v>
      </c>
      <c r="C977" s="5">
        <v>103.55220667384285</v>
      </c>
      <c r="D977" s="5">
        <v>98.97119341563786</v>
      </c>
      <c r="E977" s="5">
        <v>3.5522066738428464</v>
      </c>
      <c r="F977" s="5">
        <v>-1.028806584362144</v>
      </c>
      <c r="G977" s="5">
        <v>1.688654373046261</v>
      </c>
      <c r="H977" s="5">
        <v>2.717460957408405</v>
      </c>
      <c r="I977" s="9" t="b">
        <v>1</v>
      </c>
      <c r="J977" s="9" t="b">
        <v>1</v>
      </c>
    </row>
    <row r="978" ht="15.75" customHeight="1">
      <c r="A978" s="5">
        <v>2.0</v>
      </c>
      <c r="B978" s="5">
        <v>20114.0</v>
      </c>
      <c r="C978" s="5">
        <v>102.41206030150754</v>
      </c>
      <c r="D978" s="5">
        <v>98.93203883495148</v>
      </c>
      <c r="E978" s="5">
        <v>2.4120603015075375</v>
      </c>
      <c r="F978" s="5">
        <v>-1.0679611650485157</v>
      </c>
      <c r="G978" s="5">
        <v>-3.807337215253892</v>
      </c>
      <c r="H978" s="5">
        <v>-2.7393760502053763</v>
      </c>
      <c r="I978" s="9" t="b">
        <v>1</v>
      </c>
      <c r="J978" s="9" t="b">
        <v>0</v>
      </c>
    </row>
    <row r="979" ht="15.75" customHeight="1">
      <c r="A979" s="5">
        <v>5.0</v>
      </c>
      <c r="B979" s="5">
        <v>20114.0</v>
      </c>
      <c r="C979" s="5">
        <v>99.01864573110892</v>
      </c>
      <c r="D979" s="5">
        <v>97.487922705314</v>
      </c>
      <c r="E979" s="5">
        <v>-0.9813542688910815</v>
      </c>
      <c r="F979" s="5">
        <v>-2.5120772946859944</v>
      </c>
      <c r="G979" s="5">
        <v>-2.345514422068551</v>
      </c>
      <c r="H979" s="5">
        <v>0.1665628726174435</v>
      </c>
      <c r="I979" s="9" t="b">
        <v>1</v>
      </c>
      <c r="J979" s="9" t="b">
        <v>0</v>
      </c>
    </row>
    <row r="980" ht="15.75" customHeight="1">
      <c r="A980" s="5">
        <v>6.0</v>
      </c>
      <c r="B980" s="5">
        <v>20114.0</v>
      </c>
      <c r="C980" s="5">
        <v>101.29279750941288</v>
      </c>
      <c r="D980" s="5">
        <v>101.79156097503066</v>
      </c>
      <c r="E980" s="5">
        <v>1.2927975094128783</v>
      </c>
      <c r="F980" s="5">
        <v>1.791560975030663</v>
      </c>
      <c r="G980" s="5">
        <v>-0.13826437379070855</v>
      </c>
      <c r="H980" s="5">
        <v>-1.9298253488213715</v>
      </c>
      <c r="I980" s="9" t="b">
        <v>1</v>
      </c>
      <c r="J980" s="9" t="b">
        <v>1</v>
      </c>
    </row>
    <row r="981" ht="15.75" customHeight="1">
      <c r="A981" s="5">
        <v>7.0</v>
      </c>
      <c r="B981" s="5">
        <v>20114.0</v>
      </c>
      <c r="C981" s="5">
        <v>97.54119199651907</v>
      </c>
      <c r="D981" s="5">
        <v>101.23618369178728</v>
      </c>
      <c r="E981" s="5">
        <v>-2.458808003480925</v>
      </c>
      <c r="F981" s="5">
        <v>1.236183691787275</v>
      </c>
      <c r="G981" s="5">
        <v>-2.0422690469988125</v>
      </c>
      <c r="H981" s="5">
        <v>-3.2784527387860876</v>
      </c>
      <c r="I981" s="9" t="b">
        <v>1</v>
      </c>
      <c r="J981" s="9" t="b">
        <v>1</v>
      </c>
    </row>
    <row r="982" ht="15.75" customHeight="1">
      <c r="A982" s="5">
        <v>8.0</v>
      </c>
      <c r="B982" s="5">
        <v>20114.0</v>
      </c>
      <c r="C982" s="5">
        <v>96.3179051667187</v>
      </c>
      <c r="D982" s="5">
        <v>101.22602451043863</v>
      </c>
      <c r="E982" s="5">
        <v>-3.6820948332812975</v>
      </c>
      <c r="F982" s="5">
        <v>1.2260245104386343</v>
      </c>
      <c r="G982" s="5">
        <v>0.5902404759937419</v>
      </c>
      <c r="H982" s="5">
        <v>-0.6357840344448924</v>
      </c>
      <c r="I982" s="9" t="b">
        <v>1</v>
      </c>
      <c r="J982" s="9" t="b">
        <v>0</v>
      </c>
    </row>
    <row r="983" ht="15.75" customHeight="1">
      <c r="A983" s="5">
        <v>9.0</v>
      </c>
      <c r="B983" s="5">
        <v>20114.0</v>
      </c>
      <c r="C983" s="5">
        <v>99.4467213114754</v>
      </c>
      <c r="D983" s="5">
        <v>101.74004192872115</v>
      </c>
      <c r="E983" s="5">
        <v>-0.5532786885245997</v>
      </c>
      <c r="F983" s="5">
        <v>1.7400419287211548</v>
      </c>
      <c r="G983" s="5">
        <v>0.024143146079702582</v>
      </c>
      <c r="H983" s="5">
        <v>-1.7158987826414522</v>
      </c>
      <c r="I983" s="9" t="b">
        <v>1</v>
      </c>
      <c r="J983" s="9" t="b">
        <v>0</v>
      </c>
    </row>
    <row r="984" ht="15.75" customHeight="1">
      <c r="A984" s="5">
        <v>10.0</v>
      </c>
      <c r="B984" s="5">
        <v>20114.0</v>
      </c>
      <c r="C984" s="5">
        <v>101.27699354295444</v>
      </c>
      <c r="D984" s="5">
        <v>113.39116214895796</v>
      </c>
      <c r="E984" s="5">
        <v>1.2769935429544432</v>
      </c>
      <c r="F984" s="5">
        <v>13.39116214895796</v>
      </c>
      <c r="G984" s="5">
        <v>3.9238171795454635</v>
      </c>
      <c r="H984" s="5">
        <v>-9.467344969412498</v>
      </c>
      <c r="I984" s="9" t="b">
        <v>1</v>
      </c>
      <c r="J984" s="9" t="b">
        <v>0</v>
      </c>
    </row>
    <row r="985" ht="15.75" customHeight="1">
      <c r="A985" s="5">
        <v>11.0</v>
      </c>
      <c r="B985" s="5">
        <v>20114.0</v>
      </c>
      <c r="C985" s="5">
        <v>97.40340067439875</v>
      </c>
      <c r="D985" s="5">
        <v>92.3272156355267</v>
      </c>
      <c r="E985" s="5">
        <v>-2.5965993256012467</v>
      </c>
      <c r="F985" s="5">
        <v>-7.672784364473301</v>
      </c>
      <c r="G985" s="5">
        <v>0.05809632294233591</v>
      </c>
      <c r="H985" s="5">
        <v>7.730880687415637</v>
      </c>
      <c r="I985" s="9" t="b">
        <v>1</v>
      </c>
      <c r="J985" s="9" t="b">
        <v>1</v>
      </c>
    </row>
    <row r="986" ht="15.75" customHeight="1">
      <c r="A986" s="5">
        <v>12.0</v>
      </c>
      <c r="B986" s="5">
        <v>20114.0</v>
      </c>
      <c r="C986" s="5">
        <v>104.28441203281676</v>
      </c>
      <c r="D986" s="5">
        <v>105.82793709528217</v>
      </c>
      <c r="E986" s="5">
        <v>4.2844120328167605</v>
      </c>
      <c r="F986" s="5">
        <v>5.8279370952821665</v>
      </c>
      <c r="G986" s="5">
        <v>8.255609484271753</v>
      </c>
      <c r="H986" s="5">
        <v>2.4276723889895866</v>
      </c>
      <c r="I986" s="9" t="b">
        <v>1</v>
      </c>
      <c r="J986" s="9" t="b">
        <v>0</v>
      </c>
    </row>
    <row r="987" ht="15.75" customHeight="1">
      <c r="A987" s="5">
        <v>13.0</v>
      </c>
      <c r="B987" s="5">
        <v>20114.0</v>
      </c>
      <c r="C987" s="5">
        <v>90.10844662796494</v>
      </c>
      <c r="D987" s="5">
        <v>86.28034688077781</v>
      </c>
      <c r="E987" s="5">
        <v>-9.891553372035062</v>
      </c>
      <c r="F987" s="5">
        <v>-13.719653119222187</v>
      </c>
      <c r="G987" s="5">
        <v>-6.250235726570552</v>
      </c>
      <c r="H987" s="5">
        <v>7.469417392651635</v>
      </c>
      <c r="I987" s="9" t="b">
        <v>1</v>
      </c>
      <c r="J987" s="9" t="b">
        <v>0</v>
      </c>
    </row>
    <row r="988" ht="15.75" customHeight="1">
      <c r="A988" s="5">
        <v>14.0</v>
      </c>
      <c r="B988" s="5">
        <v>20114.0</v>
      </c>
      <c r="C988" s="5">
        <v>98.9759794826933</v>
      </c>
      <c r="D988" s="5">
        <v>98.15315353840728</v>
      </c>
      <c r="E988" s="5">
        <v>-1.0240205173066954</v>
      </c>
      <c r="F988" s="5">
        <v>-1.846846461592719</v>
      </c>
      <c r="G988" s="5">
        <v>-0.1615128000528765</v>
      </c>
      <c r="H988" s="5">
        <v>1.6853336615398424</v>
      </c>
      <c r="I988" s="9" t="b">
        <v>1</v>
      </c>
      <c r="J988" s="9" t="b">
        <v>0</v>
      </c>
    </row>
    <row r="989" ht="15.75" customHeight="1">
      <c r="A989" s="5">
        <v>15.0</v>
      </c>
      <c r="B989" s="5">
        <v>20114.0</v>
      </c>
      <c r="C989" s="5">
        <v>96.5953307392996</v>
      </c>
      <c r="D989" s="5">
        <v>96.92759888616098</v>
      </c>
      <c r="E989" s="5">
        <v>-3.404669260700402</v>
      </c>
      <c r="F989" s="5">
        <v>-3.072401113839021</v>
      </c>
      <c r="G989" s="5">
        <v>-1.5535589871342737</v>
      </c>
      <c r="H989" s="5">
        <v>1.5188421267047474</v>
      </c>
      <c r="I989" s="9" t="b">
        <v>1</v>
      </c>
      <c r="J989" s="9" t="b">
        <v>0</v>
      </c>
    </row>
    <row r="990" ht="15.75" customHeight="1">
      <c r="A990" s="5">
        <v>16.0</v>
      </c>
      <c r="B990" s="5">
        <v>20114.0</v>
      </c>
      <c r="C990" s="5">
        <v>91.7753259779338</v>
      </c>
      <c r="D990" s="5">
        <v>87.81190019193858</v>
      </c>
      <c r="E990" s="5">
        <v>-8.224674022066196</v>
      </c>
      <c r="F990" s="5">
        <v>-12.188099808061423</v>
      </c>
      <c r="G990" s="5">
        <v>-0.45572086024088243</v>
      </c>
      <c r="H990" s="5">
        <v>11.732378947820541</v>
      </c>
      <c r="I990" s="9" t="b">
        <v>1</v>
      </c>
      <c r="J990" s="9" t="b">
        <v>0</v>
      </c>
    </row>
    <row r="991" ht="15.75" customHeight="1">
      <c r="A991" s="5">
        <v>17.0</v>
      </c>
      <c r="B991" s="5">
        <v>20114.0</v>
      </c>
      <c r="C991" s="5">
        <v>101.09763746602552</v>
      </c>
      <c r="D991" s="5">
        <v>101.67466766001922</v>
      </c>
      <c r="E991" s="5">
        <v>1.0976374660255175</v>
      </c>
      <c r="F991" s="5">
        <v>1.6746676600192245</v>
      </c>
      <c r="G991" s="5">
        <v>-2.300911027301744</v>
      </c>
      <c r="H991" s="5">
        <v>-3.9755786873209686</v>
      </c>
      <c r="I991" s="9" t="b">
        <v>1</v>
      </c>
      <c r="J991" s="9" t="b">
        <v>1</v>
      </c>
    </row>
    <row r="992" ht="15.75" customHeight="1">
      <c r="A992" s="5">
        <v>1.0</v>
      </c>
      <c r="B992" s="5">
        <v>20124.0</v>
      </c>
      <c r="C992" s="5">
        <v>94.81865284974094</v>
      </c>
      <c r="D992" s="5">
        <v>95.11434511434511</v>
      </c>
      <c r="E992" s="5">
        <v>-5.181347150259057</v>
      </c>
      <c r="F992" s="5">
        <v>-4.885654885654887</v>
      </c>
      <c r="G992" s="5">
        <v>-9.350455240435995</v>
      </c>
      <c r="H992" s="5">
        <v>-4.464800354781108</v>
      </c>
      <c r="I992" s="9" t="b">
        <v>1</v>
      </c>
      <c r="J992" s="9" t="b">
        <v>0</v>
      </c>
    </row>
    <row r="993" ht="15.75" customHeight="1">
      <c r="A993" s="5">
        <v>2.0</v>
      </c>
      <c r="B993" s="5">
        <v>20124.0</v>
      </c>
      <c r="C993" s="5">
        <v>99.68152866242038</v>
      </c>
      <c r="D993" s="5">
        <v>92.14916584887143</v>
      </c>
      <c r="E993" s="5">
        <v>-0.31847133757962354</v>
      </c>
      <c r="F993" s="5">
        <v>-7.850834151128566</v>
      </c>
      <c r="G993" s="5">
        <v>-3.472920102536925</v>
      </c>
      <c r="H993" s="5">
        <v>4.3779140485916415</v>
      </c>
      <c r="I993" s="9" t="b">
        <v>1</v>
      </c>
      <c r="J993" s="9" t="b">
        <v>0</v>
      </c>
    </row>
    <row r="994" ht="15.75" customHeight="1">
      <c r="A994" s="5">
        <v>5.0</v>
      </c>
      <c r="B994" s="5">
        <v>20124.0</v>
      </c>
      <c r="C994" s="5">
        <v>98.3050847457627</v>
      </c>
      <c r="D994" s="5">
        <v>97.72051536174428</v>
      </c>
      <c r="E994" s="5">
        <v>-1.6949152542373014</v>
      </c>
      <c r="F994" s="5">
        <v>-2.279484638255724</v>
      </c>
      <c r="G994" s="5">
        <v>-3.2882324850894262</v>
      </c>
      <c r="H994" s="5">
        <v>-1.0087478468337023</v>
      </c>
      <c r="I994" s="9" t="b">
        <v>1</v>
      </c>
      <c r="J994" s="9" t="b">
        <v>0</v>
      </c>
    </row>
    <row r="995" ht="15.75" customHeight="1">
      <c r="A995" s="5">
        <v>6.0</v>
      </c>
      <c r="B995" s="5">
        <v>20124.0</v>
      </c>
      <c r="C995" s="5">
        <v>98.87876740540244</v>
      </c>
      <c r="D995" s="5">
        <v>94.14307177724774</v>
      </c>
      <c r="E995" s="5">
        <v>-1.1212325945975579</v>
      </c>
      <c r="F995" s="5">
        <v>-5.856928222752259</v>
      </c>
      <c r="G995" s="5">
        <v>-13.084634722205857</v>
      </c>
      <c r="H995" s="5">
        <v>-7.227706499453598</v>
      </c>
      <c r="I995" s="9" t="b">
        <v>1</v>
      </c>
      <c r="J995" s="9" t="b">
        <v>0</v>
      </c>
    </row>
    <row r="996" ht="15.75" customHeight="1">
      <c r="A996" s="5">
        <v>7.0</v>
      </c>
      <c r="B996" s="5">
        <v>20124.0</v>
      </c>
      <c r="C996" s="5">
        <v>104.15198605209297</v>
      </c>
      <c r="D996" s="5">
        <v>99.33211713060663</v>
      </c>
      <c r="E996" s="5">
        <v>4.1519860520929655</v>
      </c>
      <c r="F996" s="5">
        <v>-0.6678828693933667</v>
      </c>
      <c r="G996" s="5">
        <v>-4.740430752289216</v>
      </c>
      <c r="H996" s="5">
        <v>-4.072547882895849</v>
      </c>
      <c r="I996" s="9" t="b">
        <v>1</v>
      </c>
      <c r="J996" s="9" t="b">
        <v>0</v>
      </c>
    </row>
    <row r="997" ht="15.75" customHeight="1">
      <c r="A997" s="5">
        <v>8.0</v>
      </c>
      <c r="B997" s="5">
        <v>20124.0</v>
      </c>
      <c r="C997" s="5">
        <v>95.45159014017584</v>
      </c>
      <c r="D997" s="5">
        <v>92.46562881727591</v>
      </c>
      <c r="E997" s="5">
        <v>-4.548409859824162</v>
      </c>
      <c r="F997" s="5">
        <v>-7.534371182724087</v>
      </c>
      <c r="G997" s="5">
        <v>-5.538132294920706</v>
      </c>
      <c r="H997" s="5">
        <v>1.996238887803381</v>
      </c>
      <c r="I997" s="9" t="b">
        <v>1</v>
      </c>
      <c r="J997" s="9" t="b">
        <v>0</v>
      </c>
    </row>
    <row r="998" ht="15.75" customHeight="1">
      <c r="A998" s="5">
        <v>9.0</v>
      </c>
      <c r="B998" s="5">
        <v>20124.0</v>
      </c>
      <c r="C998" s="5">
        <v>96.85672514619884</v>
      </c>
      <c r="D998" s="5">
        <v>95.55944776426952</v>
      </c>
      <c r="E998" s="5">
        <v>-3.1432748538011595</v>
      </c>
      <c r="F998" s="5">
        <v>-4.440552235730479</v>
      </c>
      <c r="G998" s="5">
        <v>-9.585020289010227</v>
      </c>
      <c r="H998" s="5">
        <v>-5.144468053279748</v>
      </c>
      <c r="I998" s="9" t="b">
        <v>1</v>
      </c>
      <c r="J998" s="9" t="b">
        <v>0</v>
      </c>
    </row>
    <row r="999" ht="15.75" customHeight="1">
      <c r="A999" s="5">
        <v>10.0</v>
      </c>
      <c r="B999" s="5">
        <v>20124.0</v>
      </c>
      <c r="C999" s="5">
        <v>106.66774473044644</v>
      </c>
      <c r="D999" s="5">
        <v>90.2675105394143</v>
      </c>
      <c r="E999" s="5">
        <v>6.667744730446444</v>
      </c>
      <c r="F999" s="5">
        <v>-9.732489460585697</v>
      </c>
      <c r="G999" s="5">
        <v>-3.0981234759787757</v>
      </c>
      <c r="H999" s="5">
        <v>6.634365984606921</v>
      </c>
      <c r="I999" s="9" t="b">
        <v>1</v>
      </c>
      <c r="J999" s="9" t="b">
        <v>0</v>
      </c>
    </row>
    <row r="1000" ht="15.75" customHeight="1">
      <c r="A1000" s="5">
        <v>11.0</v>
      </c>
      <c r="B1000" s="5">
        <v>20124.0</v>
      </c>
      <c r="C1000" s="5">
        <v>106.57383086530216</v>
      </c>
      <c r="D1000" s="5">
        <v>102.5149741190217</v>
      </c>
      <c r="E1000" s="5">
        <v>6.573830865302156</v>
      </c>
      <c r="F1000" s="5">
        <v>2.5149741190217014</v>
      </c>
      <c r="G1000" s="5">
        <v>-6.648877293885391</v>
      </c>
      <c r="H1000" s="5">
        <v>-9.163851412907093</v>
      </c>
      <c r="I1000" s="9" t="b">
        <v>1</v>
      </c>
      <c r="J1000" s="9" t="b">
        <v>1</v>
      </c>
    </row>
    <row r="1001" ht="15.75" customHeight="1">
      <c r="A1001" s="5">
        <v>12.0</v>
      </c>
      <c r="B1001" s="5">
        <v>20124.0</v>
      </c>
      <c r="C1001" s="5">
        <v>98.53068280034572</v>
      </c>
      <c r="D1001" s="5">
        <v>99.65034965034964</v>
      </c>
      <c r="E1001" s="5">
        <v>-1.4693171996542844</v>
      </c>
      <c r="F1001" s="5">
        <v>-0.3496503496503607</v>
      </c>
      <c r="G1001" s="5">
        <v>-3.011517127188923</v>
      </c>
      <c r="H1001" s="5">
        <v>-2.6618667775385623</v>
      </c>
      <c r="I1001" s="9" t="b">
        <v>1</v>
      </c>
      <c r="J1001" s="9" t="b">
        <v>0</v>
      </c>
    </row>
    <row r="1002" ht="15.75" customHeight="1">
      <c r="A1002" s="5">
        <v>13.0</v>
      </c>
      <c r="B1002" s="5">
        <v>20124.0</v>
      </c>
      <c r="C1002" s="5">
        <v>97.96786940010684</v>
      </c>
      <c r="D1002" s="5">
        <v>105.496065802612</v>
      </c>
      <c r="E1002" s="5">
        <v>-2.032130599893165</v>
      </c>
      <c r="F1002" s="5">
        <v>5.496065802611994</v>
      </c>
      <c r="G1002" s="5">
        <v>-6.73109518046614</v>
      </c>
      <c r="H1002" s="5">
        <v>-12.227160983078134</v>
      </c>
      <c r="I1002" s="9" t="b">
        <v>1</v>
      </c>
      <c r="J1002" s="9" t="b">
        <v>1</v>
      </c>
    </row>
    <row r="1003" ht="15.75" customHeight="1">
      <c r="A1003" s="5">
        <v>14.0</v>
      </c>
      <c r="B1003" s="5">
        <v>20124.0</v>
      </c>
      <c r="C1003" s="5">
        <v>97.55499219179832</v>
      </c>
      <c r="D1003" s="5">
        <v>94.60522282190152</v>
      </c>
      <c r="E1003" s="5">
        <v>-2.44500780820168</v>
      </c>
      <c r="F1003" s="5">
        <v>-5.3947771780984795</v>
      </c>
      <c r="G1003" s="5">
        <v>-5.126932250433624</v>
      </c>
      <c r="H1003" s="5">
        <v>0.26784492766485535</v>
      </c>
      <c r="I1003" s="9" t="b">
        <v>1</v>
      </c>
      <c r="J1003" s="9" t="b">
        <v>0</v>
      </c>
    </row>
    <row r="1004" ht="15.75" customHeight="1">
      <c r="A1004" s="5">
        <v>15.0</v>
      </c>
      <c r="B1004" s="5">
        <v>20124.0</v>
      </c>
      <c r="C1004" s="5">
        <v>99.78746014877792</v>
      </c>
      <c r="D1004" s="5">
        <v>94.56193353474322</v>
      </c>
      <c r="E1004" s="5">
        <v>-0.21253985122207553</v>
      </c>
      <c r="F1004" s="5">
        <v>-5.438066465256782</v>
      </c>
      <c r="G1004" s="5">
        <v>-7.130369842655893</v>
      </c>
      <c r="H1004" s="5">
        <v>-1.692303377399111</v>
      </c>
      <c r="I1004" s="9" t="b">
        <v>1</v>
      </c>
      <c r="J1004" s="9" t="b">
        <v>0</v>
      </c>
    </row>
    <row r="1005" ht="15.75" customHeight="1">
      <c r="A1005" s="5">
        <v>16.0</v>
      </c>
      <c r="B1005" s="5">
        <v>20124.0</v>
      </c>
      <c r="C1005" s="5">
        <v>96.01167315175095</v>
      </c>
      <c r="D1005" s="5">
        <v>107.8688524590164</v>
      </c>
      <c r="E1005" s="5">
        <v>-3.988326848249045</v>
      </c>
      <c r="F1005" s="5">
        <v>7.868852459016395</v>
      </c>
      <c r="G1005" s="5">
        <v>-6.067570889414132</v>
      </c>
      <c r="H1005" s="5">
        <v>-13.936423348430527</v>
      </c>
      <c r="I1005" s="9" t="b">
        <v>1</v>
      </c>
      <c r="J1005" s="9" t="b">
        <v>1</v>
      </c>
    </row>
    <row r="1006" ht="15.75" customHeight="1">
      <c r="A1006" s="5">
        <v>17.0</v>
      </c>
      <c r="B1006" s="5">
        <v>20124.0</v>
      </c>
      <c r="C1006" s="5">
        <v>96.32696390658172</v>
      </c>
      <c r="D1006" s="5">
        <v>93.82690518043636</v>
      </c>
      <c r="E1006" s="5">
        <v>-3.6730360934182755</v>
      </c>
      <c r="F1006" s="5">
        <v>-6.173094819563644</v>
      </c>
      <c r="G1006" s="5">
        <v>-8.347401988080339</v>
      </c>
      <c r="H1006" s="5">
        <v>-2.1743071685166946</v>
      </c>
      <c r="I1006" s="9" t="b">
        <v>1</v>
      </c>
      <c r="J1006" s="9" t="b">
        <v>0</v>
      </c>
    </row>
    <row r="1007" ht="15.75" customHeight="1">
      <c r="A1007" s="5">
        <v>1.0</v>
      </c>
      <c r="B1007" s="5">
        <v>20134.0</v>
      </c>
      <c r="C1007" s="5">
        <v>100.1083423618635</v>
      </c>
      <c r="D1007" s="5">
        <v>100.98360655737706</v>
      </c>
      <c r="E1007" s="5">
        <v>0.10834236186350665</v>
      </c>
      <c r="F1007" s="5">
        <v>0.9836065573770583</v>
      </c>
      <c r="G1007" s="5">
        <v>0.35789907555356937</v>
      </c>
      <c r="H1007" s="5">
        <v>-0.6257074818234889</v>
      </c>
      <c r="I1007" s="9" t="b">
        <v>1</v>
      </c>
      <c r="J1007" s="9" t="b">
        <v>0</v>
      </c>
    </row>
    <row r="1008" ht="15.75" customHeight="1">
      <c r="A1008" s="5">
        <v>2.0</v>
      </c>
      <c r="B1008" s="5">
        <v>20134.0</v>
      </c>
      <c r="C1008" s="5">
        <v>101.31868131868131</v>
      </c>
      <c r="D1008" s="5">
        <v>98.1895633652822</v>
      </c>
      <c r="E1008" s="5">
        <v>1.318681318681314</v>
      </c>
      <c r="F1008" s="5">
        <v>-1.810436634717803</v>
      </c>
      <c r="G1008" s="5">
        <v>-1.9695951122535527</v>
      </c>
      <c r="H1008" s="5">
        <v>-0.15915847753574974</v>
      </c>
      <c r="I1008" s="9" t="b">
        <v>1</v>
      </c>
      <c r="J1008" s="9" t="b">
        <v>0</v>
      </c>
    </row>
    <row r="1009" ht="15.75" customHeight="1">
      <c r="A1009" s="5">
        <v>5.0</v>
      </c>
      <c r="B1009" s="5">
        <v>20134.0</v>
      </c>
      <c r="C1009" s="5">
        <v>92.74224914256136</v>
      </c>
      <c r="D1009" s="5">
        <v>93.7768989808658</v>
      </c>
      <c r="E1009" s="5">
        <v>-7.257750857438637</v>
      </c>
      <c r="F1009" s="5">
        <v>-6.223101019134205</v>
      </c>
      <c r="G1009" s="5">
        <v>-0.877919955971096</v>
      </c>
      <c r="H1009" s="5">
        <v>5.345181063163109</v>
      </c>
      <c r="I1009" s="9" t="b">
        <v>1</v>
      </c>
      <c r="J1009" s="9" t="b">
        <v>0</v>
      </c>
    </row>
    <row r="1010" ht="15.75" customHeight="1">
      <c r="A1010" s="5">
        <v>6.0</v>
      </c>
      <c r="B1010" s="5">
        <v>20134.0</v>
      </c>
      <c r="C1010" s="5">
        <v>98.35422419599088</v>
      </c>
      <c r="D1010" s="5">
        <v>98.88588034223991</v>
      </c>
      <c r="E1010" s="5">
        <v>-1.6457758040091193</v>
      </c>
      <c r="F1010" s="5">
        <v>-1.1141196577600851</v>
      </c>
      <c r="G1010" s="5">
        <v>3.758435474585964</v>
      </c>
      <c r="H1010" s="5">
        <v>4.872555132346049</v>
      </c>
      <c r="I1010" s="9" t="b">
        <v>1</v>
      </c>
      <c r="J1010" s="9" t="b">
        <v>1</v>
      </c>
    </row>
    <row r="1011" ht="15.75" customHeight="1">
      <c r="A1011" s="5">
        <v>7.0</v>
      </c>
      <c r="B1011" s="5">
        <v>20134.0</v>
      </c>
      <c r="C1011" s="5">
        <v>97.84236352111692</v>
      </c>
      <c r="D1011" s="5">
        <v>94.1083062772358</v>
      </c>
      <c r="E1011" s="5">
        <v>-2.1576364788830773</v>
      </c>
      <c r="F1011" s="5">
        <v>-5.891693722764202</v>
      </c>
      <c r="G1011" s="5">
        <v>-3.7203529853403694</v>
      </c>
      <c r="H1011" s="5">
        <v>2.171340737423833</v>
      </c>
      <c r="I1011" s="9" t="b">
        <v>1</v>
      </c>
      <c r="J1011" s="9" t="b">
        <v>0</v>
      </c>
    </row>
    <row r="1012" ht="15.75" customHeight="1">
      <c r="A1012" s="5">
        <v>8.0</v>
      </c>
      <c r="B1012" s="5">
        <v>20134.0</v>
      </c>
      <c r="C1012" s="5">
        <v>104.0868076685112</v>
      </c>
      <c r="D1012" s="5">
        <v>97.2676887118228</v>
      </c>
      <c r="E1012" s="5">
        <v>4.086807668511199</v>
      </c>
      <c r="F1012" s="5">
        <v>-2.7323112881772005</v>
      </c>
      <c r="G1012" s="5">
        <v>-1.7437360305436411</v>
      </c>
      <c r="H1012" s="5">
        <v>0.9885752576335594</v>
      </c>
      <c r="I1012" s="9" t="b">
        <v>1</v>
      </c>
      <c r="J1012" s="9" t="b">
        <v>0</v>
      </c>
    </row>
    <row r="1013" ht="15.75" customHeight="1">
      <c r="A1013" s="5">
        <v>9.0</v>
      </c>
      <c r="B1013" s="5">
        <v>20134.0</v>
      </c>
      <c r="C1013" s="5">
        <v>99.7079186499351</v>
      </c>
      <c r="D1013" s="5">
        <v>99.37466307277629</v>
      </c>
      <c r="E1013" s="5">
        <v>-0.29208135006490465</v>
      </c>
      <c r="F1013" s="5">
        <v>-0.6253369272237137</v>
      </c>
      <c r="G1013" s="5">
        <v>1.7002425320038927</v>
      </c>
      <c r="H1013" s="5">
        <v>2.3255794592276064</v>
      </c>
      <c r="I1013" s="9" t="b">
        <v>1</v>
      </c>
      <c r="J1013" s="9" t="b">
        <v>1</v>
      </c>
    </row>
    <row r="1014" ht="15.75" customHeight="1">
      <c r="A1014" s="5">
        <v>10.0</v>
      </c>
      <c r="B1014" s="5">
        <v>20134.0</v>
      </c>
      <c r="C1014" s="5">
        <v>103.877659386788</v>
      </c>
      <c r="D1014" s="5">
        <v>102.97237200936684</v>
      </c>
      <c r="E1014" s="5">
        <v>3.8776593867879967</v>
      </c>
      <c r="F1014" s="5">
        <v>2.972372009366836</v>
      </c>
      <c r="G1014" s="5">
        <v>-1.8899974011065357</v>
      </c>
      <c r="H1014" s="5">
        <v>-4.862369410473372</v>
      </c>
      <c r="I1014" s="9" t="b">
        <v>1</v>
      </c>
      <c r="J1014" s="9" t="b">
        <v>1</v>
      </c>
    </row>
    <row r="1015" ht="15.75" customHeight="1">
      <c r="A1015" s="5">
        <v>11.0</v>
      </c>
      <c r="B1015" s="5">
        <v>20134.0</v>
      </c>
      <c r="C1015" s="5">
        <v>91.21173219896602</v>
      </c>
      <c r="D1015" s="5">
        <v>87.4128728842653</v>
      </c>
      <c r="E1015" s="5">
        <v>-8.788267801033982</v>
      </c>
      <c r="F1015" s="5">
        <v>-12.587127115734702</v>
      </c>
      <c r="G1015" s="5">
        <v>1.552283570835744</v>
      </c>
      <c r="H1015" s="5">
        <v>14.139410686570447</v>
      </c>
      <c r="I1015" s="9" t="b">
        <v>1</v>
      </c>
      <c r="J1015" s="9" t="b">
        <v>1</v>
      </c>
    </row>
    <row r="1016" ht="15.75" customHeight="1">
      <c r="A1016" s="5">
        <v>12.0</v>
      </c>
      <c r="B1016" s="5">
        <v>20134.0</v>
      </c>
      <c r="C1016" s="5">
        <v>103.69369369369367</v>
      </c>
      <c r="D1016" s="5">
        <v>100.96491228070175</v>
      </c>
      <c r="E1016" s="5">
        <v>3.6936936936936746</v>
      </c>
      <c r="F1016" s="5">
        <v>0.9649122807017534</v>
      </c>
      <c r="G1016" s="5">
        <v>-0.15121909126981636</v>
      </c>
      <c r="H1016" s="5">
        <v>-1.1161313719715698</v>
      </c>
      <c r="I1016" s="9" t="b">
        <v>1</v>
      </c>
      <c r="J1016" s="9" t="b">
        <v>1</v>
      </c>
    </row>
    <row r="1017" ht="15.75" customHeight="1">
      <c r="A1017" s="5">
        <v>13.0</v>
      </c>
      <c r="B1017" s="5">
        <v>20134.0</v>
      </c>
      <c r="C1017" s="5">
        <v>97.26244828666007</v>
      </c>
      <c r="D1017" s="5">
        <v>95.86663298580028</v>
      </c>
      <c r="E1017" s="5">
        <v>-2.7375517133399256</v>
      </c>
      <c r="F1017" s="5">
        <v>-4.13336701419972</v>
      </c>
      <c r="G1017" s="5">
        <v>-0.5861455014734451</v>
      </c>
      <c r="H1017" s="5">
        <v>3.547221512726275</v>
      </c>
      <c r="I1017" s="9" t="b">
        <v>1</v>
      </c>
      <c r="J1017" s="9" t="b">
        <v>0</v>
      </c>
    </row>
    <row r="1018" ht="15.75" customHeight="1">
      <c r="A1018" s="5">
        <v>14.0</v>
      </c>
      <c r="B1018" s="5">
        <v>20134.0</v>
      </c>
      <c r="C1018" s="5">
        <v>100.9331950145696</v>
      </c>
      <c r="D1018" s="5">
        <v>98.53376464039113</v>
      </c>
      <c r="E1018" s="5">
        <v>0.9331950145696055</v>
      </c>
      <c r="F1018" s="5">
        <v>-1.4662353596088735</v>
      </c>
      <c r="G1018" s="5">
        <v>-3.7514834015816123</v>
      </c>
      <c r="H1018" s="5">
        <v>-2.285248041972739</v>
      </c>
      <c r="I1018" s="9" t="b">
        <v>1</v>
      </c>
      <c r="J1018" s="9" t="b">
        <v>0</v>
      </c>
    </row>
    <row r="1019" ht="15.75" customHeight="1">
      <c r="A1019" s="5">
        <v>15.0</v>
      </c>
      <c r="B1019" s="5">
        <v>20134.0</v>
      </c>
      <c r="C1019" s="5">
        <v>98.98190045248867</v>
      </c>
      <c r="D1019" s="5">
        <v>93.1842385516507</v>
      </c>
      <c r="E1019" s="5">
        <v>-1.0180995475113264</v>
      </c>
      <c r="F1019" s="5">
        <v>-6.815761448349306</v>
      </c>
      <c r="G1019" s="5">
        <v>-4.601289195283631</v>
      </c>
      <c r="H1019" s="5">
        <v>2.2144722530656757</v>
      </c>
      <c r="I1019" s="9" t="b">
        <v>1</v>
      </c>
      <c r="J1019" s="9" t="b">
        <v>0</v>
      </c>
    </row>
    <row r="1020" ht="15.75" customHeight="1">
      <c r="A1020" s="5">
        <v>16.0</v>
      </c>
      <c r="B1020" s="5">
        <v>20134.0</v>
      </c>
      <c r="C1020" s="5">
        <v>108.5103253045116</v>
      </c>
      <c r="D1020" s="5">
        <v>103.78292511394017</v>
      </c>
      <c r="E1020" s="5">
        <v>8.510325304511596</v>
      </c>
      <c r="F1020" s="5">
        <v>3.7829251139401663</v>
      </c>
      <c r="G1020" s="5">
        <v>6.665054903230883</v>
      </c>
      <c r="H1020" s="5">
        <v>2.8821297892907163</v>
      </c>
      <c r="I1020" s="9" t="b">
        <v>1</v>
      </c>
      <c r="J1020" s="9" t="b">
        <v>0</v>
      </c>
    </row>
    <row r="1021" ht="15.75" customHeight="1">
      <c r="A1021" s="5">
        <v>17.0</v>
      </c>
      <c r="B1021" s="5">
        <v>20134.0</v>
      </c>
      <c r="C1021" s="5">
        <v>100.34965034965036</v>
      </c>
      <c r="D1021" s="5">
        <v>94.8864888692969</v>
      </c>
      <c r="E1021" s="5">
        <v>0.3496503496503607</v>
      </c>
      <c r="F1021" s="5">
        <v>-5.1135111307031025</v>
      </c>
      <c r="G1021" s="5">
        <v>-4.683930812804049</v>
      </c>
      <c r="H1021" s="5">
        <v>0.4295803178990534</v>
      </c>
      <c r="I1021" s="9" t="b">
        <v>1</v>
      </c>
      <c r="J1021" s="9" t="b">
        <v>0</v>
      </c>
    </row>
    <row r="1022" ht="15.75" customHeight="1">
      <c r="A1022" s="5">
        <v>1.0</v>
      </c>
      <c r="B1022" s="5">
        <v>20144.0</v>
      </c>
      <c r="C1022" s="5">
        <v>97.008547008547</v>
      </c>
      <c r="D1022" s="5">
        <v>98.26839826839826</v>
      </c>
      <c r="E1022" s="5">
        <v>-2.991452991453002</v>
      </c>
      <c r="F1022" s="5">
        <v>-1.7316017316017422</v>
      </c>
      <c r="G1022" s="5">
        <v>1.2848279847724298</v>
      </c>
      <c r="H1022" s="5">
        <v>3.016429716374172</v>
      </c>
      <c r="I1022" s="9" t="b">
        <v>1</v>
      </c>
      <c r="J1022" s="9" t="b">
        <v>1</v>
      </c>
    </row>
    <row r="1023" ht="15.75" customHeight="1">
      <c r="A1023" s="5">
        <v>2.0</v>
      </c>
      <c r="B1023" s="5">
        <v>20144.0</v>
      </c>
      <c r="C1023" s="5">
        <v>97.28601252609604</v>
      </c>
      <c r="D1023" s="5">
        <v>101.08459869848156</v>
      </c>
      <c r="E1023" s="5">
        <v>-2.7139874739039556</v>
      </c>
      <c r="F1023" s="5">
        <v>1.0845986984815568</v>
      </c>
      <c r="G1023" s="5">
        <v>0.5211072416800633</v>
      </c>
      <c r="H1023" s="5">
        <v>-0.5634914568014935</v>
      </c>
      <c r="I1023" s="9" t="b">
        <v>1</v>
      </c>
      <c r="J1023" s="9" t="b">
        <v>0</v>
      </c>
    </row>
    <row r="1024" ht="15.75" customHeight="1">
      <c r="A1024" s="5">
        <v>5.0</v>
      </c>
      <c r="B1024" s="5">
        <v>20144.0</v>
      </c>
      <c r="C1024" s="5">
        <v>92.89531674428932</v>
      </c>
      <c r="D1024" s="5">
        <v>111.97444096479576</v>
      </c>
      <c r="E1024" s="5">
        <v>-7.1046832557106825</v>
      </c>
      <c r="F1024" s="5">
        <v>11.974440964795761</v>
      </c>
      <c r="G1024" s="5">
        <v>-0.026427492052016888</v>
      </c>
      <c r="H1024" s="5">
        <v>-12.000868456847778</v>
      </c>
      <c r="I1024" s="9" t="b">
        <v>1</v>
      </c>
      <c r="J1024" s="9" t="b">
        <v>1</v>
      </c>
    </row>
    <row r="1025" ht="15.75" customHeight="1">
      <c r="A1025" s="5">
        <v>6.0</v>
      </c>
      <c r="B1025" s="5">
        <v>20144.0</v>
      </c>
      <c r="C1025" s="5">
        <v>98.94100815639165</v>
      </c>
      <c r="D1025" s="5">
        <v>97.77670714092216</v>
      </c>
      <c r="E1025" s="5">
        <v>-1.0589918436083536</v>
      </c>
      <c r="F1025" s="5">
        <v>-2.2232928590778442</v>
      </c>
      <c r="G1025" s="5">
        <v>-4.210386034769586</v>
      </c>
      <c r="H1025" s="5">
        <v>-1.9870931756917418</v>
      </c>
      <c r="I1025" s="9" t="b">
        <v>1</v>
      </c>
      <c r="J1025" s="9" t="b">
        <v>0</v>
      </c>
    </row>
    <row r="1026" ht="15.75" customHeight="1">
      <c r="A1026" s="5">
        <v>7.0</v>
      </c>
      <c r="B1026" s="5">
        <v>20144.0</v>
      </c>
      <c r="C1026" s="5">
        <v>99.38975016672956</v>
      </c>
      <c r="D1026" s="5">
        <v>102.66433193068085</v>
      </c>
      <c r="E1026" s="5">
        <v>-0.6102498332704442</v>
      </c>
      <c r="F1026" s="5">
        <v>2.664331930680845</v>
      </c>
      <c r="G1026" s="5">
        <v>2.212622288177757</v>
      </c>
      <c r="H1026" s="5">
        <v>-0.4517096425030882</v>
      </c>
      <c r="I1026" s="9" t="b">
        <v>1</v>
      </c>
      <c r="J1026" s="9" t="b">
        <v>0</v>
      </c>
    </row>
    <row r="1027" ht="15.75" customHeight="1">
      <c r="A1027" s="5">
        <v>8.0</v>
      </c>
      <c r="B1027" s="5">
        <v>20144.0</v>
      </c>
      <c r="C1027" s="5">
        <v>99.93535315697063</v>
      </c>
      <c r="D1027" s="5">
        <v>102.10839545223764</v>
      </c>
      <c r="E1027" s="5">
        <v>-0.06464684302936519</v>
      </c>
      <c r="F1027" s="5">
        <v>2.1083954522376445</v>
      </c>
      <c r="G1027" s="5">
        <v>0.09072562799838924</v>
      </c>
      <c r="H1027" s="5">
        <v>-2.0176698242392552</v>
      </c>
      <c r="I1027" s="9" t="b">
        <v>1</v>
      </c>
      <c r="J1027" s="9" t="b">
        <v>0</v>
      </c>
    </row>
    <row r="1028" ht="15.75" customHeight="1">
      <c r="A1028" s="5">
        <v>9.0</v>
      </c>
      <c r="B1028" s="5">
        <v>20144.0</v>
      </c>
      <c r="C1028" s="5">
        <v>95.15461672473867</v>
      </c>
      <c r="D1028" s="5">
        <v>94.81393078008028</v>
      </c>
      <c r="E1028" s="5">
        <v>-4.845383275261327</v>
      </c>
      <c r="F1028" s="5">
        <v>-5.186069219919716</v>
      </c>
      <c r="G1028" s="5">
        <v>-0.4937941418283742</v>
      </c>
      <c r="H1028" s="5">
        <v>4.692275078091342</v>
      </c>
      <c r="I1028" s="9" t="b">
        <v>1</v>
      </c>
      <c r="J1028" s="9" t="b">
        <v>0</v>
      </c>
    </row>
    <row r="1029" ht="15.75" customHeight="1">
      <c r="A1029" s="5">
        <v>10.0</v>
      </c>
      <c r="B1029" s="5">
        <v>20144.0</v>
      </c>
      <c r="C1029" s="5">
        <v>101.02660244458733</v>
      </c>
      <c r="D1029" s="5">
        <v>102.20469857950488</v>
      </c>
      <c r="E1029" s="5">
        <v>1.0266024445873256</v>
      </c>
      <c r="F1029" s="5">
        <v>2.2046985795048784</v>
      </c>
      <c r="G1029" s="5">
        <v>4.405493501808055</v>
      </c>
      <c r="H1029" s="5">
        <v>2.200794922303177</v>
      </c>
      <c r="I1029" s="9" t="b">
        <v>1</v>
      </c>
      <c r="J1029" s="9" t="b">
        <v>0</v>
      </c>
    </row>
    <row r="1030" ht="15.75" customHeight="1">
      <c r="A1030" s="5">
        <v>11.0</v>
      </c>
      <c r="B1030" s="5">
        <v>20144.0</v>
      </c>
      <c r="C1030" s="5">
        <v>99.97311430884037</v>
      </c>
      <c r="D1030" s="5">
        <v>108.12472545762634</v>
      </c>
      <c r="E1030" s="5">
        <v>-0.02688569115963446</v>
      </c>
      <c r="F1030" s="5">
        <v>8.12472545762634</v>
      </c>
      <c r="G1030" s="5">
        <v>2.7618150341510717</v>
      </c>
      <c r="H1030" s="5">
        <v>-5.3629104234752685</v>
      </c>
      <c r="I1030" s="9" t="b">
        <v>1</v>
      </c>
      <c r="J1030" s="9" t="b">
        <v>0</v>
      </c>
    </row>
    <row r="1031" ht="15.75" customHeight="1">
      <c r="A1031" s="5">
        <v>12.0</v>
      </c>
      <c r="B1031" s="5">
        <v>20144.0</v>
      </c>
      <c r="C1031" s="5">
        <v>99.9131190269331</v>
      </c>
      <c r="D1031" s="5">
        <v>99.9131190269331</v>
      </c>
      <c r="E1031" s="5">
        <v>-0.08688097306689713</v>
      </c>
      <c r="F1031" s="5">
        <v>-0.08688097306689713</v>
      </c>
      <c r="G1031" s="5">
        <v>0.4385470022628235</v>
      </c>
      <c r="H1031" s="5">
        <v>0.5254279753297206</v>
      </c>
      <c r="I1031" s="9" t="b">
        <v>1</v>
      </c>
      <c r="J1031" s="9" t="b">
        <v>1</v>
      </c>
    </row>
    <row r="1032" ht="15.75" customHeight="1">
      <c r="A1032" s="5">
        <v>13.0</v>
      </c>
      <c r="B1032" s="5">
        <v>20144.0</v>
      </c>
      <c r="C1032" s="5">
        <v>101.04821094542751</v>
      </c>
      <c r="D1032" s="5">
        <v>102.12436573932692</v>
      </c>
      <c r="E1032" s="5">
        <v>1.0482109454275133</v>
      </c>
      <c r="F1032" s="5">
        <v>2.124365739326919</v>
      </c>
      <c r="G1032" s="5">
        <v>2.385187475910322</v>
      </c>
      <c r="H1032" s="5">
        <v>0.26082173658340313</v>
      </c>
      <c r="I1032" s="9" t="b">
        <v>1</v>
      </c>
      <c r="J1032" s="9" t="b">
        <v>0</v>
      </c>
    </row>
    <row r="1033" ht="15.75" customHeight="1">
      <c r="A1033" s="5">
        <v>14.0</v>
      </c>
      <c r="B1033" s="5">
        <v>20144.0</v>
      </c>
      <c r="C1033" s="5">
        <v>100.86071216251106</v>
      </c>
      <c r="D1033" s="5">
        <v>102.08744426832824</v>
      </c>
      <c r="E1033" s="5">
        <v>0.8607121625110636</v>
      </c>
      <c r="F1033" s="5">
        <v>2.087444268328241</v>
      </c>
      <c r="G1033" s="5">
        <v>3.4859328705243</v>
      </c>
      <c r="H1033" s="5">
        <v>1.3984886021960587</v>
      </c>
      <c r="I1033" s="9" t="b">
        <v>1</v>
      </c>
      <c r="J1033" s="9" t="b">
        <v>0</v>
      </c>
    </row>
    <row r="1034" ht="15.75" customHeight="1">
      <c r="A1034" s="5">
        <v>15.0</v>
      </c>
      <c r="B1034" s="5">
        <v>20144.0</v>
      </c>
      <c r="C1034" s="5">
        <v>97.33629300776916</v>
      </c>
      <c r="D1034" s="5">
        <v>100.22857142857144</v>
      </c>
      <c r="E1034" s="5">
        <v>-2.6637069922308427</v>
      </c>
      <c r="F1034" s="5">
        <v>0.22857142857144197</v>
      </c>
      <c r="G1034" s="5">
        <v>2.404368506160237</v>
      </c>
      <c r="H1034" s="5">
        <v>2.175797077588795</v>
      </c>
      <c r="I1034" s="9" t="b">
        <v>1</v>
      </c>
      <c r="J1034" s="9" t="b">
        <v>0</v>
      </c>
    </row>
    <row r="1035" ht="15.75" customHeight="1">
      <c r="A1035" s="5">
        <v>16.0</v>
      </c>
      <c r="B1035" s="5">
        <v>20144.0</v>
      </c>
      <c r="C1035" s="5">
        <v>93.23385013172002</v>
      </c>
      <c r="D1035" s="5">
        <v>89.29843554082412</v>
      </c>
      <c r="E1035" s="5">
        <v>-6.766149868279982</v>
      </c>
      <c r="F1035" s="5">
        <v>-10.701564459175884</v>
      </c>
      <c r="G1035" s="5">
        <v>-3.3543854794802264</v>
      </c>
      <c r="H1035" s="5">
        <v>7.3471789796956575</v>
      </c>
      <c r="I1035" s="9" t="b">
        <v>1</v>
      </c>
      <c r="J1035" s="9" t="b">
        <v>0</v>
      </c>
    </row>
    <row r="1036" ht="15.75" customHeight="1">
      <c r="A1036" s="5">
        <v>17.0</v>
      </c>
      <c r="B1036" s="5">
        <v>20144.0</v>
      </c>
      <c r="C1036" s="5">
        <v>99.51501154734412</v>
      </c>
      <c r="D1036" s="5">
        <v>100.09291521486644</v>
      </c>
      <c r="E1036" s="5">
        <v>-0.48498845265588386</v>
      </c>
      <c r="F1036" s="5">
        <v>0.09291521486643717</v>
      </c>
      <c r="G1036" s="5">
        <v>0.8064565758762798</v>
      </c>
      <c r="H1036" s="5">
        <v>0.7135413610098427</v>
      </c>
      <c r="I1036" s="9" t="b">
        <v>1</v>
      </c>
      <c r="J1036" s="9" t="b">
        <v>0</v>
      </c>
    </row>
    <row r="1037" ht="15.75" customHeight="1">
      <c r="A1037" s="5">
        <v>1.0</v>
      </c>
      <c r="B1037" s="5">
        <v>20154.0</v>
      </c>
      <c r="C1037" s="5">
        <v>98.71657754010695</v>
      </c>
      <c r="D1037" s="5">
        <v>101.65198237885464</v>
      </c>
      <c r="E1037" s="5">
        <v>-1.2834224598930462</v>
      </c>
      <c r="F1037" s="5">
        <v>1.6519823788546404</v>
      </c>
      <c r="G1037" s="5">
        <v>-0.7163844854022661</v>
      </c>
      <c r="H1037" s="5">
        <v>-2.3683668642569065</v>
      </c>
      <c r="I1037" s="9" t="b">
        <v>1</v>
      </c>
      <c r="J1037" s="9" t="b">
        <v>1</v>
      </c>
    </row>
    <row r="1038" ht="15.75" customHeight="1">
      <c r="A1038" s="5">
        <v>2.0</v>
      </c>
      <c r="B1038" s="5">
        <v>20154.0</v>
      </c>
      <c r="C1038" s="5">
        <v>99.47970863683663</v>
      </c>
      <c r="D1038" s="5">
        <v>102.57510729613732</v>
      </c>
      <c r="E1038" s="5">
        <v>-0.5202913631633663</v>
      </c>
      <c r="F1038" s="5">
        <v>2.5751072961373183</v>
      </c>
      <c r="G1038" s="5">
        <v>3.087830807287495</v>
      </c>
      <c r="H1038" s="5">
        <v>0.5127235111501767</v>
      </c>
      <c r="I1038" s="9" t="b">
        <v>1</v>
      </c>
      <c r="J1038" s="9" t="b">
        <v>0</v>
      </c>
    </row>
    <row r="1039" ht="15.75" customHeight="1">
      <c r="A1039" s="5">
        <v>5.0</v>
      </c>
      <c r="B1039" s="5">
        <v>20154.0</v>
      </c>
      <c r="C1039" s="5">
        <v>99.18282312749676</v>
      </c>
      <c r="D1039" s="5">
        <v>98.83567074400425</v>
      </c>
      <c r="E1039" s="5">
        <v>-0.8171768725032393</v>
      </c>
      <c r="F1039" s="5">
        <v>-1.164329255995753</v>
      </c>
      <c r="G1039" s="5">
        <v>4.046953666967323</v>
      </c>
      <c r="H1039" s="5">
        <v>5.211282922963076</v>
      </c>
      <c r="I1039" s="9" t="b">
        <v>1</v>
      </c>
      <c r="J1039" s="9" t="b">
        <v>1</v>
      </c>
    </row>
    <row r="1040" ht="15.75" customHeight="1">
      <c r="A1040" s="5">
        <v>6.0</v>
      </c>
      <c r="B1040" s="5">
        <v>20154.0</v>
      </c>
      <c r="C1040" s="5">
        <v>97.6720487685556</v>
      </c>
      <c r="D1040" s="5">
        <v>97.7243357192478</v>
      </c>
      <c r="E1040" s="5">
        <v>-2.327951231444402</v>
      </c>
      <c r="F1040" s="5">
        <v>-2.2756642807521956</v>
      </c>
      <c r="G1040" s="5">
        <v>-4.283638055444228</v>
      </c>
      <c r="H1040" s="5">
        <v>-2.007973774692032</v>
      </c>
      <c r="I1040" s="9" t="b">
        <v>1</v>
      </c>
      <c r="J1040" s="9" t="b">
        <v>0</v>
      </c>
    </row>
    <row r="1041" ht="15.75" customHeight="1">
      <c r="A1041" s="5">
        <v>7.0</v>
      </c>
      <c r="B1041" s="5">
        <v>20154.0</v>
      </c>
      <c r="C1041" s="5">
        <v>100.3141215356186</v>
      </c>
      <c r="D1041" s="5">
        <v>98.73549457085409</v>
      </c>
      <c r="E1041" s="5">
        <v>0.3141215356185967</v>
      </c>
      <c r="F1041" s="5">
        <v>-1.2645054291459132</v>
      </c>
      <c r="G1041" s="5">
        <v>0.8204666709808128</v>
      </c>
      <c r="H1041" s="5">
        <v>2.084972100126726</v>
      </c>
      <c r="I1041" s="9" t="b">
        <v>1</v>
      </c>
      <c r="J1041" s="9" t="b">
        <v>1</v>
      </c>
    </row>
    <row r="1042" ht="15.75" customHeight="1">
      <c r="A1042" s="5">
        <v>8.0</v>
      </c>
      <c r="B1042" s="5">
        <v>20154.0</v>
      </c>
      <c r="C1042" s="5">
        <v>98.92624184646262</v>
      </c>
      <c r="D1042" s="5">
        <v>100.10531265254808</v>
      </c>
      <c r="E1042" s="5">
        <v>-1.0737581535373835</v>
      </c>
      <c r="F1042" s="5">
        <v>0.1053126525480792</v>
      </c>
      <c r="G1042" s="5">
        <v>1.8274591994198897</v>
      </c>
      <c r="H1042" s="5">
        <v>1.7221465468718105</v>
      </c>
      <c r="I1042" s="9" t="b">
        <v>1</v>
      </c>
      <c r="J1042" s="9" t="b">
        <v>0</v>
      </c>
    </row>
    <row r="1043" ht="15.75" customHeight="1">
      <c r="A1043" s="5">
        <v>9.0</v>
      </c>
      <c r="B1043" s="5">
        <v>20154.0</v>
      </c>
      <c r="C1043" s="5">
        <v>99.15670367207514</v>
      </c>
      <c r="D1043" s="5">
        <v>106.29362627302896</v>
      </c>
      <c r="E1043" s="5">
        <v>-0.8432963279248611</v>
      </c>
      <c r="F1043" s="5">
        <v>6.293626273028963</v>
      </c>
      <c r="G1043" s="5">
        <v>1.1659507538238856</v>
      </c>
      <c r="H1043" s="5">
        <v>-5.127675519205077</v>
      </c>
      <c r="I1043" s="9" t="b">
        <v>1</v>
      </c>
      <c r="J1043" s="9" t="b">
        <v>0</v>
      </c>
    </row>
    <row r="1044" ht="15.75" customHeight="1">
      <c r="A1044" s="5">
        <v>10.0</v>
      </c>
      <c r="B1044" s="5">
        <v>20154.0</v>
      </c>
      <c r="C1044" s="5">
        <v>104.3364962151382</v>
      </c>
      <c r="D1044" s="5">
        <v>103.09006259208152</v>
      </c>
      <c r="E1044" s="5">
        <v>4.336496215138197</v>
      </c>
      <c r="F1044" s="5">
        <v>3.090062592081523</v>
      </c>
      <c r="G1044" s="5">
        <v>-0.9913328581383274</v>
      </c>
      <c r="H1044" s="5">
        <v>-4.08139545021985</v>
      </c>
      <c r="I1044" s="9" t="b">
        <v>1</v>
      </c>
      <c r="J1044" s="9" t="b">
        <v>1</v>
      </c>
    </row>
    <row r="1045" ht="15.75" customHeight="1">
      <c r="A1045" s="5">
        <v>11.0</v>
      </c>
      <c r="B1045" s="5">
        <v>20154.0</v>
      </c>
      <c r="C1045" s="5">
        <v>98.43572537675004</v>
      </c>
      <c r="D1045" s="5">
        <v>99.96725029814876</v>
      </c>
      <c r="E1045" s="5">
        <v>-1.5642746232499576</v>
      </c>
      <c r="F1045" s="5">
        <v>-0.032749701851244595</v>
      </c>
      <c r="G1045" s="5">
        <v>-0.5768625800929961</v>
      </c>
      <c r="H1045" s="5">
        <v>-0.5441128782417515</v>
      </c>
      <c r="I1045" s="9" t="b">
        <v>1</v>
      </c>
      <c r="J1045" s="9" t="b">
        <v>0</v>
      </c>
    </row>
    <row r="1046" ht="15.75" customHeight="1">
      <c r="A1046" s="5">
        <v>12.0</v>
      </c>
      <c r="B1046" s="5">
        <v>20154.0</v>
      </c>
      <c r="C1046" s="5">
        <v>102.6525198938992</v>
      </c>
      <c r="D1046" s="5">
        <v>100.95652173913044</v>
      </c>
      <c r="E1046" s="5">
        <v>2.6525198938991963</v>
      </c>
      <c r="F1046" s="5">
        <v>0.9565217391304373</v>
      </c>
      <c r="G1046" s="5">
        <v>-0.7031084635068963</v>
      </c>
      <c r="H1046" s="5">
        <v>-1.6596302026373335</v>
      </c>
      <c r="I1046" s="9" t="b">
        <v>1</v>
      </c>
      <c r="J1046" s="9" t="b">
        <v>1</v>
      </c>
    </row>
    <row r="1047" ht="15.75" customHeight="1">
      <c r="A1047" s="5">
        <v>13.0</v>
      </c>
      <c r="B1047" s="5">
        <v>20154.0</v>
      </c>
      <c r="C1047" s="5">
        <v>95.66220967772136</v>
      </c>
      <c r="D1047" s="5">
        <v>96.64388361818048</v>
      </c>
      <c r="E1047" s="5">
        <v>-4.337790322278636</v>
      </c>
      <c r="F1047" s="5">
        <v>-3.3561163818195183</v>
      </c>
      <c r="G1047" s="5">
        <v>-1.6305793482693232</v>
      </c>
      <c r="H1047" s="5">
        <v>1.7255370335501952</v>
      </c>
      <c r="I1047" s="9" t="b">
        <v>1</v>
      </c>
      <c r="J1047" s="9" t="b">
        <v>0</v>
      </c>
    </row>
    <row r="1048" ht="15.75" customHeight="1">
      <c r="A1048" s="5">
        <v>14.0</v>
      </c>
      <c r="B1048" s="5">
        <v>20154.0</v>
      </c>
      <c r="C1048" s="5">
        <v>103.16467697540725</v>
      </c>
      <c r="D1048" s="5">
        <v>100.52743045996311</v>
      </c>
      <c r="E1048" s="5">
        <v>3.1646769754072466</v>
      </c>
      <c r="F1048" s="5">
        <v>0.5274304599631137</v>
      </c>
      <c r="G1048" s="5">
        <v>-0.152613402017987</v>
      </c>
      <c r="H1048" s="5">
        <v>-0.6800438619811007</v>
      </c>
      <c r="I1048" s="9" t="b">
        <v>1</v>
      </c>
      <c r="J1048" s="9" t="b">
        <v>1</v>
      </c>
    </row>
    <row r="1049" ht="15.75" customHeight="1">
      <c r="A1049" s="5">
        <v>15.0</v>
      </c>
      <c r="B1049" s="5">
        <v>20154.0</v>
      </c>
      <c r="C1049" s="5">
        <v>100.96878363832076</v>
      </c>
      <c r="D1049" s="5">
        <v>106.95553021664766</v>
      </c>
      <c r="E1049" s="5">
        <v>0.9687836383207582</v>
      </c>
      <c r="F1049" s="5">
        <v>6.955530216647659</v>
      </c>
      <c r="G1049" s="5">
        <v>-0.12772858913143725</v>
      </c>
      <c r="H1049" s="5">
        <v>-7.083258805779097</v>
      </c>
      <c r="I1049" s="9" t="b">
        <v>1</v>
      </c>
      <c r="J1049" s="9" t="b">
        <v>1</v>
      </c>
    </row>
    <row r="1050" ht="15.75" customHeight="1">
      <c r="A1050" s="5">
        <v>16.0</v>
      </c>
      <c r="B1050" s="5">
        <v>20154.0</v>
      </c>
      <c r="C1050" s="5">
        <v>103.40561457953544</v>
      </c>
      <c r="D1050" s="5">
        <v>109.52058332469284</v>
      </c>
      <c r="E1050" s="5">
        <v>3.4056145795354382</v>
      </c>
      <c r="F1050" s="5">
        <v>9.520583324692836</v>
      </c>
      <c r="G1050" s="5">
        <v>2.070601177026843</v>
      </c>
      <c r="H1050" s="5">
        <v>-7.4499821476659935</v>
      </c>
      <c r="I1050" s="9" t="b">
        <v>1</v>
      </c>
      <c r="J1050" s="9" t="b">
        <v>0</v>
      </c>
    </row>
    <row r="1051" ht="15.75" customHeight="1">
      <c r="A1051" s="5">
        <v>17.0</v>
      </c>
      <c r="B1051" s="5">
        <v>20154.0</v>
      </c>
      <c r="C1051" s="5">
        <v>99.1684702130083</v>
      </c>
      <c r="D1051" s="5">
        <v>101.02111858899976</v>
      </c>
      <c r="E1051" s="5">
        <v>-0.8315297869916947</v>
      </c>
      <c r="F1051" s="5">
        <v>1.0211185889997552</v>
      </c>
      <c r="G1051" s="5">
        <v>-1.0938098980226907</v>
      </c>
      <c r="H1051" s="5">
        <v>-2.114928487022446</v>
      </c>
      <c r="I1051" s="9" t="b">
        <v>1</v>
      </c>
      <c r="J1051" s="9" t="b">
        <v>1</v>
      </c>
    </row>
    <row r="1052" ht="15.75" customHeight="1">
      <c r="A1052" s="5">
        <v>1.0</v>
      </c>
      <c r="B1052" s="5">
        <v>20164.0</v>
      </c>
      <c r="C1052" s="5">
        <v>103.89473684210526</v>
      </c>
      <c r="D1052" s="5">
        <v>106.93391115926327</v>
      </c>
      <c r="E1052" s="5">
        <v>3.89473684210526</v>
      </c>
      <c r="F1052" s="5">
        <v>6.933911159263275</v>
      </c>
      <c r="G1052" s="5">
        <v>4.340288279584392</v>
      </c>
      <c r="H1052" s="5">
        <v>-2.5936228796788825</v>
      </c>
      <c r="I1052" s="9" t="b">
        <v>1</v>
      </c>
      <c r="J1052" s="9" t="b">
        <v>0</v>
      </c>
    </row>
    <row r="1053" ht="15.75" customHeight="1">
      <c r="A1053" s="5">
        <v>2.0</v>
      </c>
      <c r="B1053" s="5">
        <v>20164.0</v>
      </c>
      <c r="C1053" s="5">
        <v>99.5995995995996</v>
      </c>
      <c r="D1053" s="5">
        <v>104.0794979079498</v>
      </c>
      <c r="E1053" s="5">
        <v>-0.40040040040040026</v>
      </c>
      <c r="F1053" s="5">
        <v>4.079497907949801</v>
      </c>
      <c r="G1053" s="5">
        <v>6.016174487818859</v>
      </c>
      <c r="H1053" s="5">
        <v>1.9366765798690588</v>
      </c>
      <c r="I1053" s="9" t="b">
        <v>1</v>
      </c>
      <c r="J1053" s="9" t="b">
        <v>0</v>
      </c>
    </row>
    <row r="1054" ht="15.75" customHeight="1">
      <c r="A1054" s="5">
        <v>5.0</v>
      </c>
      <c r="B1054" s="5">
        <v>20164.0</v>
      </c>
      <c r="C1054" s="5">
        <v>99.01003092993484</v>
      </c>
      <c r="D1054" s="5">
        <v>101.78634900763876</v>
      </c>
      <c r="E1054" s="5">
        <v>-0.9899690700651576</v>
      </c>
      <c r="F1054" s="5">
        <v>1.786349007638762</v>
      </c>
      <c r="G1054" s="5">
        <v>2.4658657915962223</v>
      </c>
      <c r="H1054" s="5">
        <v>0.6795167839574603</v>
      </c>
      <c r="I1054" s="9" t="b">
        <v>1</v>
      </c>
      <c r="J1054" s="9" t="b">
        <v>0</v>
      </c>
    </row>
    <row r="1055" ht="15.75" customHeight="1">
      <c r="A1055" s="5">
        <v>6.0</v>
      </c>
      <c r="B1055" s="5">
        <v>20164.0</v>
      </c>
      <c r="C1055" s="5">
        <v>97.53327441945596</v>
      </c>
      <c r="D1055" s="5">
        <v>94.1160349353318</v>
      </c>
      <c r="E1055" s="5">
        <v>-2.4667255805440362</v>
      </c>
      <c r="F1055" s="5">
        <v>-5.883965064668203</v>
      </c>
      <c r="G1055" s="5">
        <v>-2.969571404578686</v>
      </c>
      <c r="H1055" s="5">
        <v>2.9143936600895173</v>
      </c>
      <c r="I1055" s="9" t="b">
        <v>1</v>
      </c>
      <c r="J1055" s="9" t="b">
        <v>0</v>
      </c>
    </row>
    <row r="1056" ht="15.75" customHeight="1">
      <c r="A1056" s="5">
        <v>7.0</v>
      </c>
      <c r="B1056" s="5">
        <v>20164.0</v>
      </c>
      <c r="C1056" s="5">
        <v>99.2070184501234</v>
      </c>
      <c r="D1056" s="5">
        <v>107.6615298335362</v>
      </c>
      <c r="E1056" s="5">
        <v>-0.7929815498766004</v>
      </c>
      <c r="F1056" s="5">
        <v>7.661529833536207</v>
      </c>
      <c r="G1056" s="5">
        <v>3.476400762692222</v>
      </c>
      <c r="H1056" s="5">
        <v>-4.185129070843985</v>
      </c>
      <c r="I1056" s="9" t="b">
        <v>1</v>
      </c>
      <c r="J1056" s="9" t="b">
        <v>0</v>
      </c>
    </row>
    <row r="1057" ht="15.75" customHeight="1">
      <c r="A1057" s="5">
        <v>8.0</v>
      </c>
      <c r="B1057" s="5">
        <v>20164.0</v>
      </c>
      <c r="C1057" s="5">
        <v>100.86369502630794</v>
      </c>
      <c r="D1057" s="5">
        <v>103.06350172448772</v>
      </c>
      <c r="E1057" s="5">
        <v>0.863695026307937</v>
      </c>
      <c r="F1057" s="5">
        <v>3.063501724487722</v>
      </c>
      <c r="G1057" s="5">
        <v>3.0908317194542567</v>
      </c>
      <c r="H1057" s="5">
        <v>0.027329994966534876</v>
      </c>
      <c r="I1057" s="9" t="b">
        <v>1</v>
      </c>
      <c r="J1057" s="9" t="b">
        <v>0</v>
      </c>
    </row>
    <row r="1058" ht="15.75" customHeight="1">
      <c r="A1058" s="5">
        <v>9.0</v>
      </c>
      <c r="B1058" s="5">
        <v>20164.0</v>
      </c>
      <c r="C1058" s="5">
        <v>98.0439330543933</v>
      </c>
      <c r="D1058" s="5">
        <v>100.90429540316504</v>
      </c>
      <c r="E1058" s="5">
        <v>-1.9560669456066933</v>
      </c>
      <c r="F1058" s="5">
        <v>0.9042954031650368</v>
      </c>
      <c r="G1058" s="5">
        <v>1.5237279921673341</v>
      </c>
      <c r="H1058" s="5">
        <v>0.6194325890022974</v>
      </c>
      <c r="I1058" s="9" t="b">
        <v>1</v>
      </c>
      <c r="J1058" s="9" t="b">
        <v>0</v>
      </c>
    </row>
    <row r="1059" ht="15.75" customHeight="1">
      <c r="A1059" s="5">
        <v>10.0</v>
      </c>
      <c r="B1059" s="5">
        <v>20164.0</v>
      </c>
      <c r="C1059" s="5">
        <v>100.97759180301394</v>
      </c>
      <c r="D1059" s="5">
        <v>103.99017653036712</v>
      </c>
      <c r="E1059" s="5">
        <v>0.9775918030139366</v>
      </c>
      <c r="F1059" s="5">
        <v>3.9901765303671226</v>
      </c>
      <c r="G1059" s="5">
        <v>1.6158476278573142</v>
      </c>
      <c r="H1059" s="5">
        <v>-2.3743289025098084</v>
      </c>
      <c r="I1059" s="9" t="b">
        <v>1</v>
      </c>
      <c r="J1059" s="9" t="b">
        <v>0</v>
      </c>
    </row>
    <row r="1060" ht="15.75" customHeight="1">
      <c r="A1060" s="5">
        <v>11.0</v>
      </c>
      <c r="B1060" s="5">
        <v>20164.0</v>
      </c>
      <c r="C1060" s="5">
        <v>101.16286159967004</v>
      </c>
      <c r="D1060" s="5">
        <v>103.91043977039978</v>
      </c>
      <c r="E1060" s="5">
        <v>1.1628615996700375</v>
      </c>
      <c r="F1060" s="5">
        <v>3.910439770399776</v>
      </c>
      <c r="G1060" s="5">
        <v>4.750677250574942</v>
      </c>
      <c r="H1060" s="5">
        <v>0.8402374801751655</v>
      </c>
      <c r="I1060" s="9" t="b">
        <v>1</v>
      </c>
      <c r="J1060" s="9" t="b">
        <v>0</v>
      </c>
    </row>
    <row r="1061" ht="15.75" customHeight="1">
      <c r="A1061" s="5">
        <v>12.0</v>
      </c>
      <c r="B1061" s="5">
        <v>20164.0</v>
      </c>
      <c r="C1061" s="5">
        <v>101.39130434782608</v>
      </c>
      <c r="D1061" s="5">
        <v>100.43066322136087</v>
      </c>
      <c r="E1061" s="5">
        <v>1.391304347826079</v>
      </c>
      <c r="F1061" s="5">
        <v>0.43066322136087365</v>
      </c>
      <c r="G1061" s="5">
        <v>2.629717927190378</v>
      </c>
      <c r="H1061" s="5">
        <v>2.1990547058295045</v>
      </c>
      <c r="I1061" s="9" t="b">
        <v>1</v>
      </c>
      <c r="J1061" s="9" t="b">
        <v>0</v>
      </c>
    </row>
    <row r="1062" ht="15.75" customHeight="1">
      <c r="A1062" s="5">
        <v>13.0</v>
      </c>
      <c r="B1062" s="5">
        <v>20164.0</v>
      </c>
      <c r="C1062" s="5">
        <v>100.09638432130193</v>
      </c>
      <c r="D1062" s="5">
        <v>108.83306828395838</v>
      </c>
      <c r="E1062" s="5">
        <v>0.09638432130192598</v>
      </c>
      <c r="F1062" s="5">
        <v>8.833068283958383</v>
      </c>
      <c r="G1062" s="5">
        <v>5.783061698159719</v>
      </c>
      <c r="H1062" s="5">
        <v>-3.0500065857986636</v>
      </c>
      <c r="I1062" s="9" t="b">
        <v>1</v>
      </c>
      <c r="J1062" s="9" t="b">
        <v>0</v>
      </c>
    </row>
    <row r="1063" ht="15.75" customHeight="1">
      <c r="A1063" s="5">
        <v>14.0</v>
      </c>
      <c r="B1063" s="5">
        <v>20164.0</v>
      </c>
      <c r="C1063" s="5">
        <v>98.56075671265768</v>
      </c>
      <c r="D1063" s="5">
        <v>101.02752017129488</v>
      </c>
      <c r="E1063" s="5">
        <v>-1.4392432873423218</v>
      </c>
      <c r="F1063" s="5">
        <v>1.0275201712948814</v>
      </c>
      <c r="G1063" s="5">
        <v>3.5711503308043957</v>
      </c>
      <c r="H1063" s="5">
        <v>2.5436301595095143</v>
      </c>
      <c r="I1063" s="9" t="b">
        <v>1</v>
      </c>
      <c r="J1063" s="9" t="b">
        <v>0</v>
      </c>
    </row>
    <row r="1064" ht="15.75" customHeight="1">
      <c r="A1064" s="5">
        <v>15.0</v>
      </c>
      <c r="B1064" s="5">
        <v>20164.0</v>
      </c>
      <c r="C1064" s="5">
        <v>106.48648648648648</v>
      </c>
      <c r="D1064" s="5">
        <v>105.01066098081024</v>
      </c>
      <c r="E1064" s="5">
        <v>6.486486486486484</v>
      </c>
      <c r="F1064" s="5">
        <v>5.010660980810243</v>
      </c>
      <c r="G1064" s="5">
        <v>6.3115204215434595</v>
      </c>
      <c r="H1064" s="5">
        <v>1.3008594407332161</v>
      </c>
      <c r="I1064" s="9" t="b">
        <v>1</v>
      </c>
      <c r="J1064" s="9" t="b">
        <v>0</v>
      </c>
    </row>
    <row r="1065" ht="15.75" customHeight="1">
      <c r="A1065" s="5">
        <v>16.0</v>
      </c>
      <c r="B1065" s="5">
        <v>20164.0</v>
      </c>
      <c r="C1065" s="5">
        <v>100.44453163471644</v>
      </c>
      <c r="D1065" s="5">
        <v>100.03879033426988</v>
      </c>
      <c r="E1065" s="5">
        <v>0.44453163471644075</v>
      </c>
      <c r="F1065" s="5">
        <v>0.038790334269876325</v>
      </c>
      <c r="G1065" s="5">
        <v>2.5860700478520737</v>
      </c>
      <c r="H1065" s="5">
        <v>2.5472797135821974</v>
      </c>
      <c r="I1065" s="9" t="b">
        <v>1</v>
      </c>
      <c r="J1065" s="9" t="b">
        <v>0</v>
      </c>
    </row>
    <row r="1066" ht="15.75" customHeight="1">
      <c r="A1066" s="5">
        <v>17.0</v>
      </c>
      <c r="B1066" s="5">
        <v>20164.0</v>
      </c>
      <c r="C1066" s="5">
        <v>100.8738645509946</v>
      </c>
      <c r="D1066" s="5">
        <v>100.76958419480816</v>
      </c>
      <c r="E1066" s="5">
        <v>0.8738645509945968</v>
      </c>
      <c r="F1066" s="5">
        <v>0.7695841948081608</v>
      </c>
      <c r="G1066" s="5">
        <v>3.6643408195899507</v>
      </c>
      <c r="H1066" s="5">
        <v>2.89475662478179</v>
      </c>
      <c r="I1066" s="9" t="b">
        <v>1</v>
      </c>
      <c r="J1066" s="9" t="b">
        <v>0</v>
      </c>
    </row>
    <row r="1067" ht="15.75" customHeight="1">
      <c r="A1067" s="5">
        <v>1.0</v>
      </c>
      <c r="B1067" s="5">
        <v>20174.0</v>
      </c>
      <c r="C1067" s="5">
        <v>100.52539332383694</v>
      </c>
      <c r="D1067" s="5">
        <v>100.84555654203984</v>
      </c>
      <c r="E1067" s="5">
        <v>0.525393323836937</v>
      </c>
      <c r="F1067" s="5">
        <v>0.8455565420398443</v>
      </c>
      <c r="G1067" s="5">
        <v>4.264482037858741</v>
      </c>
      <c r="H1067" s="5">
        <v>3.418925495818897</v>
      </c>
      <c r="I1067" s="9" t="b">
        <v>1</v>
      </c>
      <c r="J1067" s="9" t="b">
        <v>0</v>
      </c>
    </row>
    <row r="1068" ht="15.75" customHeight="1">
      <c r="A1068" s="5">
        <v>2.0</v>
      </c>
      <c r="B1068" s="5">
        <v>20174.0</v>
      </c>
      <c r="C1068" s="5">
        <v>101.2512030798845</v>
      </c>
      <c r="D1068" s="5">
        <v>105.7286432160804</v>
      </c>
      <c r="E1068" s="5">
        <v>1.2512030798845046</v>
      </c>
      <c r="F1068" s="5">
        <v>5.7286432160804</v>
      </c>
      <c r="G1068" s="5">
        <v>6.885903702997709</v>
      </c>
      <c r="H1068" s="5">
        <v>1.157260486917309</v>
      </c>
      <c r="I1068" s="9" t="b">
        <v>1</v>
      </c>
      <c r="J1068" s="9" t="b">
        <v>0</v>
      </c>
    </row>
    <row r="1069" ht="15.75" customHeight="1">
      <c r="A1069" s="5">
        <v>5.0</v>
      </c>
      <c r="B1069" s="5">
        <v>20174.0</v>
      </c>
      <c r="C1069" s="5">
        <v>97.54088321849038</v>
      </c>
      <c r="D1069" s="5">
        <v>106.909224651781</v>
      </c>
      <c r="E1069" s="5">
        <v>-2.4591167815096213</v>
      </c>
      <c r="F1069" s="5">
        <v>6.9092246517810025</v>
      </c>
      <c r="G1069" s="5">
        <v>5.803342232840869</v>
      </c>
      <c r="H1069" s="5">
        <v>-1.1058824189401335</v>
      </c>
      <c r="I1069" s="9" t="b">
        <v>1</v>
      </c>
      <c r="J1069" s="9" t="b">
        <v>0</v>
      </c>
    </row>
    <row r="1070" ht="15.75" customHeight="1">
      <c r="A1070" s="5">
        <v>6.0</v>
      </c>
      <c r="B1070" s="5">
        <v>20174.0</v>
      </c>
      <c r="C1070" s="5">
        <v>100.54567681950115</v>
      </c>
      <c r="D1070" s="5">
        <v>103.66421680609167</v>
      </c>
      <c r="E1070" s="5">
        <v>0.5456768195011534</v>
      </c>
      <c r="F1070" s="5">
        <v>3.664216806091673</v>
      </c>
      <c r="G1070" s="5">
        <v>5.97084733937312</v>
      </c>
      <c r="H1070" s="5">
        <v>2.3066305332814467</v>
      </c>
      <c r="I1070" s="9" t="b">
        <v>1</v>
      </c>
      <c r="J1070" s="9" t="b">
        <v>0</v>
      </c>
    </row>
    <row r="1071" ht="15.75" customHeight="1">
      <c r="A1071" s="5">
        <v>7.0</v>
      </c>
      <c r="B1071" s="5">
        <v>20174.0</v>
      </c>
      <c r="C1071" s="5">
        <v>102.62019944668306</v>
      </c>
      <c r="D1071" s="5">
        <v>102.86755059616824</v>
      </c>
      <c r="E1071" s="5">
        <v>2.62019944668306</v>
      </c>
      <c r="F1071" s="5">
        <v>2.8675505961682433</v>
      </c>
      <c r="G1071" s="5">
        <v>6.037369752001931</v>
      </c>
      <c r="H1071" s="5">
        <v>3.1698191558336877</v>
      </c>
      <c r="I1071" s="9" t="b">
        <v>1</v>
      </c>
      <c r="J1071" s="9" t="b">
        <v>0</v>
      </c>
    </row>
    <row r="1072" ht="15.75" customHeight="1">
      <c r="A1072" s="5">
        <v>8.0</v>
      </c>
      <c r="B1072" s="5">
        <v>20174.0</v>
      </c>
      <c r="C1072" s="5">
        <v>101.76337306669292</v>
      </c>
      <c r="D1072" s="5">
        <v>101.6732283464567</v>
      </c>
      <c r="E1072" s="5">
        <v>1.763373066692921</v>
      </c>
      <c r="F1072" s="5">
        <v>1.6732283464566962</v>
      </c>
      <c r="G1072" s="5">
        <v>3.2291965022829494</v>
      </c>
      <c r="H1072" s="5">
        <v>1.5559681558262533</v>
      </c>
      <c r="I1072" s="9" t="b">
        <v>1</v>
      </c>
      <c r="J1072" s="9" t="b">
        <v>0</v>
      </c>
    </row>
    <row r="1073" ht="15.75" customHeight="1">
      <c r="A1073" s="5">
        <v>9.0</v>
      </c>
      <c r="B1073" s="5">
        <v>20174.0</v>
      </c>
      <c r="C1073" s="5">
        <v>98.38027442484268</v>
      </c>
      <c r="D1073" s="5">
        <v>101.73903766136776</v>
      </c>
      <c r="E1073" s="5">
        <v>-1.619725575157318</v>
      </c>
      <c r="F1073" s="5">
        <v>1.7390376613677603</v>
      </c>
      <c r="G1073" s="5">
        <v>5.13257910767464</v>
      </c>
      <c r="H1073" s="5">
        <v>3.3935414463068794</v>
      </c>
      <c r="I1073" s="9" t="b">
        <v>1</v>
      </c>
      <c r="J1073" s="9" t="b">
        <v>0</v>
      </c>
    </row>
    <row r="1074" ht="15.75" customHeight="1">
      <c r="A1074" s="5">
        <v>10.0</v>
      </c>
      <c r="B1074" s="5">
        <v>20174.0</v>
      </c>
      <c r="C1074" s="5">
        <v>99.30467670588467</v>
      </c>
      <c r="D1074" s="5">
        <v>101.95057112745818</v>
      </c>
      <c r="E1074" s="5">
        <v>-0.695323294115326</v>
      </c>
      <c r="F1074" s="5">
        <v>1.9505711274581756</v>
      </c>
      <c r="G1074" s="5">
        <v>8.51840626782323</v>
      </c>
      <c r="H1074" s="5">
        <v>6.567835140365055</v>
      </c>
      <c r="I1074" s="9" t="b">
        <v>1</v>
      </c>
      <c r="J1074" s="9" t="b">
        <v>0</v>
      </c>
    </row>
    <row r="1075" ht="15.75" customHeight="1">
      <c r="A1075" s="5">
        <v>11.0</v>
      </c>
      <c r="B1075" s="5">
        <v>20174.0</v>
      </c>
      <c r="C1075" s="5">
        <v>101.41465838002355</v>
      </c>
      <c r="D1075" s="5">
        <v>101.2119645180776</v>
      </c>
      <c r="E1075" s="5">
        <v>1.4146583800235533</v>
      </c>
      <c r="F1075" s="5">
        <v>1.2119645180775933</v>
      </c>
      <c r="G1075" s="5">
        <v>5.085692098332317</v>
      </c>
      <c r="H1075" s="5">
        <v>3.873727580254724</v>
      </c>
      <c r="I1075" s="9" t="b">
        <v>1</v>
      </c>
      <c r="J1075" s="9" t="b">
        <v>0</v>
      </c>
    </row>
    <row r="1076" ht="15.75" customHeight="1">
      <c r="A1076" s="5">
        <v>12.0</v>
      </c>
      <c r="B1076" s="5">
        <v>20174.0</v>
      </c>
      <c r="C1076" s="5">
        <v>98.14814814814817</v>
      </c>
      <c r="D1076" s="5">
        <v>100.0</v>
      </c>
      <c r="E1076" s="5">
        <v>-1.8518518518518334</v>
      </c>
      <c r="F1076" s="5">
        <v>0.0</v>
      </c>
      <c r="G1076" s="5">
        <v>6.345074470969725</v>
      </c>
      <c r="H1076" s="5">
        <v>6.345074470969725</v>
      </c>
      <c r="I1076" s="9" t="b">
        <v>1</v>
      </c>
      <c r="J1076" s="9" t="b">
        <v>0</v>
      </c>
    </row>
    <row r="1077" ht="15.75" customHeight="1">
      <c r="A1077" s="5">
        <v>13.0</v>
      </c>
      <c r="B1077" s="5">
        <v>20174.0</v>
      </c>
      <c r="C1077" s="5">
        <v>102.4781014999697</v>
      </c>
      <c r="D1077" s="5">
        <v>108.19480177177807</v>
      </c>
      <c r="E1077" s="5">
        <v>2.4781014999696964</v>
      </c>
      <c r="F1077" s="5">
        <v>8.194801771778074</v>
      </c>
      <c r="G1077" s="5">
        <v>7.440003224707259</v>
      </c>
      <c r="H1077" s="5">
        <v>-0.7547985470708154</v>
      </c>
      <c r="I1077" s="9" t="b">
        <v>1</v>
      </c>
      <c r="J1077" s="9" t="b">
        <v>0</v>
      </c>
    </row>
    <row r="1078" ht="15.75" customHeight="1">
      <c r="A1078" s="5">
        <v>14.0</v>
      </c>
      <c r="B1078" s="5">
        <v>20174.0</v>
      </c>
      <c r="C1078" s="5">
        <v>102.2914520236438</v>
      </c>
      <c r="D1078" s="5">
        <v>105.83724452089533</v>
      </c>
      <c r="E1078" s="5">
        <v>2.2914520236437994</v>
      </c>
      <c r="F1078" s="5">
        <v>5.837244520895325</v>
      </c>
      <c r="G1078" s="5">
        <v>5.851775930006986</v>
      </c>
      <c r="H1078" s="5">
        <v>0.014531409111660842</v>
      </c>
      <c r="I1078" s="9" t="b">
        <v>1</v>
      </c>
      <c r="J1078" s="9" t="b">
        <v>0</v>
      </c>
    </row>
    <row r="1079" ht="15.75" customHeight="1">
      <c r="A1079" s="5">
        <v>15.0</v>
      </c>
      <c r="B1079" s="5">
        <v>20174.0</v>
      </c>
      <c r="C1079" s="5">
        <v>101.9723865877712</v>
      </c>
      <c r="D1079" s="5">
        <v>104.97461928934013</v>
      </c>
      <c r="E1079" s="5">
        <v>1.9723865877711972</v>
      </c>
      <c r="F1079" s="5">
        <v>4.974619289340126</v>
      </c>
      <c r="G1079" s="5">
        <v>6.298108590361595</v>
      </c>
      <c r="H1079" s="5">
        <v>1.3234893010214694</v>
      </c>
      <c r="I1079" s="9" t="b">
        <v>1</v>
      </c>
      <c r="J1079" s="9" t="b">
        <v>0</v>
      </c>
    </row>
    <row r="1080" ht="15.75" customHeight="1">
      <c r="A1080" s="5">
        <v>16.0</v>
      </c>
      <c r="B1080" s="5">
        <v>20174.0</v>
      </c>
      <c r="C1080" s="5">
        <v>100.04824088037788</v>
      </c>
      <c r="D1080" s="5">
        <v>104.58601579093676</v>
      </c>
      <c r="E1080" s="5">
        <v>0.04824088037787533</v>
      </c>
      <c r="F1080" s="5">
        <v>4.586015790936756</v>
      </c>
      <c r="G1080" s="5">
        <v>7.701673721336255</v>
      </c>
      <c r="H1080" s="5">
        <v>3.1156579303994993</v>
      </c>
      <c r="I1080" s="9" t="b">
        <v>1</v>
      </c>
      <c r="J1080" s="9" t="b">
        <v>0</v>
      </c>
    </row>
    <row r="1081" ht="15.75" customHeight="1">
      <c r="A1081" s="5">
        <v>17.0</v>
      </c>
      <c r="B1081" s="5">
        <v>20174.0</v>
      </c>
      <c r="C1081" s="5">
        <v>100.5696530295184</v>
      </c>
      <c r="D1081" s="5">
        <v>110.6804969793685</v>
      </c>
      <c r="E1081" s="5">
        <v>0.5696530295184061</v>
      </c>
      <c r="F1081" s="5">
        <v>10.680496979368499</v>
      </c>
      <c r="G1081" s="5">
        <v>11.773832842399123</v>
      </c>
      <c r="H1081" s="5">
        <v>1.0933358630306245</v>
      </c>
      <c r="I1081" s="9" t="b">
        <v>1</v>
      </c>
      <c r="J1081" s="9" t="b">
        <v>0</v>
      </c>
    </row>
    <row r="1082" ht="15.75" customHeight="1">
      <c r="A1082" s="5">
        <v>1.0</v>
      </c>
      <c r="B1082" s="5">
        <v>20184.0</v>
      </c>
      <c r="C1082" s="5">
        <v>102.6241799437676</v>
      </c>
      <c r="D1082" s="5">
        <v>110.0120352787906</v>
      </c>
      <c r="E1082" s="5">
        <v>2.6241799437676008</v>
      </c>
      <c r="F1082" s="5">
        <v>10.012035278790606</v>
      </c>
      <c r="G1082" s="5">
        <v>11.910737745722976</v>
      </c>
      <c r="H1082" s="5">
        <v>1.8987024669323702</v>
      </c>
      <c r="I1082" s="9" t="b">
        <v>1</v>
      </c>
      <c r="J1082" s="9" t="b">
        <v>0</v>
      </c>
    </row>
    <row r="1083" ht="15.75" customHeight="1">
      <c r="A1083" s="5">
        <v>2.0</v>
      </c>
      <c r="B1083" s="5">
        <v>20184.0</v>
      </c>
      <c r="C1083" s="5">
        <v>102.31729055258468</v>
      </c>
      <c r="D1083" s="5">
        <v>109.12547528517108</v>
      </c>
      <c r="E1083" s="5">
        <v>2.31729055258468</v>
      </c>
      <c r="F1083" s="5">
        <v>9.125475285171078</v>
      </c>
      <c r="G1083" s="5">
        <v>12.377180648519758</v>
      </c>
      <c r="H1083" s="5">
        <v>3.2517053633486803</v>
      </c>
      <c r="I1083" s="9" t="b">
        <v>1</v>
      </c>
      <c r="J1083" s="9" t="b">
        <v>0</v>
      </c>
    </row>
    <row r="1084" ht="15.75" customHeight="1">
      <c r="A1084" s="5">
        <v>5.0</v>
      </c>
      <c r="B1084" s="5">
        <v>20184.0</v>
      </c>
      <c r="C1084" s="5">
        <v>102.59446889733049</v>
      </c>
      <c r="D1084" s="5">
        <v>110.70189592793088</v>
      </c>
      <c r="E1084" s="5">
        <v>2.5944688973304864</v>
      </c>
      <c r="F1084" s="5">
        <v>10.701895927930877</v>
      </c>
      <c r="G1084" s="5">
        <v>11.996453981165022</v>
      </c>
      <c r="H1084" s="5">
        <v>1.2945580532341445</v>
      </c>
      <c r="I1084" s="9" t="b">
        <v>1</v>
      </c>
      <c r="J1084" s="9" t="b">
        <v>0</v>
      </c>
    </row>
    <row r="1085" ht="15.75" customHeight="1">
      <c r="A1085" s="5">
        <v>6.0</v>
      </c>
      <c r="B1085" s="5">
        <v>20184.0</v>
      </c>
      <c r="C1085" s="5">
        <v>99.79315918401596</v>
      </c>
      <c r="D1085" s="5">
        <v>103.85023727677503</v>
      </c>
      <c r="E1085" s="5">
        <v>-0.20684081598403736</v>
      </c>
      <c r="F1085" s="5">
        <v>3.850237276775033</v>
      </c>
      <c r="G1085" s="5">
        <v>6.838509422551597</v>
      </c>
      <c r="H1085" s="5">
        <v>2.9882721457765644</v>
      </c>
      <c r="I1085" s="9" t="b">
        <v>1</v>
      </c>
      <c r="J1085" s="9" t="b">
        <v>0</v>
      </c>
    </row>
    <row r="1086" ht="15.75" customHeight="1">
      <c r="A1086" s="5">
        <v>7.0</v>
      </c>
      <c r="B1086" s="5">
        <v>20184.0</v>
      </c>
      <c r="C1086" s="5">
        <v>100.457607312317</v>
      </c>
      <c r="D1086" s="5">
        <v>109.5576977331421</v>
      </c>
      <c r="E1086" s="5">
        <v>0.4576073123169948</v>
      </c>
      <c r="F1086" s="5">
        <v>9.557697733142106</v>
      </c>
      <c r="G1086" s="5">
        <v>8.601024493135135</v>
      </c>
      <c r="H1086" s="5">
        <v>-0.9566732400069711</v>
      </c>
      <c r="I1086" s="9" t="b">
        <v>1</v>
      </c>
      <c r="J1086" s="9" t="b">
        <v>0</v>
      </c>
    </row>
    <row r="1087" ht="15.75" customHeight="1">
      <c r="A1087" s="5">
        <v>8.0</v>
      </c>
      <c r="B1087" s="5">
        <v>20184.0</v>
      </c>
      <c r="C1087" s="5">
        <v>100.7520210565896</v>
      </c>
      <c r="D1087" s="5">
        <v>103.75605033881898</v>
      </c>
      <c r="E1087" s="5">
        <v>0.752021056589598</v>
      </c>
      <c r="F1087" s="5">
        <v>3.75605033881898</v>
      </c>
      <c r="G1087" s="5">
        <v>5.673080257958185</v>
      </c>
      <c r="H1087" s="5">
        <v>1.917029919139205</v>
      </c>
      <c r="I1087" s="9" t="b">
        <v>1</v>
      </c>
      <c r="J1087" s="9" t="b">
        <v>0</v>
      </c>
    </row>
    <row r="1088" ht="15.75" customHeight="1">
      <c r="A1088" s="5">
        <v>9.0</v>
      </c>
      <c r="B1088" s="5">
        <v>20184.0</v>
      </c>
      <c r="C1088" s="5">
        <v>103.25488707534636</v>
      </c>
      <c r="D1088" s="5">
        <v>114.10444630872485</v>
      </c>
      <c r="E1088" s="5">
        <v>3.2548870753463603</v>
      </c>
      <c r="F1088" s="5">
        <v>14.104446308724846</v>
      </c>
      <c r="G1088" s="5">
        <v>10.471122133129285</v>
      </c>
      <c r="H1088" s="5">
        <v>-3.633324175595561</v>
      </c>
      <c r="I1088" s="9" t="b">
        <v>1</v>
      </c>
      <c r="J1088" s="9" t="b">
        <v>0</v>
      </c>
    </row>
    <row r="1089" ht="15.75" customHeight="1">
      <c r="A1089" s="5">
        <v>10.0</v>
      </c>
      <c r="B1089" s="5">
        <v>20184.0</v>
      </c>
      <c r="C1089" s="5">
        <v>106.74904523938152</v>
      </c>
      <c r="D1089" s="5">
        <v>108.17427311556736</v>
      </c>
      <c r="E1089" s="5">
        <v>6.749045239381516</v>
      </c>
      <c r="F1089" s="5">
        <v>8.17427311556736</v>
      </c>
      <c r="G1089" s="5">
        <v>11.106393248576584</v>
      </c>
      <c r="H1089" s="5">
        <v>2.9321201330092244</v>
      </c>
      <c r="I1089" s="9" t="b">
        <v>1</v>
      </c>
      <c r="J1089" s="9" t="b">
        <v>0</v>
      </c>
    </row>
    <row r="1090" ht="15.75" customHeight="1">
      <c r="A1090" s="5">
        <v>11.0</v>
      </c>
      <c r="B1090" s="5">
        <v>20184.0</v>
      </c>
      <c r="C1090" s="5">
        <v>102.48126499182744</v>
      </c>
      <c r="D1090" s="5">
        <v>109.62216250340376</v>
      </c>
      <c r="E1090" s="5">
        <v>2.4812649918274445</v>
      </c>
      <c r="F1090" s="5">
        <v>9.622162503403757</v>
      </c>
      <c r="G1090" s="5">
        <v>9.264847748418825</v>
      </c>
      <c r="H1090" s="5">
        <v>-0.35731475498493204</v>
      </c>
      <c r="I1090" s="9" t="b">
        <v>1</v>
      </c>
      <c r="J1090" s="9" t="b">
        <v>0</v>
      </c>
    </row>
    <row r="1091" ht="15.75" customHeight="1">
      <c r="A1091" s="5">
        <v>12.0</v>
      </c>
      <c r="B1091" s="5">
        <v>20184.0</v>
      </c>
      <c r="C1091" s="5">
        <v>100.46656298600313</v>
      </c>
      <c r="D1091" s="5">
        <v>110.80617495711836</v>
      </c>
      <c r="E1091" s="5">
        <v>0.46656298600312596</v>
      </c>
      <c r="F1091" s="5">
        <v>10.806174957118358</v>
      </c>
      <c r="G1091" s="5">
        <v>7.123081673150455</v>
      </c>
      <c r="H1091" s="5">
        <v>-3.683093283967903</v>
      </c>
      <c r="I1091" s="9" t="b">
        <v>1</v>
      </c>
      <c r="J1091" s="9" t="b">
        <v>0</v>
      </c>
    </row>
    <row r="1092" ht="15.75" customHeight="1">
      <c r="A1092" s="5">
        <v>13.0</v>
      </c>
      <c r="B1092" s="5">
        <v>20184.0</v>
      </c>
      <c r="C1092" s="5">
        <v>105.7360316717959</v>
      </c>
      <c r="D1092" s="5">
        <v>113.4008473298958</v>
      </c>
      <c r="E1092" s="5">
        <v>5.7360316717958995</v>
      </c>
      <c r="F1092" s="5">
        <v>13.400847329895797</v>
      </c>
      <c r="G1092" s="5">
        <v>12.097978448174484</v>
      </c>
      <c r="H1092" s="5">
        <v>-1.302868881721313</v>
      </c>
      <c r="I1092" s="9" t="b">
        <v>1</v>
      </c>
      <c r="J1092" s="9" t="b">
        <v>0</v>
      </c>
    </row>
    <row r="1093" ht="15.75" customHeight="1">
      <c r="A1093" s="5">
        <v>14.0</v>
      </c>
      <c r="B1093" s="5">
        <v>20184.0</v>
      </c>
      <c r="C1093" s="5">
        <v>104.29309156293584</v>
      </c>
      <c r="D1093" s="5">
        <v>107.26537969333536</v>
      </c>
      <c r="E1093" s="5">
        <v>4.293091562935842</v>
      </c>
      <c r="F1093" s="5">
        <v>7.265379693335362</v>
      </c>
      <c r="G1093" s="5">
        <v>8.244487422220859</v>
      </c>
      <c r="H1093" s="5">
        <v>0.9791077288854968</v>
      </c>
      <c r="I1093" s="9" t="b">
        <v>1</v>
      </c>
      <c r="J1093" s="9" t="b">
        <v>0</v>
      </c>
    </row>
    <row r="1094" ht="15.75" customHeight="1">
      <c r="A1094" s="5">
        <v>15.0</v>
      </c>
      <c r="B1094" s="5">
        <v>20184.0</v>
      </c>
      <c r="C1094" s="5">
        <v>96.56084656084656</v>
      </c>
      <c r="D1094" s="5">
        <v>105.89941972920695</v>
      </c>
      <c r="E1094" s="5">
        <v>-3.4391534391534435</v>
      </c>
      <c r="F1094" s="5">
        <v>5.899419729206954</v>
      </c>
      <c r="G1094" s="5">
        <v>9.34554423182481</v>
      </c>
      <c r="H1094" s="5">
        <v>3.446124502617856</v>
      </c>
      <c r="I1094" s="9" t="b">
        <v>1</v>
      </c>
      <c r="J1094" s="9" t="b">
        <v>0</v>
      </c>
    </row>
    <row r="1095" ht="15.75" customHeight="1">
      <c r="A1095" s="5">
        <v>16.0</v>
      </c>
      <c r="B1095" s="5">
        <v>20184.0</v>
      </c>
      <c r="C1095" s="5">
        <v>96.96445103345376</v>
      </c>
      <c r="D1095" s="5">
        <v>104.72093310703988</v>
      </c>
      <c r="E1095" s="5">
        <v>-3.0355489665462443</v>
      </c>
      <c r="F1095" s="5">
        <v>4.720933107039883</v>
      </c>
      <c r="G1095" s="5">
        <v>12.04913882770584</v>
      </c>
      <c r="H1095" s="5">
        <v>7.328205720665958</v>
      </c>
      <c r="I1095" s="9" t="b">
        <v>1</v>
      </c>
      <c r="J1095" s="9" t="b">
        <v>0</v>
      </c>
    </row>
    <row r="1096" ht="15.75" customHeight="1">
      <c r="A1096" s="5">
        <v>17.0</v>
      </c>
      <c r="B1096" s="5">
        <v>20184.0</v>
      </c>
      <c r="C1096" s="5">
        <v>103.28096118299446</v>
      </c>
      <c r="D1096" s="5">
        <v>115.0875386199794</v>
      </c>
      <c r="E1096" s="5">
        <v>3.28096118299446</v>
      </c>
      <c r="F1096" s="5">
        <v>15.087538619979398</v>
      </c>
      <c r="G1096" s="5">
        <v>17.001222014824215</v>
      </c>
      <c r="H1096" s="5">
        <v>1.913683394844817</v>
      </c>
      <c r="I1096" s="9" t="b">
        <v>1</v>
      </c>
      <c r="J1096" s="9" t="b">
        <v>0</v>
      </c>
    </row>
    <row r="1097" ht="15.75" customHeight="1">
      <c r="A1097" s="5">
        <v>1.0</v>
      </c>
      <c r="B1097" s="5">
        <v>20194.0</v>
      </c>
      <c r="C1097" s="5">
        <v>98.82464476691388</v>
      </c>
      <c r="D1097" s="5">
        <v>110.4746867572904</v>
      </c>
      <c r="E1097" s="5">
        <v>-1.1753552330861226</v>
      </c>
      <c r="F1097" s="5">
        <v>10.4746867572904</v>
      </c>
      <c r="G1097" s="5">
        <v>13.083918707373199</v>
      </c>
      <c r="H1097" s="5">
        <v>2.6092319500827994</v>
      </c>
      <c r="I1097" s="9" t="b">
        <v>1</v>
      </c>
      <c r="J1097" s="9" t="b">
        <v>0</v>
      </c>
    </row>
    <row r="1098" ht="15.75" customHeight="1">
      <c r="A1098" s="5">
        <v>2.0</v>
      </c>
      <c r="B1098" s="5">
        <v>20194.0</v>
      </c>
      <c r="C1098" s="5">
        <v>105.43900543900544</v>
      </c>
      <c r="D1098" s="5">
        <v>118.205574912892</v>
      </c>
      <c r="E1098" s="5">
        <v>5.439005439005442</v>
      </c>
      <c r="F1098" s="5">
        <v>18.205574912892004</v>
      </c>
      <c r="G1098" s="5">
        <v>11.881530517132832</v>
      </c>
      <c r="H1098" s="5">
        <v>-6.324044395759172</v>
      </c>
      <c r="I1098" s="9" t="b">
        <v>1</v>
      </c>
      <c r="J1098" s="9" t="b">
        <v>0</v>
      </c>
    </row>
    <row r="1099" ht="15.75" customHeight="1">
      <c r="A1099" s="5">
        <v>5.0</v>
      </c>
      <c r="B1099" s="5">
        <v>20194.0</v>
      </c>
      <c r="C1099" s="5">
        <v>101.58949138556916</v>
      </c>
      <c r="D1099" s="5">
        <v>113.19392546032444</v>
      </c>
      <c r="E1099" s="5">
        <v>1.5894913855691613</v>
      </c>
      <c r="F1099" s="5">
        <v>13.193925460324436</v>
      </c>
      <c r="G1099" s="5">
        <v>17.462349961900593</v>
      </c>
      <c r="H1099" s="5">
        <v>4.268424501576156</v>
      </c>
      <c r="I1099" s="9" t="b">
        <v>1</v>
      </c>
      <c r="J1099" s="9" t="b">
        <v>0</v>
      </c>
    </row>
    <row r="1100" ht="15.75" customHeight="1">
      <c r="A1100" s="5">
        <v>6.0</v>
      </c>
      <c r="B1100" s="5">
        <v>20194.0</v>
      </c>
      <c r="C1100" s="5">
        <v>103.1772332132728</v>
      </c>
      <c r="D1100" s="5">
        <v>113.39467473318264</v>
      </c>
      <c r="E1100" s="5">
        <v>3.1772332132727996</v>
      </c>
      <c r="F1100" s="5">
        <v>13.39467473318264</v>
      </c>
      <c r="G1100" s="5">
        <v>15.564536222870217</v>
      </c>
      <c r="H1100" s="5">
        <v>2.1698614896875767</v>
      </c>
      <c r="I1100" s="9" t="b">
        <v>1</v>
      </c>
      <c r="J1100" s="9" t="b">
        <v>0</v>
      </c>
    </row>
    <row r="1101" ht="15.75" customHeight="1">
      <c r="A1101" s="5">
        <v>7.0</v>
      </c>
      <c r="B1101" s="5">
        <v>20194.0</v>
      </c>
      <c r="C1101" s="5">
        <v>102.15791166657364</v>
      </c>
      <c r="D1101" s="5">
        <v>111.58753867262789</v>
      </c>
      <c r="E1101" s="5">
        <v>2.1579116665736393</v>
      </c>
      <c r="F1101" s="5">
        <v>11.587538672627886</v>
      </c>
      <c r="G1101" s="5">
        <v>14.547012090415222</v>
      </c>
      <c r="H1101" s="5">
        <v>2.9594734177873363</v>
      </c>
      <c r="I1101" s="9" t="b">
        <v>1</v>
      </c>
      <c r="J1101" s="9" t="b">
        <v>0</v>
      </c>
    </row>
    <row r="1102" ht="15.75" customHeight="1">
      <c r="A1102" s="5">
        <v>8.0</v>
      </c>
      <c r="B1102" s="5">
        <v>20194.0</v>
      </c>
      <c r="C1102" s="5">
        <v>102.9585798816568</v>
      </c>
      <c r="D1102" s="5">
        <v>113.64060459040866</v>
      </c>
      <c r="E1102" s="5">
        <v>2.958579881656803</v>
      </c>
      <c r="F1102" s="5">
        <v>13.640604590408657</v>
      </c>
      <c r="G1102" s="5">
        <v>14.176081735410161</v>
      </c>
      <c r="H1102" s="5">
        <v>0.5354771450015043</v>
      </c>
      <c r="I1102" s="9" t="b">
        <v>1</v>
      </c>
      <c r="J1102" s="9" t="b">
        <v>0</v>
      </c>
    </row>
    <row r="1103" ht="15.75" customHeight="1">
      <c r="A1103" s="5">
        <v>9.0</v>
      </c>
      <c r="B1103" s="5">
        <v>20194.0</v>
      </c>
      <c r="C1103" s="5">
        <v>104.91997628927088</v>
      </c>
      <c r="D1103" s="5">
        <v>113.8682106424042</v>
      </c>
      <c r="E1103" s="5">
        <v>4.919976289270878</v>
      </c>
      <c r="F1103" s="5">
        <v>13.868210642404193</v>
      </c>
      <c r="G1103" s="5">
        <v>12.116141711748751</v>
      </c>
      <c r="H1103" s="5">
        <v>-1.752068930655442</v>
      </c>
      <c r="I1103" s="9" t="b">
        <v>1</v>
      </c>
      <c r="J1103" s="9" t="b">
        <v>0</v>
      </c>
    </row>
    <row r="1104" ht="15.75" customHeight="1">
      <c r="A1104" s="5">
        <v>10.0</v>
      </c>
      <c r="B1104" s="5">
        <v>20194.0</v>
      </c>
      <c r="C1104" s="5">
        <v>100.56046065719087</v>
      </c>
      <c r="D1104" s="5">
        <v>108.16289465548188</v>
      </c>
      <c r="E1104" s="5">
        <v>0.5604606571908732</v>
      </c>
      <c r="F1104" s="5">
        <v>8.162894655481878</v>
      </c>
      <c r="G1104" s="5">
        <v>6.9644832810180635</v>
      </c>
      <c r="H1104" s="5">
        <v>-1.1984113744638147</v>
      </c>
      <c r="I1104" s="9" t="b">
        <v>1</v>
      </c>
      <c r="J1104" s="9" t="b">
        <v>0</v>
      </c>
    </row>
    <row r="1105" ht="15.75" customHeight="1">
      <c r="A1105" s="5">
        <v>11.0</v>
      </c>
      <c r="B1105" s="5">
        <v>20194.0</v>
      </c>
      <c r="C1105" s="5">
        <v>102.89296237081616</v>
      </c>
      <c r="D1105" s="5">
        <v>107.69509982617748</v>
      </c>
      <c r="E1105" s="5">
        <v>2.8929623708161643</v>
      </c>
      <c r="F1105" s="5">
        <v>7.695099826177483</v>
      </c>
      <c r="G1105" s="5">
        <v>9.249025139544266</v>
      </c>
      <c r="H1105" s="5">
        <v>1.5539253133667827</v>
      </c>
      <c r="I1105" s="9" t="b">
        <v>1</v>
      </c>
      <c r="J1105" s="9" t="b">
        <v>0</v>
      </c>
    </row>
    <row r="1106" ht="15.75" customHeight="1">
      <c r="A1106" s="5">
        <v>12.0</v>
      </c>
      <c r="B1106" s="5">
        <v>20194.0</v>
      </c>
      <c r="C1106" s="5">
        <v>101.010101010101</v>
      </c>
      <c r="D1106" s="5">
        <v>108.359133126935</v>
      </c>
      <c r="E1106" s="5">
        <v>1.0101010101009962</v>
      </c>
      <c r="F1106" s="5">
        <v>8.359133126935006</v>
      </c>
      <c r="G1106" s="5">
        <v>9.815329017702101</v>
      </c>
      <c r="H1106" s="5">
        <v>1.4561958907670949</v>
      </c>
      <c r="I1106" s="9" t="b">
        <v>1</v>
      </c>
      <c r="J1106" s="9" t="b">
        <v>0</v>
      </c>
    </row>
    <row r="1107" ht="15.75" customHeight="1">
      <c r="A1107" s="5">
        <v>13.0</v>
      </c>
      <c r="B1107" s="5">
        <v>20194.0</v>
      </c>
      <c r="C1107" s="5">
        <v>103.19115038246538</v>
      </c>
      <c r="D1107" s="5">
        <v>113.00267134700452</v>
      </c>
      <c r="E1107" s="5">
        <v>3.1911503824653806</v>
      </c>
      <c r="F1107" s="5">
        <v>13.002671347004522</v>
      </c>
      <c r="G1107" s="5">
        <v>13.94763246986841</v>
      </c>
      <c r="H1107" s="5">
        <v>0.9449611228638872</v>
      </c>
      <c r="I1107" s="9" t="b">
        <v>1</v>
      </c>
      <c r="J1107" s="9" t="b">
        <v>0</v>
      </c>
    </row>
    <row r="1108" ht="15.75" customHeight="1">
      <c r="A1108" s="5">
        <v>14.0</v>
      </c>
      <c r="B1108" s="5">
        <v>20194.0</v>
      </c>
      <c r="C1108" s="5">
        <v>102.8216786997722</v>
      </c>
      <c r="D1108" s="5">
        <v>110.2668325036689</v>
      </c>
      <c r="E1108" s="5">
        <v>2.8216786997722068</v>
      </c>
      <c r="F1108" s="5">
        <v>10.266832503668894</v>
      </c>
      <c r="G1108" s="5">
        <v>12.120786744372625</v>
      </c>
      <c r="H1108" s="5">
        <v>1.8539542407037306</v>
      </c>
      <c r="I1108" s="9" t="b">
        <v>1</v>
      </c>
      <c r="J1108" s="9" t="b">
        <v>0</v>
      </c>
    </row>
    <row r="1109" ht="15.75" customHeight="1">
      <c r="A1109" s="5">
        <v>15.0</v>
      </c>
      <c r="B1109" s="5">
        <v>20194.0</v>
      </c>
      <c r="C1109" s="5">
        <v>108.8113050706567</v>
      </c>
      <c r="D1109" s="5">
        <v>119.54337899543378</v>
      </c>
      <c r="E1109" s="5">
        <v>8.8113050706567</v>
      </c>
      <c r="F1109" s="5">
        <v>19.543378995433784</v>
      </c>
      <c r="G1109" s="5">
        <v>15.11505596952114</v>
      </c>
      <c r="H1109" s="5">
        <v>-4.428323025912643</v>
      </c>
      <c r="I1109" s="9" t="b">
        <v>1</v>
      </c>
      <c r="J1109" s="9" t="b">
        <v>0</v>
      </c>
    </row>
    <row r="1110" ht="15.75" customHeight="1">
      <c r="A1110" s="5">
        <v>16.0</v>
      </c>
      <c r="B1110" s="5">
        <v>20194.0</v>
      </c>
      <c r="C1110" s="5">
        <v>105.78930322543334</v>
      </c>
      <c r="D1110" s="5">
        <v>123.02632228758031</v>
      </c>
      <c r="E1110" s="5">
        <v>5.789303225433343</v>
      </c>
      <c r="F1110" s="5">
        <v>23.026322287580314</v>
      </c>
      <c r="G1110" s="5">
        <v>15.47557555267991</v>
      </c>
      <c r="H1110" s="5">
        <v>-7.550746734900404</v>
      </c>
      <c r="I1110" s="9" t="b">
        <v>1</v>
      </c>
      <c r="J1110" s="9" t="b">
        <v>0</v>
      </c>
    </row>
    <row r="1111" ht="15.75" customHeight="1">
      <c r="A1111" s="5">
        <v>17.0</v>
      </c>
      <c r="B1111" s="5">
        <v>20194.0</v>
      </c>
      <c r="C1111" s="5">
        <v>103.79986811737554</v>
      </c>
      <c r="D1111" s="5">
        <v>112.68903803131992</v>
      </c>
      <c r="E1111" s="5">
        <v>3.7998681173755386</v>
      </c>
      <c r="F1111" s="5">
        <v>12.689038031319924</v>
      </c>
      <c r="G1111" s="5">
        <v>9.803987116855172</v>
      </c>
      <c r="H1111" s="5">
        <v>-2.8850509144647525</v>
      </c>
      <c r="I1111" s="9" t="b">
        <v>1</v>
      </c>
      <c r="J1111" s="9" t="b">
        <v>0</v>
      </c>
    </row>
    <row r="1112" ht="15.75" customHeight="1">
      <c r="A1112" s="5">
        <v>1.0</v>
      </c>
      <c r="B1112" s="5">
        <v>20204.0</v>
      </c>
      <c r="C1112" s="5">
        <v>102.19909015143078</v>
      </c>
      <c r="D1112" s="5">
        <v>111.77121594812849</v>
      </c>
      <c r="E1112" s="5">
        <v>2.199090151430781</v>
      </c>
      <c r="F1112" s="5">
        <v>11.771215948128486</v>
      </c>
      <c r="G1112" s="5">
        <v>9.929670140785607</v>
      </c>
      <c r="H1112" s="5">
        <v>-1.8415458073428788</v>
      </c>
      <c r="I1112" s="9" t="b">
        <v>1</v>
      </c>
      <c r="J1112" s="9" t="b">
        <v>0</v>
      </c>
    </row>
    <row r="1113" ht="15.75" customHeight="1">
      <c r="A1113" s="5">
        <v>2.0</v>
      </c>
      <c r="B1113" s="5">
        <v>20204.0</v>
      </c>
      <c r="C1113" s="5">
        <v>103.7174721189591</v>
      </c>
      <c r="D1113" s="5">
        <v>102.80029476787033</v>
      </c>
      <c r="E1113" s="5">
        <v>3.717472118959094</v>
      </c>
      <c r="F1113" s="5">
        <v>2.8002947678703265</v>
      </c>
      <c r="G1113" s="5">
        <v>8.883985060261178</v>
      </c>
      <c r="H1113" s="5">
        <v>6.083690292390852</v>
      </c>
      <c r="I1113" s="9" t="b">
        <v>1</v>
      </c>
      <c r="J1113" s="9" t="b">
        <v>0</v>
      </c>
    </row>
    <row r="1114" ht="15.75" customHeight="1">
      <c r="A1114" s="5">
        <v>5.0</v>
      </c>
      <c r="B1114" s="5">
        <v>20204.0</v>
      </c>
      <c r="C1114" s="5">
        <v>99.34376750603523</v>
      </c>
      <c r="D1114" s="5">
        <v>110.8651088483619</v>
      </c>
      <c r="E1114" s="5">
        <v>-0.6562324939647652</v>
      </c>
      <c r="F1114" s="5">
        <v>10.8651088483619</v>
      </c>
      <c r="G1114" s="5">
        <v>9.213505808521226</v>
      </c>
      <c r="H1114" s="5">
        <v>-1.6516030398406727</v>
      </c>
      <c r="I1114" s="9" t="b">
        <v>1</v>
      </c>
      <c r="J1114" s="9" t="b">
        <v>0</v>
      </c>
    </row>
    <row r="1115" ht="15.75" customHeight="1">
      <c r="A1115" s="5">
        <v>6.0</v>
      </c>
      <c r="B1115" s="5">
        <v>20204.0</v>
      </c>
      <c r="C1115" s="5">
        <v>100.93329412552872</v>
      </c>
      <c r="D1115" s="5">
        <v>106.95543168629706</v>
      </c>
      <c r="E1115" s="5">
        <v>0.9332941255287182</v>
      </c>
      <c r="F1115" s="5">
        <v>6.955431686297061</v>
      </c>
      <c r="G1115" s="5">
        <v>9.265666457668932</v>
      </c>
      <c r="H1115" s="5">
        <v>2.3102347713718707</v>
      </c>
      <c r="I1115" s="9" t="b">
        <v>1</v>
      </c>
      <c r="J1115" s="9" t="b">
        <v>0</v>
      </c>
    </row>
    <row r="1116" ht="15.75" customHeight="1">
      <c r="A1116" s="5">
        <v>7.0</v>
      </c>
      <c r="B1116" s="5">
        <v>20204.0</v>
      </c>
      <c r="C1116" s="5">
        <v>99.6988282802654</v>
      </c>
      <c r="D1116" s="5">
        <v>112.29646309899827</v>
      </c>
      <c r="E1116" s="5">
        <v>-0.30117171973459733</v>
      </c>
      <c r="F1116" s="5">
        <v>12.296463098998274</v>
      </c>
      <c r="G1116" s="5">
        <v>8.776223913135395</v>
      </c>
      <c r="H1116" s="5">
        <v>-3.520239185862879</v>
      </c>
      <c r="I1116" s="9" t="b">
        <v>1</v>
      </c>
      <c r="J1116" s="9" t="b">
        <v>0</v>
      </c>
    </row>
    <row r="1117" ht="15.75" customHeight="1">
      <c r="A1117" s="5">
        <v>8.0</v>
      </c>
      <c r="B1117" s="5">
        <v>20204.0</v>
      </c>
      <c r="C1117" s="5">
        <v>101.28301886792453</v>
      </c>
      <c r="D1117" s="5">
        <v>110.1806239737274</v>
      </c>
      <c r="E1117" s="5">
        <v>1.2830188679245254</v>
      </c>
      <c r="F1117" s="5">
        <v>10.180623973727407</v>
      </c>
      <c r="G1117" s="5">
        <v>10.107864340174277</v>
      </c>
      <c r="H1117" s="5">
        <v>-0.07275963355312953</v>
      </c>
      <c r="I1117" s="9" t="b">
        <v>1</v>
      </c>
      <c r="J1117" s="9" t="b">
        <v>0</v>
      </c>
    </row>
    <row r="1118" ht="15.75" customHeight="1">
      <c r="A1118" s="5">
        <v>9.0</v>
      </c>
      <c r="B1118" s="5">
        <v>20204.0</v>
      </c>
      <c r="C1118" s="5">
        <v>100.1780185758514</v>
      </c>
      <c r="D1118" s="5">
        <v>104.4632768361582</v>
      </c>
      <c r="E1118" s="5">
        <v>0.17801857585139658</v>
      </c>
      <c r="F1118" s="5">
        <v>4.463276836158201</v>
      </c>
      <c r="G1118" s="5">
        <v>7.648147975845987</v>
      </c>
      <c r="H1118" s="5">
        <v>3.184871139687786</v>
      </c>
      <c r="I1118" s="9" t="b">
        <v>1</v>
      </c>
      <c r="J1118" s="9" t="b">
        <v>0</v>
      </c>
    </row>
    <row r="1119" ht="15.75" customHeight="1">
      <c r="A1119" s="5">
        <v>10.0</v>
      </c>
      <c r="B1119" s="5">
        <v>20204.0</v>
      </c>
      <c r="C1119" s="5">
        <v>102.53868816809822</v>
      </c>
      <c r="D1119" s="5">
        <v>112.877442731956</v>
      </c>
      <c r="E1119" s="5">
        <v>2.5386881680982185</v>
      </c>
      <c r="F1119" s="5">
        <v>12.877442731955995</v>
      </c>
      <c r="G1119" s="5">
        <v>8.99718788503936</v>
      </c>
      <c r="H1119" s="5">
        <v>-3.8802548469166354</v>
      </c>
      <c r="I1119" s="9" t="b">
        <v>1</v>
      </c>
      <c r="J1119" s="9" t="b">
        <v>0</v>
      </c>
    </row>
    <row r="1120" ht="15.75" customHeight="1">
      <c r="A1120" s="5">
        <v>11.0</v>
      </c>
      <c r="B1120" s="5">
        <v>20204.0</v>
      </c>
      <c r="C1120" s="5">
        <v>100.6693048389462</v>
      </c>
      <c r="D1120" s="5">
        <v>105.80011070120416</v>
      </c>
      <c r="E1120" s="5">
        <v>0.6693048389462035</v>
      </c>
      <c r="F1120" s="5">
        <v>5.8001107012041615</v>
      </c>
      <c r="G1120" s="5">
        <v>7.207856137414659</v>
      </c>
      <c r="H1120" s="5">
        <v>1.4077454362104973</v>
      </c>
      <c r="I1120" s="9" t="b">
        <v>1</v>
      </c>
      <c r="J1120" s="9" t="b">
        <v>0</v>
      </c>
    </row>
    <row r="1121" ht="15.75" customHeight="1">
      <c r="A1121" s="5">
        <v>12.0</v>
      </c>
      <c r="B1121" s="5">
        <v>20204.0</v>
      </c>
      <c r="C1121" s="5">
        <v>102.708192281652</v>
      </c>
      <c r="D1121" s="5">
        <v>108.35714285714285</v>
      </c>
      <c r="E1121" s="5">
        <v>2.7081922816520034</v>
      </c>
      <c r="F1121" s="5">
        <v>8.357142857142847</v>
      </c>
      <c r="G1121" s="5">
        <v>17.69815306105682</v>
      </c>
      <c r="H1121" s="5">
        <v>9.341010203913974</v>
      </c>
      <c r="I1121" s="9" t="b">
        <v>1</v>
      </c>
      <c r="J1121" s="9" t="b">
        <v>0</v>
      </c>
    </row>
    <row r="1122" ht="15.75" customHeight="1">
      <c r="A1122" s="5">
        <v>13.0</v>
      </c>
      <c r="B1122" s="5">
        <v>20204.0</v>
      </c>
      <c r="C1122" s="5">
        <v>100.4769858504478</v>
      </c>
      <c r="D1122" s="5">
        <v>108.37180299366156</v>
      </c>
      <c r="E1122" s="5">
        <v>0.4769858504478037</v>
      </c>
      <c r="F1122" s="5">
        <v>8.37180299366156</v>
      </c>
      <c r="G1122" s="5">
        <v>11.083204250799072</v>
      </c>
      <c r="H1122" s="5">
        <v>2.7114012571375117</v>
      </c>
      <c r="I1122" s="9" t="b">
        <v>1</v>
      </c>
      <c r="J1122" s="9" t="b">
        <v>0</v>
      </c>
    </row>
    <row r="1123" ht="15.75" customHeight="1">
      <c r="A1123" s="5">
        <v>14.0</v>
      </c>
      <c r="B1123" s="5">
        <v>20204.0</v>
      </c>
      <c r="C1123" s="5">
        <v>105.04374328762796</v>
      </c>
      <c r="D1123" s="5">
        <v>107.41618199536464</v>
      </c>
      <c r="E1123" s="5">
        <v>5.0437432876279615</v>
      </c>
      <c r="F1123" s="5">
        <v>7.416181995364639</v>
      </c>
      <c r="G1123" s="5">
        <v>9.556923793472993</v>
      </c>
      <c r="H1123" s="5">
        <v>2.1407417981083547</v>
      </c>
      <c r="I1123" s="9" t="b">
        <v>1</v>
      </c>
      <c r="J1123" s="9" t="b">
        <v>0</v>
      </c>
    </row>
    <row r="1124" ht="15.75" customHeight="1">
      <c r="A1124" s="5">
        <v>15.0</v>
      </c>
      <c r="B1124" s="5">
        <v>20204.0</v>
      </c>
      <c r="C1124" s="5">
        <v>103.74680670278124</v>
      </c>
      <c r="D1124" s="5">
        <v>105.66728048190008</v>
      </c>
      <c r="E1124" s="5">
        <v>3.7468067027812424</v>
      </c>
      <c r="F1124" s="5">
        <v>5.667280481900079</v>
      </c>
      <c r="G1124" s="5">
        <v>10.154534118803738</v>
      </c>
      <c r="H1124" s="5">
        <v>4.4872536369036595</v>
      </c>
      <c r="I1124" s="9" t="b">
        <v>1</v>
      </c>
      <c r="J1124" s="9" t="b">
        <v>0</v>
      </c>
    </row>
    <row r="1125" ht="15.75" customHeight="1">
      <c r="A1125" s="5">
        <v>16.0</v>
      </c>
      <c r="B1125" s="5">
        <v>20204.0</v>
      </c>
      <c r="C1125" s="5">
        <v>110.0416281448232</v>
      </c>
      <c r="D1125" s="5">
        <v>109.16193033783172</v>
      </c>
      <c r="E1125" s="5">
        <v>10.041628144823207</v>
      </c>
      <c r="F1125" s="5">
        <v>9.16193033783172</v>
      </c>
      <c r="G1125" s="5">
        <v>8.639653106101486</v>
      </c>
      <c r="H1125" s="5">
        <v>-0.522277231730234</v>
      </c>
      <c r="I1125" s="9" t="b">
        <v>1</v>
      </c>
      <c r="J1125" s="9" t="b">
        <v>0</v>
      </c>
    </row>
    <row r="1126" ht="15.75" customHeight="1">
      <c r="A1126" s="5">
        <v>17.0</v>
      </c>
      <c r="B1126" s="5">
        <v>20204.0</v>
      </c>
      <c r="C1126" s="5">
        <v>94.2281591542253</v>
      </c>
      <c r="D1126" s="5">
        <v>104.74866989597396</v>
      </c>
      <c r="E1126" s="5">
        <v>-5.771840845774705</v>
      </c>
      <c r="F1126" s="5">
        <v>4.748669895973961</v>
      </c>
      <c r="G1126" s="5">
        <v>10.06706134175268</v>
      </c>
      <c r="H1126" s="5">
        <v>5.318391445778719</v>
      </c>
      <c r="I1126" s="9" t="b">
        <v>1</v>
      </c>
      <c r="J1126" s="9" t="b">
        <v>0</v>
      </c>
    </row>
    <row r="1127" ht="15.75" customHeight="1">
      <c r="A1127" s="5">
        <v>1.0</v>
      </c>
      <c r="B1127" s="5">
        <v>20214.0</v>
      </c>
      <c r="C1127" s="5">
        <v>103.7461491375128</v>
      </c>
      <c r="D1127" s="5">
        <v>116.21149262326244</v>
      </c>
      <c r="E1127" s="5">
        <v>3.746149137512802</v>
      </c>
      <c r="F1127" s="5">
        <v>16.211492623262444</v>
      </c>
      <c r="G1127" s="5">
        <v>11.945331348327715</v>
      </c>
      <c r="H1127" s="5">
        <v>-4.2661612749347295</v>
      </c>
      <c r="I1127" s="9" t="b">
        <v>1</v>
      </c>
      <c r="J1127" s="9" t="b">
        <v>0</v>
      </c>
    </row>
    <row r="1128" ht="15.75" customHeight="1">
      <c r="A1128" s="5">
        <v>2.0</v>
      </c>
      <c r="B1128" s="5">
        <v>20214.0</v>
      </c>
      <c r="C1128" s="5">
        <v>109.16083916083916</v>
      </c>
      <c r="D1128" s="5">
        <v>111.89964157706092</v>
      </c>
      <c r="E1128" s="5">
        <v>9.16083916083916</v>
      </c>
      <c r="F1128" s="5">
        <v>11.899641577060919</v>
      </c>
      <c r="G1128" s="5">
        <v>10.52090017121352</v>
      </c>
      <c r="H1128" s="5">
        <v>-1.3787414058473981</v>
      </c>
      <c r="I1128" s="9" t="b">
        <v>1</v>
      </c>
      <c r="J1128" s="9" t="b">
        <v>0</v>
      </c>
    </row>
    <row r="1129" ht="15.75" customHeight="1">
      <c r="A1129" s="5">
        <v>5.0</v>
      </c>
      <c r="B1129" s="5">
        <v>20214.0</v>
      </c>
      <c r="C1129" s="5">
        <v>98.31670870712486</v>
      </c>
      <c r="D1129" s="5">
        <v>111.47685436881478</v>
      </c>
      <c r="E1129" s="5">
        <v>-1.6832912928751398</v>
      </c>
      <c r="F1129" s="5">
        <v>11.476854368814784</v>
      </c>
      <c r="G1129" s="5">
        <v>11.375140678601902</v>
      </c>
      <c r="H1129" s="5">
        <v>-0.10171369021288257</v>
      </c>
      <c r="I1129" s="9" t="b">
        <v>1</v>
      </c>
      <c r="J1129" s="9" t="b">
        <v>0</v>
      </c>
    </row>
    <row r="1130" ht="15.75" customHeight="1">
      <c r="A1130" s="5">
        <v>6.0</v>
      </c>
      <c r="B1130" s="5">
        <v>20214.0</v>
      </c>
      <c r="C1130" s="5">
        <v>105.29095302400238</v>
      </c>
      <c r="D1130" s="5">
        <v>117.2294565266027</v>
      </c>
      <c r="E1130" s="5">
        <v>5.290953024002377</v>
      </c>
      <c r="F1130" s="5">
        <v>17.229456526602704</v>
      </c>
      <c r="G1130" s="5">
        <v>15.60727084637874</v>
      </c>
      <c r="H1130" s="5">
        <v>-1.6221856802239643</v>
      </c>
      <c r="I1130" s="9" t="b">
        <v>1</v>
      </c>
      <c r="J1130" s="9" t="b">
        <v>0</v>
      </c>
    </row>
    <row r="1131" ht="15.75" customHeight="1">
      <c r="A1131" s="5">
        <v>7.0</v>
      </c>
      <c r="B1131" s="5">
        <v>20214.0</v>
      </c>
      <c r="C1131" s="5">
        <v>101.52834313397034</v>
      </c>
      <c r="D1131" s="5">
        <v>113.90654527131568</v>
      </c>
      <c r="E1131" s="5">
        <v>1.5283431339703384</v>
      </c>
      <c r="F1131" s="5">
        <v>13.906545271315679</v>
      </c>
      <c r="G1131" s="5">
        <v>13.900176648702711</v>
      </c>
      <c r="H1131" s="5">
        <v>-0.006368622612967556</v>
      </c>
      <c r="I1131" s="9" t="b">
        <v>1</v>
      </c>
      <c r="J1131" s="9" t="b">
        <v>0</v>
      </c>
    </row>
    <row r="1132" ht="15.75" customHeight="1">
      <c r="A1132" s="5">
        <v>8.0</v>
      </c>
      <c r="B1132" s="5">
        <v>20214.0</v>
      </c>
      <c r="C1132" s="5">
        <v>101.6139878950908</v>
      </c>
      <c r="D1132" s="5">
        <v>112.59314456035769</v>
      </c>
      <c r="E1132" s="5">
        <v>1.6139878950908013</v>
      </c>
      <c r="F1132" s="5">
        <v>12.593144560357686</v>
      </c>
      <c r="G1132" s="5">
        <v>14.40979900732222</v>
      </c>
      <c r="H1132" s="5">
        <v>1.8166544469645345</v>
      </c>
      <c r="I1132" s="9" t="b">
        <v>1</v>
      </c>
      <c r="J1132" s="9" t="b">
        <v>0</v>
      </c>
    </row>
    <row r="1133" ht="15.75" customHeight="1">
      <c r="A1133" s="5">
        <v>9.0</v>
      </c>
      <c r="B1133" s="5">
        <v>20214.0</v>
      </c>
      <c r="C1133" s="5">
        <v>102.31624894395948</v>
      </c>
      <c r="D1133" s="5">
        <v>112.28463261994902</v>
      </c>
      <c r="E1133" s="5">
        <v>2.3162489439594793</v>
      </c>
      <c r="F1133" s="5">
        <v>12.284632619949022</v>
      </c>
      <c r="G1133" s="5">
        <v>10.145811905235224</v>
      </c>
      <c r="H1133" s="5">
        <v>-2.1388207147137983</v>
      </c>
      <c r="I1133" s="9" t="b">
        <v>1</v>
      </c>
      <c r="J1133" s="9" t="b">
        <v>0</v>
      </c>
    </row>
    <row r="1134" ht="15.75" customHeight="1">
      <c r="A1134" s="5">
        <v>10.0</v>
      </c>
      <c r="B1134" s="5">
        <v>20214.0</v>
      </c>
      <c r="C1134" s="5">
        <v>101.36909911509292</v>
      </c>
      <c r="D1134" s="5">
        <v>105.48232643082552</v>
      </c>
      <c r="E1134" s="5">
        <v>1.3690991150929221</v>
      </c>
      <c r="F1134" s="5">
        <v>5.482326430825523</v>
      </c>
      <c r="G1134" s="5">
        <v>9.296704367680775</v>
      </c>
      <c r="H1134" s="5">
        <v>3.8143779368552515</v>
      </c>
      <c r="I1134" s="9" t="b">
        <v>1</v>
      </c>
      <c r="J1134" s="9" t="b">
        <v>0</v>
      </c>
    </row>
    <row r="1135" ht="15.75" customHeight="1">
      <c r="A1135" s="5">
        <v>11.0</v>
      </c>
      <c r="B1135" s="5">
        <v>20214.0</v>
      </c>
      <c r="C1135" s="5">
        <v>102.91035968315636</v>
      </c>
      <c r="D1135" s="5">
        <v>109.78002120982296</v>
      </c>
      <c r="E1135" s="5">
        <v>2.910359683156358</v>
      </c>
      <c r="F1135" s="5">
        <v>9.780021209822962</v>
      </c>
      <c r="G1135" s="5">
        <v>10.008685551064357</v>
      </c>
      <c r="H1135" s="5">
        <v>0.22866434124139445</v>
      </c>
      <c r="I1135" s="9" t="b">
        <v>1</v>
      </c>
      <c r="J1135" s="9" t="b">
        <v>0</v>
      </c>
    </row>
    <row r="1136" ht="15.75" customHeight="1">
      <c r="A1136" s="5">
        <v>12.0</v>
      </c>
      <c r="B1136" s="5">
        <v>20214.0</v>
      </c>
      <c r="C1136" s="5">
        <v>104.30247718383312</v>
      </c>
      <c r="D1136" s="5">
        <v>105.47132498352012</v>
      </c>
      <c r="E1136" s="5">
        <v>4.302477183833119</v>
      </c>
      <c r="F1136" s="5">
        <v>5.47132498352012</v>
      </c>
      <c r="G1136" s="5">
        <v>8.282479156530954</v>
      </c>
      <c r="H1136" s="5">
        <v>2.8111541730108343</v>
      </c>
      <c r="I1136" s="9" t="b">
        <v>1</v>
      </c>
      <c r="J1136" s="9" t="b">
        <v>0</v>
      </c>
    </row>
    <row r="1137" ht="15.75" customHeight="1">
      <c r="A1137" s="5">
        <v>13.0</v>
      </c>
      <c r="B1137" s="5">
        <v>20214.0</v>
      </c>
      <c r="C1137" s="5">
        <v>105.1780727668958</v>
      </c>
      <c r="D1137" s="5">
        <v>114.5152937513762</v>
      </c>
      <c r="E1137" s="5">
        <v>5.178072766895795</v>
      </c>
      <c r="F1137" s="5">
        <v>14.515293751376205</v>
      </c>
      <c r="G1137" s="5">
        <v>12.690582810619278</v>
      </c>
      <c r="H1137" s="5">
        <v>-1.824710940756928</v>
      </c>
      <c r="I1137" s="9" t="b">
        <v>1</v>
      </c>
      <c r="J1137" s="9" t="b">
        <v>0</v>
      </c>
    </row>
    <row r="1138" ht="15.75" customHeight="1">
      <c r="A1138" s="5">
        <v>14.0</v>
      </c>
      <c r="B1138" s="5">
        <v>20214.0</v>
      </c>
      <c r="C1138" s="5">
        <v>104.5538256232128</v>
      </c>
      <c r="D1138" s="5">
        <v>110.90349235511418</v>
      </c>
      <c r="E1138" s="5">
        <v>4.553825623212802</v>
      </c>
      <c r="F1138" s="5">
        <v>10.903492355114182</v>
      </c>
      <c r="G1138" s="5">
        <v>8.968889652641355</v>
      </c>
      <c r="H1138" s="5">
        <v>-1.9346027024728265</v>
      </c>
      <c r="I1138" s="9" t="b">
        <v>1</v>
      </c>
      <c r="J1138" s="9" t="b">
        <v>0</v>
      </c>
    </row>
    <row r="1139" ht="15.75" customHeight="1">
      <c r="A1139" s="5">
        <v>15.0</v>
      </c>
      <c r="B1139" s="5">
        <v>20214.0</v>
      </c>
      <c r="C1139" s="5">
        <v>103.51009250731636</v>
      </c>
      <c r="D1139" s="5">
        <v>112.90515746586313</v>
      </c>
      <c r="E1139" s="5">
        <v>3.510092507316358</v>
      </c>
      <c r="F1139" s="5">
        <v>12.905157465863127</v>
      </c>
      <c r="G1139" s="5">
        <v>14.181227024399835</v>
      </c>
      <c r="H1139" s="5">
        <v>1.2760695585367081</v>
      </c>
      <c r="I1139" s="9" t="b">
        <v>1</v>
      </c>
      <c r="J1139" s="9" t="b">
        <v>0</v>
      </c>
    </row>
    <row r="1140" ht="15.75" customHeight="1">
      <c r="A1140" s="5">
        <v>16.0</v>
      </c>
      <c r="B1140" s="5">
        <v>20214.0</v>
      </c>
      <c r="C1140" s="5">
        <v>104.09045014168171</v>
      </c>
      <c r="D1140" s="5">
        <v>114.1332645240684</v>
      </c>
      <c r="E1140" s="5">
        <v>4.090450141681714</v>
      </c>
      <c r="F1140" s="5">
        <v>14.133264524068395</v>
      </c>
      <c r="G1140" s="5">
        <v>14.970801783625799</v>
      </c>
      <c r="H1140" s="5">
        <v>0.8375372595574042</v>
      </c>
      <c r="I1140" s="9" t="b">
        <v>1</v>
      </c>
      <c r="J1140" s="9" t="b">
        <v>0</v>
      </c>
    </row>
    <row r="1141" ht="15.75" customHeight="1">
      <c r="A1141" s="5">
        <v>17.0</v>
      </c>
      <c r="B1141" s="5">
        <v>20214.0</v>
      </c>
      <c r="C1141" s="5">
        <v>100.24237527772166</v>
      </c>
      <c r="D1141" s="5">
        <v>112.87241300886969</v>
      </c>
      <c r="E1141" s="5">
        <v>0.24237527772166345</v>
      </c>
      <c r="F1141" s="5">
        <v>12.872413008869685</v>
      </c>
      <c r="G1141" s="5">
        <v>10.311443962931154</v>
      </c>
      <c r="H1141" s="5">
        <v>-2.5609690459385313</v>
      </c>
      <c r="I1141" s="9" t="b">
        <v>1</v>
      </c>
      <c r="J1141" s="9" t="b">
        <v>0</v>
      </c>
    </row>
    <row r="1142" ht="15.75" customHeight="1">
      <c r="A1142" s="5">
        <v>1.0</v>
      </c>
      <c r="B1142" s="5">
        <v>20224.0</v>
      </c>
      <c r="C1142" s="5">
        <v>96.46723646723648</v>
      </c>
      <c r="D1142" s="5">
        <v>107.74596252741416</v>
      </c>
      <c r="E1142" s="5">
        <v>-3.532763532763525</v>
      </c>
      <c r="F1142" s="5">
        <v>7.745962527414164</v>
      </c>
      <c r="G1142" s="5">
        <v>11.394607415770874</v>
      </c>
      <c r="H1142" s="5">
        <v>3.64864488835671</v>
      </c>
      <c r="I1142" s="9" t="b">
        <v>1</v>
      </c>
      <c r="J1142" s="9" t="b">
        <v>0</v>
      </c>
    </row>
    <row r="1143" ht="15.75" customHeight="1">
      <c r="A1143" s="5">
        <v>2.0</v>
      </c>
      <c r="B1143" s="5">
        <v>20224.0</v>
      </c>
      <c r="C1143" s="5">
        <v>99.31804091754492</v>
      </c>
      <c r="D1143" s="5">
        <v>102.62652146060218</v>
      </c>
      <c r="E1143" s="5">
        <v>-0.6819590824550801</v>
      </c>
      <c r="F1143" s="5">
        <v>2.626521460602177</v>
      </c>
      <c r="G1143" s="5">
        <v>9.293619791666675</v>
      </c>
      <c r="H1143" s="5">
        <v>6.667098331064498</v>
      </c>
      <c r="I1143" s="9" t="b">
        <v>1</v>
      </c>
      <c r="J1143" s="9" t="b">
        <v>0</v>
      </c>
    </row>
    <row r="1144" ht="15.75" customHeight="1">
      <c r="A1144" s="5">
        <v>5.0</v>
      </c>
      <c r="B1144" s="5">
        <v>20224.0</v>
      </c>
      <c r="C1144" s="5">
        <v>99.69247844215354</v>
      </c>
      <c r="D1144" s="5">
        <v>108.86102748261202</v>
      </c>
      <c r="E1144" s="5">
        <v>-0.3075215578464565</v>
      </c>
      <c r="F1144" s="5">
        <v>8.861027482612016</v>
      </c>
      <c r="G1144" s="5">
        <v>5.2171205605932025</v>
      </c>
      <c r="H1144" s="5">
        <v>-3.6439069220188136</v>
      </c>
      <c r="I1144" s="9" t="b">
        <v>1</v>
      </c>
      <c r="J1144" s="9" t="b">
        <v>0</v>
      </c>
    </row>
    <row r="1145" ht="15.75" customHeight="1">
      <c r="A1145" s="5">
        <v>6.0</v>
      </c>
      <c r="B1145" s="5">
        <v>20224.0</v>
      </c>
      <c r="C1145" s="5">
        <v>99.5349294223252</v>
      </c>
      <c r="D1145" s="5">
        <v>113.95321568230048</v>
      </c>
      <c r="E1145" s="5">
        <v>-0.4650705776747941</v>
      </c>
      <c r="F1145" s="5">
        <v>13.953215682300481</v>
      </c>
      <c r="G1145" s="5">
        <v>11.21980409823944</v>
      </c>
      <c r="H1145" s="5">
        <v>-2.7334115840610416</v>
      </c>
      <c r="I1145" s="9" t="b">
        <v>1</v>
      </c>
      <c r="J1145" s="9" t="b">
        <v>0</v>
      </c>
    </row>
    <row r="1146" ht="15.75" customHeight="1">
      <c r="A1146" s="5">
        <v>7.0</v>
      </c>
      <c r="B1146" s="5">
        <v>20224.0</v>
      </c>
      <c r="C1146" s="5">
        <v>101.03767986325114</v>
      </c>
      <c r="D1146" s="5">
        <v>112.7871877307812</v>
      </c>
      <c r="E1146" s="5">
        <v>1.0376798632511424</v>
      </c>
      <c r="F1146" s="5">
        <v>12.787187730781199</v>
      </c>
      <c r="G1146" s="5">
        <v>10.937137905244887</v>
      </c>
      <c r="H1146" s="5">
        <v>-1.8500498255363116</v>
      </c>
      <c r="I1146" s="9" t="b">
        <v>1</v>
      </c>
      <c r="J1146" s="9" t="b">
        <v>0</v>
      </c>
    </row>
    <row r="1147" ht="15.75" customHeight="1">
      <c r="A1147" s="5">
        <v>8.0</v>
      </c>
      <c r="B1147" s="5">
        <v>20224.0</v>
      </c>
      <c r="C1147" s="5">
        <v>94.44115907746897</v>
      </c>
      <c r="D1147" s="5">
        <v>105.6915949702184</v>
      </c>
      <c r="E1147" s="5">
        <v>-5.558840922531033</v>
      </c>
      <c r="F1147" s="5">
        <v>5.691594970218404</v>
      </c>
      <c r="G1147" s="5">
        <v>4.665771812080544</v>
      </c>
      <c r="H1147" s="5">
        <v>-1.02582315813786</v>
      </c>
      <c r="I1147" s="9" t="b">
        <v>1</v>
      </c>
      <c r="J1147" s="9" t="b">
        <v>0</v>
      </c>
    </row>
    <row r="1148" ht="15.75" customHeight="1">
      <c r="A1148" s="5">
        <v>9.0</v>
      </c>
      <c r="B1148" s="5">
        <v>20224.0</v>
      </c>
      <c r="C1148" s="5">
        <v>99.06542056074764</v>
      </c>
      <c r="D1148" s="5">
        <v>108.676804513865</v>
      </c>
      <c r="E1148" s="5">
        <v>-0.9345794392523601</v>
      </c>
      <c r="F1148" s="5">
        <v>8.676804513864994</v>
      </c>
      <c r="G1148" s="5">
        <v>10.794002294495876</v>
      </c>
      <c r="H1148" s="5">
        <v>2.1171977806308817</v>
      </c>
      <c r="I1148" s="9" t="b">
        <v>1</v>
      </c>
      <c r="J1148" s="9" t="b">
        <v>0</v>
      </c>
    </row>
    <row r="1149" ht="15.75" customHeight="1">
      <c r="A1149" s="5">
        <v>10.0</v>
      </c>
      <c r="B1149" s="5">
        <v>20224.0</v>
      </c>
      <c r="C1149" s="5">
        <v>99.9332015745149</v>
      </c>
      <c r="D1149" s="5">
        <v>111.55260838988784</v>
      </c>
      <c r="E1149" s="5">
        <v>-0.06679842548510351</v>
      </c>
      <c r="F1149" s="5">
        <v>11.552608389887837</v>
      </c>
      <c r="G1149" s="5">
        <v>10.051107969658869</v>
      </c>
      <c r="H1149" s="5">
        <v>-1.5015004202289681</v>
      </c>
      <c r="I1149" s="9" t="b">
        <v>1</v>
      </c>
      <c r="J1149" s="9" t="b">
        <v>0</v>
      </c>
    </row>
    <row r="1150" ht="15.75" customHeight="1">
      <c r="A1150" s="5">
        <v>11.0</v>
      </c>
      <c r="B1150" s="5">
        <v>20224.0</v>
      </c>
      <c r="C1150" s="5">
        <v>99.68851908821688</v>
      </c>
      <c r="D1150" s="5">
        <v>109.09134692492162</v>
      </c>
      <c r="E1150" s="5">
        <v>-0.31148091178312143</v>
      </c>
      <c r="F1150" s="5">
        <v>9.091346924921623</v>
      </c>
      <c r="G1150" s="5">
        <v>10.726068578515747</v>
      </c>
      <c r="H1150" s="5">
        <v>1.6347216535941236</v>
      </c>
      <c r="I1150" s="9" t="b">
        <v>1</v>
      </c>
      <c r="J1150" s="9" t="b">
        <v>0</v>
      </c>
    </row>
    <row r="1151" ht="15.75" customHeight="1">
      <c r="A1151" s="5">
        <v>12.0</v>
      </c>
      <c r="B1151" s="5">
        <v>20224.0</v>
      </c>
      <c r="C1151" s="5">
        <v>99.1277258566978</v>
      </c>
      <c r="D1151" s="5">
        <v>99.4375</v>
      </c>
      <c r="E1151" s="5">
        <v>-0.8722741433022065</v>
      </c>
      <c r="F1151" s="5">
        <v>-0.5625</v>
      </c>
      <c r="G1151" s="5">
        <v>12.149361998253895</v>
      </c>
      <c r="H1151" s="5">
        <v>12.711861998253895</v>
      </c>
      <c r="I1151" s="9" t="b">
        <v>1</v>
      </c>
      <c r="J1151" s="9" t="b">
        <v>1</v>
      </c>
    </row>
    <row r="1152" ht="15.75" customHeight="1">
      <c r="A1152" s="5">
        <v>13.0</v>
      </c>
      <c r="B1152" s="5">
        <v>20224.0</v>
      </c>
      <c r="C1152" s="5">
        <v>104.81865471722728</v>
      </c>
      <c r="D1152" s="5">
        <v>113.56675457276695</v>
      </c>
      <c r="E1152" s="5">
        <v>4.818654717227275</v>
      </c>
      <c r="F1152" s="5">
        <v>13.566754572766953</v>
      </c>
      <c r="G1152" s="5">
        <v>5.531595880552809</v>
      </c>
      <c r="H1152" s="5">
        <v>-8.035158692214145</v>
      </c>
      <c r="I1152" s="9" t="b">
        <v>1</v>
      </c>
      <c r="J1152" s="9" t="b">
        <v>0</v>
      </c>
    </row>
    <row r="1153" ht="15.75" customHeight="1">
      <c r="A1153" s="5">
        <v>14.0</v>
      </c>
      <c r="B1153" s="5">
        <v>20224.0</v>
      </c>
      <c r="C1153" s="5">
        <v>101.6206960425483</v>
      </c>
      <c r="D1153" s="5">
        <v>105.2215861468682</v>
      </c>
      <c r="E1153" s="5">
        <v>1.6206960425483032</v>
      </c>
      <c r="F1153" s="5">
        <v>5.221586146868205</v>
      </c>
      <c r="G1153" s="5">
        <v>10.309707608972719</v>
      </c>
      <c r="H1153" s="5">
        <v>5.088121462104514</v>
      </c>
      <c r="I1153" s="9" t="b">
        <v>1</v>
      </c>
      <c r="J1153" s="9" t="b">
        <v>0</v>
      </c>
    </row>
    <row r="1154" ht="15.75" customHeight="1">
      <c r="A1154" s="5">
        <v>15.0</v>
      </c>
      <c r="B1154" s="5">
        <v>20224.0</v>
      </c>
      <c r="C1154" s="5">
        <v>106.10637715085882</v>
      </c>
      <c r="D1154" s="5">
        <v>116.0946771005586</v>
      </c>
      <c r="E1154" s="5">
        <v>6.106377150858819</v>
      </c>
      <c r="F1154" s="5">
        <v>16.0946771005586</v>
      </c>
      <c r="G1154" s="5">
        <v>12.911792558551127</v>
      </c>
      <c r="H1154" s="5">
        <v>-3.1828845420074714</v>
      </c>
      <c r="I1154" s="9" t="b">
        <v>1</v>
      </c>
      <c r="J1154" s="9" t="b">
        <v>0</v>
      </c>
    </row>
    <row r="1155" ht="15.75" customHeight="1">
      <c r="A1155" s="5">
        <v>16.0</v>
      </c>
      <c r="B1155" s="5">
        <v>20224.0</v>
      </c>
      <c r="C1155" s="5">
        <v>97.27459693072876</v>
      </c>
      <c r="D1155" s="5">
        <v>110.18164736069606</v>
      </c>
      <c r="E1155" s="5">
        <v>-2.7254030692712377</v>
      </c>
      <c r="F1155" s="5">
        <v>10.181647360696061</v>
      </c>
      <c r="G1155" s="5">
        <v>13.709960566979085</v>
      </c>
      <c r="H1155" s="5">
        <v>3.5283132062830234</v>
      </c>
      <c r="I1155" s="9" t="b">
        <v>1</v>
      </c>
      <c r="J1155" s="9" t="b">
        <v>0</v>
      </c>
    </row>
    <row r="1156" ht="15.75" customHeight="1">
      <c r="A1156" s="5">
        <v>17.0</v>
      </c>
      <c r="B1156" s="5">
        <v>20224.0</v>
      </c>
      <c r="C1156" s="5">
        <v>94.18290509858022</v>
      </c>
      <c r="D1156" s="5">
        <v>110.04768621129696</v>
      </c>
      <c r="E1156" s="5">
        <v>-5.817094901419779</v>
      </c>
      <c r="F1156" s="5">
        <v>10.047686211296963</v>
      </c>
      <c r="G1156" s="5">
        <v>5.977305326468407</v>
      </c>
      <c r="H1156" s="5">
        <v>-4.070380884828555</v>
      </c>
      <c r="I1156" s="9" t="b">
        <v>1</v>
      </c>
      <c r="J1156" s="9" t="b">
        <v>0</v>
      </c>
    </row>
    <row r="1157" ht="15.75" customHeight="1">
      <c r="A1157" s="5">
        <v>1.0</v>
      </c>
      <c r="B1157" s="5">
        <v>20234.0</v>
      </c>
      <c r="C1157" s="5">
        <v>101.88781014023732</v>
      </c>
      <c r="D1157" s="5">
        <v>111.57708210277612</v>
      </c>
      <c r="E1157" s="5">
        <v>1.8878101402373204</v>
      </c>
      <c r="F1157" s="5">
        <v>11.577082102776117</v>
      </c>
      <c r="G1157" s="5">
        <v>7.403445580388079</v>
      </c>
      <c r="H1157" s="5">
        <v>-4.173636522388038</v>
      </c>
      <c r="I1157" s="9" t="b">
        <v>1</v>
      </c>
      <c r="J1157" s="9" t="b">
        <v>0</v>
      </c>
    </row>
    <row r="1158" ht="15.75" customHeight="1">
      <c r="A1158" s="5">
        <v>2.0</v>
      </c>
      <c r="B1158" s="5">
        <v>20234.0</v>
      </c>
      <c r="C1158" s="5">
        <v>109.71962616822432</v>
      </c>
      <c r="D1158" s="5">
        <v>109.92509363295882</v>
      </c>
      <c r="E1158" s="5">
        <v>9.719626168224323</v>
      </c>
      <c r="F1158" s="5">
        <v>9.92509363295882</v>
      </c>
      <c r="G1158" s="5">
        <v>10.558451228592713</v>
      </c>
      <c r="H1158" s="5">
        <v>0.6333575956338926</v>
      </c>
      <c r="I1158" s="9" t="b">
        <v>1</v>
      </c>
      <c r="J1158" s="9" t="b">
        <v>0</v>
      </c>
    </row>
    <row r="1159" ht="15.75" customHeight="1">
      <c r="A1159" s="5">
        <v>5.0</v>
      </c>
      <c r="B1159" s="5">
        <v>20234.0</v>
      </c>
      <c r="C1159" s="5">
        <v>107.35113961952658</v>
      </c>
      <c r="D1159" s="5">
        <v>113.4156480059046</v>
      </c>
      <c r="E1159" s="5">
        <v>7.3511396195265775</v>
      </c>
      <c r="F1159" s="5">
        <v>13.4156480059046</v>
      </c>
      <c r="G1159" s="5">
        <v>14.818597805955026</v>
      </c>
      <c r="H1159" s="5">
        <v>1.4029498000504255</v>
      </c>
      <c r="I1159" s="9" t="b">
        <v>1</v>
      </c>
      <c r="J1159" s="9" t="b">
        <v>0</v>
      </c>
    </row>
    <row r="1160" ht="15.75" customHeight="1">
      <c r="A1160" s="5">
        <v>6.0</v>
      </c>
      <c r="B1160" s="5">
        <v>20234.0</v>
      </c>
      <c r="C1160" s="5">
        <v>106.41047359720956</v>
      </c>
      <c r="D1160" s="5">
        <v>108.33153959977103</v>
      </c>
      <c r="E1160" s="5">
        <v>6.41047359720956</v>
      </c>
      <c r="F1160" s="5">
        <v>8.331539599771034</v>
      </c>
      <c r="G1160" s="5">
        <v>11.546152701854284</v>
      </c>
      <c r="H1160" s="5">
        <v>3.2146131020832502</v>
      </c>
      <c r="I1160" s="9" t="b">
        <v>1</v>
      </c>
      <c r="J1160" s="9" t="b">
        <v>0</v>
      </c>
    </row>
    <row r="1161" ht="15.75" customHeight="1">
      <c r="A1161" s="5">
        <v>7.0</v>
      </c>
      <c r="B1161" s="5">
        <v>20234.0</v>
      </c>
      <c r="C1161" s="5">
        <v>104.37450657444953</v>
      </c>
      <c r="D1161" s="5">
        <v>112.6678003920654</v>
      </c>
      <c r="E1161" s="5">
        <v>4.374506574449526</v>
      </c>
      <c r="F1161" s="5">
        <v>12.667800392065402</v>
      </c>
      <c r="G1161" s="5">
        <v>13.11397877600633</v>
      </c>
      <c r="H1161" s="5">
        <v>0.44617838394092857</v>
      </c>
      <c r="I1161" s="9" t="b">
        <v>1</v>
      </c>
      <c r="J1161" s="9" t="b">
        <v>0</v>
      </c>
    </row>
    <row r="1162" ht="15.75" customHeight="1">
      <c r="A1162" s="5">
        <v>8.0</v>
      </c>
      <c r="B1162" s="5">
        <v>20234.0</v>
      </c>
      <c r="C1162" s="5">
        <v>100.92824601366743</v>
      </c>
      <c r="D1162" s="5">
        <v>110.97683155917346</v>
      </c>
      <c r="E1162" s="5">
        <v>0.9282460136674331</v>
      </c>
      <c r="F1162" s="5">
        <v>10.976831559173462</v>
      </c>
      <c r="G1162" s="5">
        <v>9.371216784651693</v>
      </c>
      <c r="H1162" s="5">
        <v>-1.6056147745217686</v>
      </c>
      <c r="I1162" s="9" t="b">
        <v>1</v>
      </c>
      <c r="J1162" s="9" t="b">
        <v>0</v>
      </c>
    </row>
    <row r="1163" ht="15.75" customHeight="1">
      <c r="A1163" s="5">
        <v>9.0</v>
      </c>
      <c r="B1163" s="5">
        <v>20234.0</v>
      </c>
      <c r="C1163" s="5">
        <v>101.0830540928674</v>
      </c>
      <c r="D1163" s="5">
        <v>106.95833860959858</v>
      </c>
      <c r="E1163" s="5">
        <v>1.0830540928673997</v>
      </c>
      <c r="F1163" s="5">
        <v>6.958338609598584</v>
      </c>
      <c r="G1163" s="5">
        <v>5.648541639900295</v>
      </c>
      <c r="H1163" s="5">
        <v>-1.3097969696982892</v>
      </c>
      <c r="I1163" s="9" t="b">
        <v>1</v>
      </c>
      <c r="J1163" s="9" t="b">
        <v>0</v>
      </c>
    </row>
    <row r="1164" ht="15.75" customHeight="1">
      <c r="A1164" s="5">
        <v>10.0</v>
      </c>
      <c r="B1164" s="5">
        <v>20234.0</v>
      </c>
      <c r="C1164" s="5">
        <v>103.22660621335751</v>
      </c>
      <c r="D1164" s="5">
        <v>112.67974235281946</v>
      </c>
      <c r="E1164" s="5">
        <v>3.2266062133575133</v>
      </c>
      <c r="F1164" s="5">
        <v>12.67974235281946</v>
      </c>
      <c r="G1164" s="5">
        <v>11.762632371490177</v>
      </c>
      <c r="H1164" s="5">
        <v>-0.9171099813292827</v>
      </c>
      <c r="I1164" s="9" t="b">
        <v>1</v>
      </c>
      <c r="J1164" s="9" t="b">
        <v>0</v>
      </c>
    </row>
    <row r="1165" ht="15.75" customHeight="1">
      <c r="A1165" s="5">
        <v>11.0</v>
      </c>
      <c r="B1165" s="5">
        <v>20234.0</v>
      </c>
      <c r="C1165" s="5">
        <v>105.2945723523517</v>
      </c>
      <c r="D1165" s="5">
        <v>112.45600485241498</v>
      </c>
      <c r="E1165" s="5">
        <v>5.294572352351693</v>
      </c>
      <c r="F1165" s="5">
        <v>12.456004852414978</v>
      </c>
      <c r="G1165" s="5">
        <v>10.925666010096657</v>
      </c>
      <c r="H1165" s="5">
        <v>-1.5303388423183204</v>
      </c>
      <c r="I1165" s="9" t="b">
        <v>1</v>
      </c>
      <c r="J1165" s="9" t="b">
        <v>0</v>
      </c>
    </row>
    <row r="1166" ht="15.75" customHeight="1">
      <c r="A1166" s="5">
        <v>12.0</v>
      </c>
      <c r="B1166" s="5">
        <v>20234.0</v>
      </c>
      <c r="C1166" s="5">
        <v>106.30681818181816</v>
      </c>
      <c r="D1166" s="5">
        <v>117.5989943431804</v>
      </c>
      <c r="E1166" s="5">
        <v>6.306818181818159</v>
      </c>
      <c r="F1166" s="5">
        <v>17.598994343180394</v>
      </c>
      <c r="G1166" s="5">
        <v>10.502559850916482</v>
      </c>
      <c r="H1166" s="5">
        <v>-7.096434492263912</v>
      </c>
      <c r="I1166" s="9" t="b">
        <v>1</v>
      </c>
      <c r="J1166" s="9" t="b">
        <v>0</v>
      </c>
    </row>
    <row r="1167" ht="15.75" customHeight="1">
      <c r="A1167" s="5">
        <v>13.0</v>
      </c>
      <c r="B1167" s="5">
        <v>20234.0</v>
      </c>
      <c r="C1167" s="5">
        <v>103.73973032714092</v>
      </c>
      <c r="D1167" s="5">
        <v>106.1877630844567</v>
      </c>
      <c r="E1167" s="5">
        <v>3.7397303271409186</v>
      </c>
      <c r="F1167" s="5">
        <v>6.187763084456705</v>
      </c>
      <c r="G1167" s="5">
        <v>13.749239912388944</v>
      </c>
      <c r="H1167" s="5">
        <v>7.561476827932239</v>
      </c>
      <c r="I1167" s="9" t="b">
        <v>1</v>
      </c>
      <c r="J1167" s="9" t="b">
        <v>0</v>
      </c>
    </row>
    <row r="1168" ht="15.75" customHeight="1">
      <c r="A1168" s="5">
        <v>14.0</v>
      </c>
      <c r="B1168" s="5">
        <v>20234.0</v>
      </c>
      <c r="C1168" s="5">
        <v>102.92934500033614</v>
      </c>
      <c r="D1168" s="5">
        <v>110.58738831155846</v>
      </c>
      <c r="E1168" s="5">
        <v>2.9293450003361414</v>
      </c>
      <c r="F1168" s="5">
        <v>10.587388311558456</v>
      </c>
      <c r="G1168" s="5">
        <v>10.399017875441107</v>
      </c>
      <c r="H1168" s="5">
        <v>-0.18837043611734927</v>
      </c>
      <c r="I1168" s="9" t="b">
        <v>1</v>
      </c>
      <c r="J1168" s="9" t="b">
        <v>0</v>
      </c>
    </row>
    <row r="1169" ht="15.75" customHeight="1">
      <c r="A1169" s="5">
        <v>15.0</v>
      </c>
      <c r="B1169" s="5">
        <v>20234.0</v>
      </c>
      <c r="C1169" s="5">
        <v>107.78370293479516</v>
      </c>
      <c r="D1169" s="5">
        <v>111.1216612993344</v>
      </c>
      <c r="E1169" s="5">
        <v>7.7837029347951585</v>
      </c>
      <c r="F1169" s="5">
        <v>11.121661299334406</v>
      </c>
      <c r="G1169" s="5">
        <v>9.436325673314382</v>
      </c>
      <c r="H1169" s="5">
        <v>-1.6853356260200236</v>
      </c>
      <c r="I1169" s="9" t="b">
        <v>1</v>
      </c>
      <c r="J1169" s="9" t="b">
        <v>0</v>
      </c>
    </row>
    <row r="1170" ht="15.75" customHeight="1">
      <c r="A1170" s="5">
        <v>16.0</v>
      </c>
      <c r="B1170" s="5">
        <v>20234.0</v>
      </c>
      <c r="C1170" s="5">
        <v>103.55547714720689</v>
      </c>
      <c r="D1170" s="5">
        <v>114.60017195843002</v>
      </c>
      <c r="E1170" s="5">
        <v>3.5554771472068865</v>
      </c>
      <c r="F1170" s="5">
        <v>14.600171958430025</v>
      </c>
      <c r="G1170" s="5">
        <v>13.26169824139285</v>
      </c>
      <c r="H1170" s="5">
        <v>-1.338473717037175</v>
      </c>
      <c r="I1170" s="9" t="b">
        <v>1</v>
      </c>
      <c r="J1170" s="9" t="b">
        <v>0</v>
      </c>
    </row>
    <row r="1171" ht="15.75" customHeight="1">
      <c r="A1171" s="5">
        <v>17.0</v>
      </c>
      <c r="B1171" s="5">
        <v>20234.0</v>
      </c>
      <c r="C1171" s="5">
        <v>101.84705679268082</v>
      </c>
      <c r="D1171" s="5">
        <v>108.02563320109856</v>
      </c>
      <c r="E1171" s="5">
        <v>1.8470567926808172</v>
      </c>
      <c r="F1171" s="5">
        <v>8.025633201098557</v>
      </c>
      <c r="G1171" s="5">
        <v>8.076526318363797</v>
      </c>
      <c r="H1171" s="5">
        <v>0.050893117265239596</v>
      </c>
      <c r="I1171" s="9" t="b">
        <v>1</v>
      </c>
      <c r="J1171" s="9" t="b">
        <v>0</v>
      </c>
    </row>
    <row r="1172" ht="15.75" customHeight="1">
      <c r="A1172" s="5">
        <v>1.0</v>
      </c>
      <c r="B1172" s="5">
        <v>20244.0</v>
      </c>
      <c r="C1172" s="5">
        <v>100.82872928176796</v>
      </c>
      <c r="D1172" s="5">
        <v>115.93435680254105</v>
      </c>
      <c r="E1172" s="5">
        <v>0.8287292817679628</v>
      </c>
      <c r="F1172" s="5">
        <v>15.934356802541046</v>
      </c>
      <c r="G1172" s="5">
        <v>15.956712022215914</v>
      </c>
      <c r="H1172" s="5">
        <v>0.022355219674867755</v>
      </c>
      <c r="I1172" s="9" t="b">
        <v>1</v>
      </c>
      <c r="J1172" s="9" t="b">
        <v>0</v>
      </c>
    </row>
    <row r="1173" ht="15.75" customHeight="1">
      <c r="A1173" s="5">
        <v>2.0</v>
      </c>
      <c r="B1173" s="5">
        <v>20244.0</v>
      </c>
      <c r="C1173" s="5">
        <v>101.45615018034252</v>
      </c>
      <c r="D1173" s="5">
        <v>104.48990644541745</v>
      </c>
      <c r="E1173" s="5">
        <v>1.4561501803425188</v>
      </c>
      <c r="F1173" s="5">
        <v>4.489906445417446</v>
      </c>
      <c r="G1173" s="5">
        <v>6.1691810344827624</v>
      </c>
      <c r="H1173" s="5">
        <v>1.679274589065316</v>
      </c>
      <c r="I1173" s="9" t="b">
        <v>1</v>
      </c>
      <c r="J1173" s="9" t="b">
        <v>0</v>
      </c>
    </row>
    <row r="1174" ht="15.75" customHeight="1">
      <c r="A1174" s="5">
        <v>5.0</v>
      </c>
      <c r="B1174" s="5">
        <v>20244.0</v>
      </c>
      <c r="C1174" s="5">
        <v>103.497459628951</v>
      </c>
      <c r="D1174" s="5">
        <v>114.02713877091176</v>
      </c>
      <c r="E1174" s="5">
        <v>3.497459628951006</v>
      </c>
      <c r="F1174" s="5">
        <v>14.027138770911762</v>
      </c>
      <c r="G1174" s="5">
        <v>12.355520173148825</v>
      </c>
      <c r="H1174" s="5">
        <v>-1.6716185977629365</v>
      </c>
      <c r="I1174" s="9" t="b">
        <v>1</v>
      </c>
      <c r="J1174" s="9" t="b">
        <v>0</v>
      </c>
    </row>
    <row r="1175" ht="15.75" customHeight="1">
      <c r="A1175" s="5">
        <v>6.0</v>
      </c>
      <c r="B1175" s="5">
        <v>20244.0</v>
      </c>
      <c r="C1175" s="5">
        <v>101.36329706374066</v>
      </c>
      <c r="D1175" s="5">
        <v>116.36178453376678</v>
      </c>
      <c r="E1175" s="5">
        <v>1.36329706374066</v>
      </c>
      <c r="F1175" s="5">
        <v>16.36178453376678</v>
      </c>
      <c r="G1175" s="5">
        <v>16.39288196179114</v>
      </c>
      <c r="H1175" s="5">
        <v>0.031097428024359886</v>
      </c>
      <c r="I1175" s="9" t="b">
        <v>1</v>
      </c>
      <c r="J1175" s="9" t="b">
        <v>0</v>
      </c>
    </row>
    <row r="1176" ht="15.75" customHeight="1">
      <c r="A1176" s="5">
        <v>7.0</v>
      </c>
      <c r="B1176" s="5">
        <v>20244.0</v>
      </c>
      <c r="C1176" s="5">
        <v>100.73981674985986</v>
      </c>
      <c r="D1176" s="5">
        <v>120.98924041912358</v>
      </c>
      <c r="E1176" s="5">
        <v>0.7398167498598553</v>
      </c>
      <c r="F1176" s="5">
        <v>20.989240419123576</v>
      </c>
      <c r="G1176" s="5">
        <v>20.74906268339649</v>
      </c>
      <c r="H1176" s="5">
        <v>-0.24017773572708379</v>
      </c>
      <c r="I1176" s="9" t="b">
        <v>1</v>
      </c>
      <c r="J1176" s="9" t="b">
        <v>0</v>
      </c>
    </row>
    <row r="1177" ht="15.75" customHeight="1">
      <c r="A1177" s="5">
        <v>8.0</v>
      </c>
      <c r="B1177" s="5">
        <v>20244.0</v>
      </c>
      <c r="C1177" s="5">
        <v>99.5</v>
      </c>
      <c r="D1177" s="5">
        <v>112.28347345257576</v>
      </c>
      <c r="E1177" s="5">
        <v>-0.5</v>
      </c>
      <c r="F1177" s="5">
        <v>12.283473452575763</v>
      </c>
      <c r="G1177" s="5">
        <v>14.553611316635262</v>
      </c>
      <c r="H1177" s="5">
        <v>2.2701378640594996</v>
      </c>
      <c r="I1177" s="9" t="b">
        <v>1</v>
      </c>
      <c r="J1177" s="9" t="b">
        <v>0</v>
      </c>
    </row>
    <row r="1178" ht="15.75" customHeight="1">
      <c r="A1178" s="5">
        <v>9.0</v>
      </c>
      <c r="B1178" s="5">
        <v>20244.0</v>
      </c>
      <c r="C1178" s="5">
        <v>99.19886154008329</v>
      </c>
      <c r="D1178" s="5">
        <v>111.41301130645827</v>
      </c>
      <c r="E1178" s="5">
        <v>-0.8011384599167144</v>
      </c>
      <c r="F1178" s="5">
        <v>11.413011306458273</v>
      </c>
      <c r="G1178" s="5">
        <v>13.11381950310393</v>
      </c>
      <c r="H1178" s="5">
        <v>1.7008081966456565</v>
      </c>
      <c r="I1178" s="9" t="b">
        <v>1</v>
      </c>
      <c r="J1178" s="9" t="b">
        <v>0</v>
      </c>
    </row>
    <row r="1179" ht="15.75" customHeight="1">
      <c r="A1179" s="5">
        <v>10.0</v>
      </c>
      <c r="B1179" s="5">
        <v>20244.0</v>
      </c>
      <c r="C1179" s="5">
        <v>100.21114676639212</v>
      </c>
      <c r="D1179" s="5">
        <v>112.7879360860561</v>
      </c>
      <c r="E1179" s="5">
        <v>0.21114676639211893</v>
      </c>
      <c r="F1179" s="5">
        <v>12.787936086056106</v>
      </c>
      <c r="G1179" s="5">
        <v>18.22792965980735</v>
      </c>
      <c r="H1179" s="5">
        <v>5.439993573751245</v>
      </c>
      <c r="I1179" s="9" t="b">
        <v>1</v>
      </c>
      <c r="J1179" s="9" t="b">
        <v>0</v>
      </c>
    </row>
    <row r="1180" ht="15.75" customHeight="1">
      <c r="A1180" s="5">
        <v>11.0</v>
      </c>
      <c r="B1180" s="5">
        <v>20244.0</v>
      </c>
      <c r="C1180" s="5">
        <v>101.01605698910905</v>
      </c>
      <c r="D1180" s="5">
        <v>111.58586916606322</v>
      </c>
      <c r="E1180" s="5">
        <v>1.016056989109046</v>
      </c>
      <c r="F1180" s="5">
        <v>11.585869166063219</v>
      </c>
      <c r="G1180" s="5">
        <v>12.807598721484137</v>
      </c>
      <c r="H1180" s="5">
        <v>1.221729555420918</v>
      </c>
      <c r="I1180" s="9" t="b">
        <v>1</v>
      </c>
      <c r="J1180" s="9" t="b">
        <v>0</v>
      </c>
    </row>
    <row r="1181" ht="15.75" customHeight="1">
      <c r="A1181" s="5">
        <v>12.0</v>
      </c>
      <c r="B1181" s="5">
        <v>20244.0</v>
      </c>
      <c r="C1181" s="5">
        <v>98.4771573604061</v>
      </c>
      <c r="D1181" s="5">
        <v>114.05665419561733</v>
      </c>
      <c r="E1181" s="5">
        <v>-1.5228426395939039</v>
      </c>
      <c r="F1181" s="5">
        <v>14.056654195617327</v>
      </c>
      <c r="G1181" s="5">
        <v>17.941851796098018</v>
      </c>
      <c r="H1181" s="5">
        <v>3.8851976004806907</v>
      </c>
      <c r="I1181" s="9" t="b">
        <v>1</v>
      </c>
      <c r="J1181" s="9" t="b">
        <v>0</v>
      </c>
    </row>
    <row r="1182" ht="15.75" customHeight="1">
      <c r="A1182" s="5">
        <v>13.0</v>
      </c>
      <c r="B1182" s="5">
        <v>20244.0</v>
      </c>
      <c r="C1182" s="5">
        <v>94.52930681611788</v>
      </c>
      <c r="D1182" s="5">
        <v>107.20990609442836</v>
      </c>
      <c r="E1182" s="5">
        <v>-5.470693183882119</v>
      </c>
      <c r="F1182" s="5">
        <v>7.209906094428362</v>
      </c>
      <c r="G1182" s="5">
        <v>11.308304881823794</v>
      </c>
      <c r="H1182" s="5">
        <v>4.098398787395432</v>
      </c>
      <c r="I1182" s="9" t="b">
        <v>1</v>
      </c>
      <c r="J1182" s="9" t="b">
        <v>0</v>
      </c>
    </row>
    <row r="1183" ht="15.75" customHeight="1">
      <c r="A1183" s="5">
        <v>14.0</v>
      </c>
      <c r="B1183" s="5">
        <v>20244.0</v>
      </c>
      <c r="C1183" s="5">
        <v>99.5068739792292</v>
      </c>
      <c r="D1183" s="5">
        <v>109.98325704604451</v>
      </c>
      <c r="E1183" s="5">
        <v>-0.49312602077080214</v>
      </c>
      <c r="F1183" s="5">
        <v>9.983257046044514</v>
      </c>
      <c r="G1183" s="5">
        <v>19.95491667773226</v>
      </c>
      <c r="H1183" s="5">
        <v>9.971659631687746</v>
      </c>
      <c r="I1183" s="9" t="b">
        <v>1</v>
      </c>
      <c r="J1183" s="9" t="b">
        <v>0</v>
      </c>
    </row>
    <row r="1184" ht="15.75" customHeight="1">
      <c r="A1184" s="5">
        <v>15.0</v>
      </c>
      <c r="B1184" s="5">
        <v>20244.0</v>
      </c>
      <c r="C1184" s="5">
        <v>101.44447202243838</v>
      </c>
      <c r="D1184" s="5">
        <v>111.55226872945627</v>
      </c>
      <c r="E1184" s="5">
        <v>1.4444720224383758</v>
      </c>
      <c r="F1184" s="5">
        <v>11.552268729456273</v>
      </c>
      <c r="G1184" s="5">
        <v>13.410135856222173</v>
      </c>
      <c r="H1184" s="5">
        <v>1.8578671267658997</v>
      </c>
      <c r="I1184" s="9" t="b">
        <v>1</v>
      </c>
      <c r="J1184" s="9" t="b">
        <v>0</v>
      </c>
    </row>
    <row r="1185" ht="15.75" customHeight="1">
      <c r="A1185" s="5">
        <v>16.0</v>
      </c>
      <c r="B1185" s="5">
        <v>20244.0</v>
      </c>
      <c r="C1185" s="5">
        <v>97.1730967206398</v>
      </c>
      <c r="D1185" s="5">
        <v>109.11570296503832</v>
      </c>
      <c r="E1185" s="5">
        <v>-2.826903279360195</v>
      </c>
      <c r="F1185" s="5">
        <v>9.115702965038324</v>
      </c>
      <c r="G1185" s="5">
        <v>15.725136397890394</v>
      </c>
      <c r="H1185" s="5">
        <v>6.60943343285207</v>
      </c>
      <c r="I1185" s="9" t="b">
        <v>1</v>
      </c>
      <c r="J1185" s="9" t="b">
        <v>0</v>
      </c>
    </row>
    <row r="1186" ht="15.75" customHeight="1">
      <c r="A1186" s="5">
        <v>17.0</v>
      </c>
      <c r="B1186" s="5">
        <v>20244.0</v>
      </c>
      <c r="C1186" s="5">
        <v>99.7742547842594</v>
      </c>
      <c r="D1186" s="5">
        <v>109.87005649717514</v>
      </c>
      <c r="E1186" s="5">
        <v>-0.22574521574060213</v>
      </c>
      <c r="F1186" s="5">
        <v>9.870056497175142</v>
      </c>
      <c r="G1186" s="5">
        <v>12.189047924265296</v>
      </c>
      <c r="H1186" s="5">
        <v>2.318991427090154</v>
      </c>
      <c r="I1186" s="9" t="b">
        <v>1</v>
      </c>
      <c r="J1186" s="9" t="b">
        <v>0</v>
      </c>
    </row>
    <row r="1187" ht="15.75" customHeight="1">
      <c r="A1187" s="5">
        <v>1.0</v>
      </c>
      <c r="B1187" s="5">
        <v>20254.0</v>
      </c>
      <c r="C1187" s="5">
        <v>101.49045179319982</v>
      </c>
      <c r="D1187" s="5">
        <v>99.49771689497716</v>
      </c>
      <c r="E1187" s="5">
        <v>1.4904517931998242</v>
      </c>
      <c r="F1187" s="5">
        <v>-0.5022831050228405</v>
      </c>
      <c r="G1187" s="5">
        <v>2.1734294574660584</v>
      </c>
      <c r="H1187" s="5">
        <v>2.675712562488899</v>
      </c>
      <c r="I1187" s="9" t="b">
        <v>1</v>
      </c>
      <c r="J1187" s="9" t="b">
        <v>1</v>
      </c>
    </row>
    <row r="1188" ht="15.75" customHeight="1">
      <c r="A1188" s="5">
        <v>2.0</v>
      </c>
      <c r="B1188" s="5">
        <v>20254.0</v>
      </c>
      <c r="C1188" s="5">
        <v>101.88391038696538</v>
      </c>
      <c r="D1188" s="5">
        <v>108.74602530299995</v>
      </c>
      <c r="E1188" s="5">
        <v>1.8839103869653826</v>
      </c>
      <c r="F1188" s="5">
        <v>8.746025302999954</v>
      </c>
      <c r="G1188" s="5">
        <v>0.9515351433646346</v>
      </c>
      <c r="H1188" s="5">
        <v>-7.794490159635319</v>
      </c>
      <c r="I1188" s="9" t="b">
        <v>1</v>
      </c>
      <c r="J1188" s="9" t="b">
        <v>0</v>
      </c>
    </row>
    <row r="1189" ht="15.75" customHeight="1">
      <c r="A1189" s="5">
        <v>5.0</v>
      </c>
      <c r="B1189" s="5">
        <v>20254.0</v>
      </c>
      <c r="C1189" s="5">
        <v>97.34049186254518</v>
      </c>
      <c r="D1189" s="5">
        <v>98.77136788634448</v>
      </c>
      <c r="E1189" s="5">
        <v>-2.6595081374548215</v>
      </c>
      <c r="F1189" s="5">
        <v>-1.2286321136555216</v>
      </c>
      <c r="G1189" s="5">
        <v>1.3336597426514052</v>
      </c>
      <c r="H1189" s="5">
        <v>2.562291856306927</v>
      </c>
      <c r="I1189" s="9" t="b">
        <v>1</v>
      </c>
      <c r="J1189" s="9" t="b">
        <v>1</v>
      </c>
    </row>
    <row r="1190" ht="15.75" customHeight="1">
      <c r="A1190" s="5">
        <v>6.0</v>
      </c>
      <c r="B1190" s="5">
        <v>20254.0</v>
      </c>
      <c r="C1190" s="5">
        <v>98.61240488479264</v>
      </c>
      <c r="D1190" s="5">
        <v>99.42028089575066</v>
      </c>
      <c r="E1190" s="5">
        <v>-1.3875951152073611</v>
      </c>
      <c r="F1190" s="5">
        <v>-0.5797191042493353</v>
      </c>
      <c r="G1190" s="5">
        <v>-0.5240367728302942</v>
      </c>
      <c r="H1190" s="5">
        <v>0.05568233141904111</v>
      </c>
      <c r="I1190" s="9" t="b">
        <v>1</v>
      </c>
      <c r="J1190" s="9" t="b">
        <v>0</v>
      </c>
    </row>
    <row r="1191" ht="15.75" customHeight="1">
      <c r="A1191" s="5">
        <v>7.0</v>
      </c>
      <c r="B1191" s="5">
        <v>20254.0</v>
      </c>
      <c r="C1191" s="5">
        <v>101.65030210523328</v>
      </c>
      <c r="D1191" s="5">
        <v>100.48654019797512</v>
      </c>
      <c r="E1191" s="5">
        <v>1.6503021052332798</v>
      </c>
      <c r="F1191" s="5">
        <v>0.48654019797511694</v>
      </c>
      <c r="G1191" s="5">
        <v>-1.0796624500206242</v>
      </c>
      <c r="H1191" s="5">
        <v>-1.5662026479957412</v>
      </c>
      <c r="I1191" s="9" t="b">
        <v>1</v>
      </c>
      <c r="J1191" s="9" t="b">
        <v>1</v>
      </c>
    </row>
    <row r="1192" ht="15.75" customHeight="1">
      <c r="A1192" s="5">
        <v>8.0</v>
      </c>
      <c r="B1192" s="5">
        <v>20254.0</v>
      </c>
      <c r="C1192" s="5">
        <v>98.63961928567994</v>
      </c>
      <c r="D1192" s="5">
        <v>103.11557788944722</v>
      </c>
      <c r="E1192" s="5">
        <v>-1.3603807143200584</v>
      </c>
      <c r="F1192" s="5">
        <v>3.1155778894472235</v>
      </c>
      <c r="G1192" s="5">
        <v>2.1523085599994385</v>
      </c>
      <c r="H1192" s="5">
        <v>-0.963269329447785</v>
      </c>
      <c r="I1192" s="9" t="b">
        <v>1</v>
      </c>
      <c r="J1192" s="9" t="b">
        <v>0</v>
      </c>
    </row>
    <row r="1193" ht="15.75" customHeight="1">
      <c r="A1193" s="5">
        <v>9.0</v>
      </c>
      <c r="B1193" s="5">
        <v>20254.0</v>
      </c>
      <c r="C1193" s="5">
        <v>99.73520776804084</v>
      </c>
      <c r="D1193" s="5">
        <v>104.47372615695234</v>
      </c>
      <c r="E1193" s="5">
        <v>-0.2647922319591629</v>
      </c>
      <c r="F1193" s="5">
        <v>4.473726156952338</v>
      </c>
      <c r="G1193" s="5">
        <v>3.370787049592905</v>
      </c>
      <c r="H1193" s="5">
        <v>-1.1029391073594335</v>
      </c>
      <c r="I1193" s="9" t="b">
        <v>1</v>
      </c>
      <c r="J1193" s="9" t="b">
        <v>0</v>
      </c>
    </row>
    <row r="1194" ht="15.75" customHeight="1">
      <c r="A1194" s="5">
        <v>10.0</v>
      </c>
      <c r="B1194" s="5">
        <v>20254.0</v>
      </c>
      <c r="C1194" s="5">
        <v>96.61849985162154</v>
      </c>
      <c r="D1194" s="5">
        <v>105.27686312973972</v>
      </c>
      <c r="E1194" s="5">
        <v>-3.381500148378464</v>
      </c>
      <c r="F1194" s="5">
        <v>5.2768631297397235</v>
      </c>
      <c r="G1194" s="5">
        <v>3.3648198494019788</v>
      </c>
      <c r="H1194" s="5">
        <v>-1.9120432803377447</v>
      </c>
      <c r="I1194" s="9" t="b">
        <v>1</v>
      </c>
      <c r="J1194" s="9" t="b">
        <v>0</v>
      </c>
    </row>
    <row r="1195" ht="15.75" customHeight="1">
      <c r="A1195" s="5">
        <v>11.0</v>
      </c>
      <c r="B1195" s="5">
        <v>20254.0</v>
      </c>
      <c r="C1195" s="5">
        <v>101.01863887455708</v>
      </c>
      <c r="D1195" s="5">
        <v>100.6249176837378</v>
      </c>
      <c r="E1195" s="5">
        <v>1.0186388745570838</v>
      </c>
      <c r="F1195" s="5">
        <v>0.6249176837378059</v>
      </c>
      <c r="G1195" s="5">
        <v>2.320225835919154</v>
      </c>
      <c r="H1195" s="5">
        <v>1.6953081521813482</v>
      </c>
      <c r="I1195" s="9" t="b">
        <v>1</v>
      </c>
      <c r="J1195" s="9" t="b">
        <v>0</v>
      </c>
    </row>
    <row r="1196" ht="15.75" customHeight="1">
      <c r="A1196" s="5">
        <v>12.0</v>
      </c>
      <c r="B1196" s="5">
        <v>20254.0</v>
      </c>
      <c r="C1196" s="5">
        <v>96.75625579240037</v>
      </c>
      <c r="D1196" s="5">
        <v>97.8444236176195</v>
      </c>
      <c r="E1196" s="5">
        <v>-3.243744207599633</v>
      </c>
      <c r="F1196" s="5">
        <v>-2.1555763823805023</v>
      </c>
      <c r="G1196" s="5">
        <v>-0.5102938520046396</v>
      </c>
      <c r="H1196" s="5">
        <v>1.6452825303758627</v>
      </c>
      <c r="I1196" s="9" t="b">
        <v>1</v>
      </c>
      <c r="J1196" s="9" t="b">
        <v>0</v>
      </c>
    </row>
    <row r="1197" ht="15.75" customHeight="1">
      <c r="A1197" s="5">
        <v>13.0</v>
      </c>
      <c r="B1197" s="5">
        <v>20254.0</v>
      </c>
      <c r="C1197" s="5">
        <v>100.98812344675072</v>
      </c>
      <c r="D1197" s="5">
        <v>101.69993020113634</v>
      </c>
      <c r="E1197" s="5">
        <v>0.9881234467507198</v>
      </c>
      <c r="F1197" s="5">
        <v>1.6999302011363397</v>
      </c>
      <c r="G1197" s="5">
        <v>1.5127488192748118</v>
      </c>
      <c r="H1197" s="5">
        <v>-0.187181381861528</v>
      </c>
      <c r="I1197" s="9" t="b">
        <v>1</v>
      </c>
      <c r="J1197" s="9" t="b">
        <v>0</v>
      </c>
    </row>
    <row r="1198" ht="15.75" customHeight="1">
      <c r="A1198" s="5">
        <v>14.0</v>
      </c>
      <c r="B1198" s="5">
        <v>20254.0</v>
      </c>
      <c r="C1198" s="5">
        <v>103.30950880931816</v>
      </c>
      <c r="D1198" s="5">
        <v>101.76348187366054</v>
      </c>
      <c r="E1198" s="5">
        <v>3.30950880931816</v>
      </c>
      <c r="F1198" s="5">
        <v>1.7634818736605382</v>
      </c>
      <c r="G1198" s="5">
        <v>-1.256129514485682</v>
      </c>
      <c r="H1198" s="5">
        <v>-3.0196113881462203</v>
      </c>
      <c r="I1198" s="9" t="b">
        <v>1</v>
      </c>
      <c r="J1198" s="9" t="b">
        <v>1</v>
      </c>
    </row>
    <row r="1199" ht="15.75" customHeight="1">
      <c r="A1199" s="5">
        <v>15.0</v>
      </c>
      <c r="B1199" s="5">
        <v>20254.0</v>
      </c>
      <c r="C1199" s="5">
        <v>97.72033365201996</v>
      </c>
      <c r="D1199" s="5">
        <v>97.56364172574034</v>
      </c>
      <c r="E1199" s="5">
        <v>-2.27966634798004</v>
      </c>
      <c r="F1199" s="5">
        <v>-2.4363582742596606</v>
      </c>
      <c r="G1199" s="5">
        <v>-2.8512459464682616</v>
      </c>
      <c r="H1199" s="5">
        <v>-0.414887672208601</v>
      </c>
      <c r="I1199" s="9" t="b">
        <v>1</v>
      </c>
      <c r="J1199" s="9" t="b">
        <v>0</v>
      </c>
    </row>
    <row r="1200" ht="15.75" customHeight="1">
      <c r="A1200" s="5">
        <v>16.0</v>
      </c>
      <c r="B1200" s="5">
        <v>20254.0</v>
      </c>
      <c r="C1200" s="5">
        <v>104.53553897080666</v>
      </c>
      <c r="D1200" s="5">
        <v>115.7367110334613</v>
      </c>
      <c r="E1200" s="5">
        <v>4.535538970806655</v>
      </c>
      <c r="F1200" s="5">
        <v>15.736711033461305</v>
      </c>
      <c r="G1200" s="5">
        <v>8.035837517615763</v>
      </c>
      <c r="H1200" s="5">
        <v>-7.700873515845542</v>
      </c>
      <c r="I1200" s="9" t="b">
        <v>1</v>
      </c>
      <c r="J1200" s="9" t="b">
        <v>0</v>
      </c>
    </row>
    <row r="1201" ht="15.75" customHeight="1">
      <c r="A1201" s="5">
        <v>17.0</v>
      </c>
      <c r="B1201" s="5">
        <v>20254.0</v>
      </c>
      <c r="C1201" s="5">
        <v>103.44827586206895</v>
      </c>
      <c r="D1201" s="5">
        <v>107.0602149431789</v>
      </c>
      <c r="E1201" s="5">
        <v>3.4482758620689538</v>
      </c>
      <c r="F1201" s="5">
        <v>7.060214943178906</v>
      </c>
      <c r="G1201" s="5">
        <v>2.1726596750564875</v>
      </c>
      <c r="H1201" s="5">
        <v>-4.887555268122418</v>
      </c>
      <c r="I1201" s="9" t="b">
        <v>1</v>
      </c>
      <c r="J1201" s="9" t="b"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13" width="15.0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</row>
    <row r="2">
      <c r="A2" s="5">
        <v>1.0</v>
      </c>
      <c r="B2" s="5">
        <v>20063.0</v>
      </c>
      <c r="C2" s="5">
        <v>3008.0</v>
      </c>
      <c r="D2" s="5">
        <v>2464.11622803152</v>
      </c>
      <c r="K2" s="5">
        <v>22.072163876903073</v>
      </c>
      <c r="L2" s="9" t="b">
        <v>0</v>
      </c>
    </row>
    <row r="3">
      <c r="A3" s="5">
        <v>1.0</v>
      </c>
      <c r="B3" s="5">
        <v>20064.0</v>
      </c>
      <c r="C3" s="5">
        <v>3117.0</v>
      </c>
      <c r="D3" s="5">
        <v>2922.1043767090023</v>
      </c>
      <c r="K3" s="5">
        <v>6.669700947181689</v>
      </c>
      <c r="L3" s="9" t="b">
        <v>0</v>
      </c>
    </row>
    <row r="4">
      <c r="A4" s="5">
        <v>1.0</v>
      </c>
      <c r="B4" s="5">
        <v>20071.0</v>
      </c>
      <c r="C4" s="5">
        <v>3500.0</v>
      </c>
      <c r="D4" s="5">
        <v>3377.392736626213</v>
      </c>
      <c r="K4" s="5">
        <v>3.630234116517461</v>
      </c>
      <c r="L4" s="9" t="b">
        <v>0</v>
      </c>
    </row>
    <row r="5">
      <c r="A5" s="5">
        <v>1.0</v>
      </c>
      <c r="B5" s="5">
        <v>20072.0</v>
      </c>
      <c r="C5" s="5">
        <v>4422.0</v>
      </c>
      <c r="D5" s="5">
        <v>3950.2648012243367</v>
      </c>
      <c r="K5" s="5">
        <v>11.94186269815265</v>
      </c>
      <c r="L5" s="9" t="b">
        <v>0</v>
      </c>
    </row>
    <row r="6">
      <c r="A6" s="5">
        <v>1.0</v>
      </c>
      <c r="B6" s="5">
        <v>20073.0</v>
      </c>
      <c r="C6" s="5">
        <v>4651.0</v>
      </c>
      <c r="D6" s="5">
        <v>4335.610142321681</v>
      </c>
      <c r="E6" s="5">
        <v>54.621010638297875</v>
      </c>
      <c r="H6" s="5">
        <v>75.94990418878169</v>
      </c>
      <c r="K6" s="5">
        <v>7.274405385292093</v>
      </c>
      <c r="L6" s="9" t="b">
        <v>0</v>
      </c>
    </row>
    <row r="7">
      <c r="A7" s="5">
        <v>1.0</v>
      </c>
      <c r="B7" s="5">
        <v>20074.0</v>
      </c>
      <c r="C7" s="5">
        <v>5079.0</v>
      </c>
      <c r="D7" s="5">
        <v>4455.363788397997</v>
      </c>
      <c r="E7" s="5">
        <v>62.94513955726659</v>
      </c>
      <c r="H7" s="5">
        <v>52.471069271516456</v>
      </c>
      <c r="K7" s="5">
        <v>13.997425153608889</v>
      </c>
      <c r="L7" s="9" t="b">
        <v>0</v>
      </c>
    </row>
    <row r="8">
      <c r="A8" s="5">
        <v>1.0</v>
      </c>
      <c r="B8" s="5">
        <v>20081.0</v>
      </c>
      <c r="C8" s="5">
        <v>5160.0</v>
      </c>
      <c r="D8" s="5">
        <v>4379.684789076857</v>
      </c>
      <c r="E8" s="5">
        <v>47.428571428571416</v>
      </c>
      <c r="H8" s="5">
        <v>29.6765028710243</v>
      </c>
      <c r="K8" s="5">
        <v>17.81669797034906</v>
      </c>
      <c r="L8" s="9" t="b">
        <v>0</v>
      </c>
    </row>
    <row r="9">
      <c r="A9" s="5">
        <v>1.0</v>
      </c>
      <c r="B9" s="5">
        <v>20082.0</v>
      </c>
      <c r="C9" s="5">
        <v>4973.0</v>
      </c>
      <c r="D9" s="5">
        <v>4526.399950097908</v>
      </c>
      <c r="E9" s="5">
        <v>12.460425146992304</v>
      </c>
      <c r="F9" s="5">
        <v>44.36378669278205</v>
      </c>
      <c r="H9" s="5">
        <v>14.584722236722092</v>
      </c>
      <c r="I9" s="5">
        <v>43.17054964201113</v>
      </c>
      <c r="K9" s="5">
        <v>9.866561833371179</v>
      </c>
      <c r="L9" s="9" t="b">
        <v>0</v>
      </c>
    </row>
    <row r="10">
      <c r="A10" s="5">
        <v>1.0</v>
      </c>
      <c r="B10" s="5">
        <v>20083.0</v>
      </c>
      <c r="C10" s="5">
        <v>5141.0</v>
      </c>
      <c r="D10" s="5">
        <v>4442.9662230106815</v>
      </c>
      <c r="E10" s="5">
        <v>10.535368737905838</v>
      </c>
      <c r="F10" s="5">
        <v>33.342376217684034</v>
      </c>
      <c r="H10" s="5">
        <v>2.4761470050328693</v>
      </c>
      <c r="I10" s="5">
        <v>24.80211034607393</v>
      </c>
      <c r="K10" s="5">
        <v>15.710985453234239</v>
      </c>
      <c r="L10" s="9" t="b">
        <v>0</v>
      </c>
    </row>
    <row r="11">
      <c r="A11" s="5">
        <v>1.0</v>
      </c>
      <c r="B11" s="5">
        <v>20084.0</v>
      </c>
      <c r="C11" s="5">
        <v>5177.0</v>
      </c>
      <c r="D11" s="5">
        <v>4292.986110763537</v>
      </c>
      <c r="E11" s="5">
        <v>1.9295136837960136</v>
      </c>
      <c r="F11" s="5">
        <v>18.088469749316392</v>
      </c>
      <c r="H11" s="5">
        <v>-3.644543641022091</v>
      </c>
      <c r="I11" s="5">
        <v>10.773207117939293</v>
      </c>
      <c r="K11" s="5">
        <v>20.592050997323973</v>
      </c>
      <c r="L11" s="9" t="b">
        <v>0</v>
      </c>
    </row>
    <row r="12">
      <c r="A12" s="5">
        <v>1.0</v>
      </c>
      <c r="B12" s="5">
        <v>20091.0</v>
      </c>
      <c r="C12" s="5">
        <v>5005.0</v>
      </c>
      <c r="D12" s="5">
        <v>4023.703837753915</v>
      </c>
      <c r="E12" s="5">
        <v>-3.0038759689922534</v>
      </c>
      <c r="F12" s="5">
        <v>5.480357899925475</v>
      </c>
      <c r="H12" s="5">
        <v>-8.128003919614834</v>
      </c>
      <c r="I12" s="5">
        <v>1.3220804202795091</v>
      </c>
      <c r="K12" s="5">
        <v>24.38788245393968</v>
      </c>
      <c r="L12" s="9" t="b">
        <v>0</v>
      </c>
    </row>
    <row r="13">
      <c r="A13" s="5">
        <v>1.0</v>
      </c>
      <c r="B13" s="5">
        <v>20092.0</v>
      </c>
      <c r="C13" s="5">
        <v>4976.0</v>
      </c>
      <c r="D13" s="5">
        <v>4049.6452680858506</v>
      </c>
      <c r="E13" s="5">
        <v>0.060325759099133514</v>
      </c>
      <c r="F13" s="5">
        <v>2.380333052952183</v>
      </c>
      <c r="G13" s="5">
        <v>-41.98345363982987</v>
      </c>
      <c r="H13" s="5">
        <v>-10.532756434873702</v>
      </c>
      <c r="I13" s="5">
        <v>-4.957289247619439</v>
      </c>
      <c r="J13" s="5">
        <v>-48.12783888963057</v>
      </c>
      <c r="K13" s="5">
        <v>22.874959918452564</v>
      </c>
      <c r="L13" s="9" t="b">
        <v>0</v>
      </c>
    </row>
    <row r="14">
      <c r="A14" s="5">
        <v>1.0</v>
      </c>
      <c r="B14" s="5">
        <v>20093.0</v>
      </c>
      <c r="C14" s="5">
        <v>4787.0</v>
      </c>
      <c r="D14" s="5">
        <v>4103.021368667856</v>
      </c>
      <c r="E14" s="5">
        <v>-6.88581987940089</v>
      </c>
      <c r="F14" s="5">
        <v>-1.974964101374499</v>
      </c>
      <c r="G14" s="5">
        <v>-35.31734031905853</v>
      </c>
      <c r="H14" s="5">
        <v>-7.651304045081597</v>
      </c>
      <c r="I14" s="5">
        <v>-7.489152010148056</v>
      </c>
      <c r="J14" s="5">
        <v>-32.291262356221985</v>
      </c>
      <c r="K14" s="5">
        <v>16.67012111014703</v>
      </c>
      <c r="L14" s="9" t="b">
        <v>0</v>
      </c>
    </row>
    <row r="15">
      <c r="A15" s="5">
        <v>1.0</v>
      </c>
      <c r="B15" s="5">
        <v>20094.0</v>
      </c>
      <c r="C15" s="5">
        <v>4838.0</v>
      </c>
      <c r="D15" s="5">
        <v>3996.932774963637</v>
      </c>
      <c r="E15" s="5">
        <v>-6.548193934711222</v>
      </c>
      <c r="F15" s="5">
        <v>-4.094391006001308</v>
      </c>
      <c r="G15" s="5">
        <v>-22.182860755317698</v>
      </c>
      <c r="H15" s="5">
        <v>-6.896209961118305</v>
      </c>
      <c r="I15" s="5">
        <v>-8.302068590172109</v>
      </c>
      <c r="J15" s="5">
        <v>-19.075275708111402</v>
      </c>
      <c r="K15" s="5">
        <v>21.042816389225226</v>
      </c>
      <c r="L15" s="9" t="b">
        <v>0</v>
      </c>
    </row>
    <row r="16">
      <c r="A16" s="5">
        <v>1.0</v>
      </c>
      <c r="B16" s="5">
        <v>20101.0</v>
      </c>
      <c r="C16" s="5">
        <v>4790.0</v>
      </c>
      <c r="D16" s="5">
        <v>4070.727391278432</v>
      </c>
      <c r="E16" s="5">
        <v>-4.295704295704295</v>
      </c>
      <c r="F16" s="5">
        <v>-4.417348087679318</v>
      </c>
      <c r="G16" s="5">
        <v>-9.897705987604793</v>
      </c>
      <c r="H16" s="5">
        <v>1.1686633862885376</v>
      </c>
      <c r="I16" s="5">
        <v>-5.977901763696266</v>
      </c>
      <c r="J16" s="5">
        <v>-7.299982183975775</v>
      </c>
      <c r="K16" s="5">
        <v>17.669387792034797</v>
      </c>
      <c r="L16" s="9" t="b">
        <v>0</v>
      </c>
    </row>
    <row r="17">
      <c r="A17" s="5">
        <v>1.0</v>
      </c>
      <c r="B17" s="5">
        <v>20102.0</v>
      </c>
      <c r="C17" s="5">
        <v>4802.0</v>
      </c>
      <c r="D17" s="5">
        <v>4161.316866147909</v>
      </c>
      <c r="E17" s="5">
        <v>-3.4967845659164</v>
      </c>
      <c r="F17" s="5">
        <v>-5.306625668933201</v>
      </c>
      <c r="G17" s="5">
        <v>-7.686958721885384</v>
      </c>
      <c r="H17" s="5">
        <v>2.7575649388876577</v>
      </c>
      <c r="I17" s="5">
        <v>-2.6553214202559268</v>
      </c>
      <c r="J17" s="5">
        <v>2.3019678273635122</v>
      </c>
      <c r="K17" s="5">
        <v>15.396163148834297</v>
      </c>
      <c r="L17" s="9" t="b">
        <v>0</v>
      </c>
    </row>
    <row r="18">
      <c r="A18" s="5">
        <v>1.0</v>
      </c>
      <c r="B18" s="5">
        <v>20103.0</v>
      </c>
      <c r="C18" s="5">
        <v>4732.0</v>
      </c>
      <c r="D18" s="5">
        <v>4176.86638412177</v>
      </c>
      <c r="E18" s="5">
        <v>-1.1489450595362438</v>
      </c>
      <c r="F18" s="5">
        <v>-3.87240696396704</v>
      </c>
      <c r="G18" s="5">
        <v>-1.8974428625925412</v>
      </c>
      <c r="H18" s="5">
        <v>1.7997716516375162</v>
      </c>
      <c r="I18" s="5">
        <v>-0.2925524960761483</v>
      </c>
      <c r="J18" s="5">
        <v>7.196599514071908</v>
      </c>
      <c r="K18" s="5">
        <v>13.290672116985913</v>
      </c>
      <c r="L18" s="9" t="b">
        <v>0</v>
      </c>
    </row>
    <row r="19">
      <c r="A19" s="5">
        <v>1.0</v>
      </c>
      <c r="B19" s="5">
        <v>20104.0</v>
      </c>
      <c r="C19" s="5">
        <v>4755.0</v>
      </c>
      <c r="D19" s="5">
        <v>4194.753527896544</v>
      </c>
      <c r="E19" s="5">
        <v>-1.7155849524596922</v>
      </c>
      <c r="F19" s="5">
        <v>-2.6642547184041576</v>
      </c>
      <c r="G19" s="5">
        <v>1.4301362875971502</v>
      </c>
      <c r="H19" s="5">
        <v>4.949313988267101</v>
      </c>
      <c r="I19" s="5">
        <v>2.668828491270203</v>
      </c>
      <c r="J19" s="5">
        <v>10.970897081442311</v>
      </c>
      <c r="K19" s="5">
        <v>13.355885354827768</v>
      </c>
      <c r="L19" s="9" t="b">
        <v>0</v>
      </c>
    </row>
    <row r="20">
      <c r="A20" s="5">
        <v>1.0</v>
      </c>
      <c r="B20" s="5">
        <v>20111.0</v>
      </c>
      <c r="C20" s="5">
        <v>4821.0</v>
      </c>
      <c r="D20" s="5">
        <v>4395.782563942546</v>
      </c>
      <c r="E20" s="5">
        <v>0.6471816283924792</v>
      </c>
      <c r="F20" s="5">
        <v>-1.4285332373799642</v>
      </c>
      <c r="G20" s="5">
        <v>2.9888148502993532</v>
      </c>
      <c r="H20" s="5">
        <v>7.985186464722438</v>
      </c>
      <c r="I20" s="5">
        <v>4.3729592608786785</v>
      </c>
      <c r="J20" s="5">
        <v>10.350861024574945</v>
      </c>
      <c r="K20" s="5">
        <v>9.673304579380272</v>
      </c>
      <c r="L20" s="9" t="b">
        <v>0</v>
      </c>
    </row>
    <row r="21" ht="15.75" customHeight="1">
      <c r="A21" s="5">
        <v>1.0</v>
      </c>
      <c r="B21" s="5">
        <v>20112.0</v>
      </c>
      <c r="C21" s="5">
        <v>4782.0</v>
      </c>
      <c r="D21" s="5">
        <v>4382.809869378889</v>
      </c>
      <c r="E21" s="5">
        <v>-0.4164931278633932</v>
      </c>
      <c r="F21" s="5">
        <v>-0.6584603778667125</v>
      </c>
      <c r="G21" s="5">
        <v>4.648165291066488</v>
      </c>
      <c r="H21" s="5">
        <v>5.322666126024034</v>
      </c>
      <c r="I21" s="5">
        <v>5.014234557662772</v>
      </c>
      <c r="J21" s="5">
        <v>7.669555977918699</v>
      </c>
      <c r="K21" s="5">
        <v>9.108086878468269</v>
      </c>
      <c r="L21" s="9" t="b">
        <v>0</v>
      </c>
    </row>
    <row r="22" ht="15.75" customHeight="1">
      <c r="A22" s="5">
        <v>1.0</v>
      </c>
      <c r="B22" s="5">
        <v>20113.0</v>
      </c>
      <c r="C22" s="5">
        <v>4843.0</v>
      </c>
      <c r="D22" s="5">
        <v>4190.06428424529</v>
      </c>
      <c r="E22" s="5">
        <v>2.3457311918850365</v>
      </c>
      <c r="F22" s="5">
        <v>0.21520868498860757</v>
      </c>
      <c r="G22" s="5">
        <v>4.087615648955648</v>
      </c>
      <c r="H22" s="5">
        <v>0.31597611486187116</v>
      </c>
      <c r="I22" s="5">
        <v>4.643285673468861</v>
      </c>
      <c r="J22" s="5">
        <v>4.9358381695450095</v>
      </c>
      <c r="K22" s="5">
        <v>15.582952228436175</v>
      </c>
      <c r="L22" s="9" t="b">
        <v>0</v>
      </c>
    </row>
    <row r="23" ht="15.75" customHeight="1">
      <c r="A23" s="5">
        <v>1.0</v>
      </c>
      <c r="B23" s="5">
        <v>20114.0</v>
      </c>
      <c r="C23" s="5">
        <v>4601.0</v>
      </c>
      <c r="D23" s="5">
        <v>4265.588416783881</v>
      </c>
      <c r="E23" s="5">
        <v>-3.238696109358574</v>
      </c>
      <c r="F23" s="5">
        <v>-0.16556910423611293</v>
      </c>
      <c r="G23" s="5">
        <v>2.4986856141680445</v>
      </c>
      <c r="H23" s="5">
        <v>1.688654373046261</v>
      </c>
      <c r="I23" s="5">
        <v>3.8281207696636512</v>
      </c>
      <c r="J23" s="5">
        <v>1.159292278393448</v>
      </c>
      <c r="K23" s="5">
        <v>7.863196127792582</v>
      </c>
      <c r="L23" s="9" t="b">
        <v>0</v>
      </c>
    </row>
    <row r="24" ht="15.75" customHeight="1">
      <c r="A24" s="5">
        <v>1.0</v>
      </c>
      <c r="B24" s="5">
        <v>20121.0</v>
      </c>
      <c r="C24" s="5">
        <v>4577.0</v>
      </c>
      <c r="D24" s="5">
        <v>4241.59686252106</v>
      </c>
      <c r="E24" s="5">
        <v>-5.061190624351797</v>
      </c>
      <c r="F24" s="5">
        <v>-1.592662167422182</v>
      </c>
      <c r="G24" s="5">
        <v>-0.16412893004221774</v>
      </c>
      <c r="H24" s="5">
        <v>-3.5075825334544897</v>
      </c>
      <c r="I24" s="5">
        <v>0.9549285201194191</v>
      </c>
      <c r="J24" s="5">
        <v>-3.418030740759259</v>
      </c>
      <c r="K24" s="5">
        <v>7.907473254768216</v>
      </c>
      <c r="L24" s="9" t="b">
        <v>0</v>
      </c>
    </row>
    <row r="25" ht="15.75" customHeight="1">
      <c r="A25" s="5">
        <v>1.0</v>
      </c>
      <c r="B25" s="5">
        <v>20122.0</v>
      </c>
      <c r="C25" s="5">
        <v>4384.0</v>
      </c>
      <c r="D25" s="5">
        <v>4044.696651355268</v>
      </c>
      <c r="E25" s="5">
        <v>-8.322877457130906</v>
      </c>
      <c r="F25" s="5">
        <v>-3.56925824973906</v>
      </c>
      <c r="G25" s="5">
        <v>-2.9107978718723477</v>
      </c>
      <c r="H25" s="5">
        <v>-7.714530816997012</v>
      </c>
      <c r="I25" s="5">
        <v>-2.3043707156358426</v>
      </c>
      <c r="J25" s="5">
        <v>-7.318605273298615</v>
      </c>
      <c r="K25" s="5">
        <v>8.388845391681986</v>
      </c>
      <c r="L25" s="9" t="b">
        <v>0</v>
      </c>
    </row>
    <row r="26" ht="15.75" customHeight="1">
      <c r="A26" s="5">
        <v>1.0</v>
      </c>
      <c r="B26" s="5">
        <v>20123.0</v>
      </c>
      <c r="C26" s="5">
        <v>4507.0</v>
      </c>
      <c r="D26" s="5">
        <v>4048.508777335696</v>
      </c>
      <c r="E26" s="5">
        <v>-6.937848441048933</v>
      </c>
      <c r="F26" s="5">
        <v>-5.890153157972552</v>
      </c>
      <c r="G26" s="5">
        <v>-6.10536184296116</v>
      </c>
      <c r="H26" s="5">
        <v>-3.378361220896897</v>
      </c>
      <c r="I26" s="5">
        <v>-3.2279550495755345</v>
      </c>
      <c r="J26" s="5">
        <v>-7.871240723044395</v>
      </c>
      <c r="K26" s="5">
        <v>11.324940808601514</v>
      </c>
      <c r="L26" s="9" t="b">
        <v>0</v>
      </c>
    </row>
    <row r="27" ht="15.75" customHeight="1">
      <c r="A27" s="5">
        <v>1.0</v>
      </c>
      <c r="B27" s="5">
        <v>20124.0</v>
      </c>
      <c r="C27" s="5">
        <v>4357.0</v>
      </c>
      <c r="D27" s="5">
        <v>3866.736481131282</v>
      </c>
      <c r="E27" s="5">
        <v>-5.303194957617907</v>
      </c>
      <c r="F27" s="5">
        <v>-6.4062778700373855</v>
      </c>
      <c r="G27" s="5">
        <v>-6.240708765801273</v>
      </c>
      <c r="H27" s="5">
        <v>-9.350455240435995</v>
      </c>
      <c r="I27" s="5">
        <v>-5.987732452946098</v>
      </c>
      <c r="J27" s="5">
        <v>-9.81585322260975</v>
      </c>
      <c r="K27" s="5">
        <v>12.67900001101918</v>
      </c>
      <c r="L27" s="9" t="b">
        <v>0</v>
      </c>
    </row>
    <row r="28" ht="15.75" customHeight="1">
      <c r="A28" s="5">
        <v>1.0</v>
      </c>
      <c r="B28" s="5">
        <v>20131.0</v>
      </c>
      <c r="C28" s="5">
        <v>4610.0</v>
      </c>
      <c r="D28" s="5">
        <v>3927.1562353989257</v>
      </c>
      <c r="E28" s="5">
        <v>0.7209962857767094</v>
      </c>
      <c r="F28" s="5">
        <v>-4.96073114250526</v>
      </c>
      <c r="G28" s="5">
        <v>-3.3680689750830783</v>
      </c>
      <c r="H28" s="5">
        <v>-7.4132605552532755</v>
      </c>
      <c r="I28" s="5">
        <v>-6.964151958395795</v>
      </c>
      <c r="J28" s="5">
        <v>-7.919080478515214</v>
      </c>
      <c r="K28" s="5">
        <v>17.387741247623435</v>
      </c>
      <c r="L28" s="9" t="b">
        <v>0</v>
      </c>
    </row>
    <row r="29" ht="15.75" customHeight="1">
      <c r="A29" s="5">
        <v>1.0</v>
      </c>
      <c r="B29" s="5">
        <v>20132.0</v>
      </c>
      <c r="C29" s="5">
        <v>4428.0</v>
      </c>
      <c r="D29" s="5">
        <v>3922.037151562348</v>
      </c>
      <c r="E29" s="5">
        <v>1.0036496350364965</v>
      </c>
      <c r="F29" s="5">
        <v>-2.6290993694634084</v>
      </c>
      <c r="G29" s="5">
        <v>0.9401588802756518</v>
      </c>
      <c r="H29" s="5">
        <v>-3.0326007205464967</v>
      </c>
      <c r="I29" s="5">
        <v>-5.793669434283166</v>
      </c>
      <c r="J29" s="5">
        <v>-3.4892987186473237</v>
      </c>
      <c r="K29" s="5">
        <v>12.900511364001254</v>
      </c>
      <c r="L29" s="9" t="b">
        <v>0</v>
      </c>
    </row>
    <row r="30" ht="15.75" customHeight="1">
      <c r="A30" s="5">
        <v>1.0</v>
      </c>
      <c r="B30" s="5">
        <v>20133.0</v>
      </c>
      <c r="C30" s="5">
        <v>4526.0</v>
      </c>
      <c r="D30" s="5">
        <v>3873.401355983975</v>
      </c>
      <c r="E30" s="5">
        <v>0.4215664521854956</v>
      </c>
      <c r="F30" s="5">
        <v>-0.7892456461548014</v>
      </c>
      <c r="G30" s="5">
        <v>5.10090751181775</v>
      </c>
      <c r="H30" s="5">
        <v>-4.325232597543193</v>
      </c>
      <c r="I30" s="5">
        <v>-6.030387278444739</v>
      </c>
      <c r="J30" s="5">
        <v>-2.802432228869205</v>
      </c>
      <c r="K30" s="5">
        <v>16.84820611238318</v>
      </c>
      <c r="L30" s="9" t="b">
        <v>0</v>
      </c>
    </row>
    <row r="31" ht="15.75" customHeight="1">
      <c r="A31" s="5">
        <v>1.0</v>
      </c>
      <c r="B31" s="5">
        <v>20134.0</v>
      </c>
      <c r="C31" s="5">
        <v>4493.0</v>
      </c>
      <c r="D31" s="5">
        <v>3880.575495251343</v>
      </c>
      <c r="E31" s="5">
        <v>3.1214138168464522</v>
      </c>
      <c r="F31" s="5">
        <v>1.3169065474612884</v>
      </c>
      <c r="G31" s="5">
        <v>7.723184417498674</v>
      </c>
      <c r="H31" s="5">
        <v>0.35789907555356937</v>
      </c>
      <c r="I31" s="5">
        <v>-3.6032986994473486</v>
      </c>
      <c r="J31" s="5">
        <v>2.384433753498749</v>
      </c>
      <c r="K31" s="5">
        <v>15.781795908830532</v>
      </c>
      <c r="L31" s="9" t="b">
        <v>0</v>
      </c>
    </row>
    <row r="32" ht="15.75" customHeight="1">
      <c r="A32" s="5">
        <v>1.0</v>
      </c>
      <c r="B32" s="5">
        <v>20141.0</v>
      </c>
      <c r="C32" s="5">
        <v>4501.0</v>
      </c>
      <c r="D32" s="5">
        <v>3905.89049982654</v>
      </c>
      <c r="E32" s="5">
        <v>-2.3644251626898094</v>
      </c>
      <c r="F32" s="5">
        <v>0.5455511853446587</v>
      </c>
      <c r="G32" s="5">
        <v>5.5062823278499184</v>
      </c>
      <c r="H32" s="5">
        <v>-0.541504699525297</v>
      </c>
      <c r="I32" s="5">
        <v>-1.885359735515354</v>
      </c>
      <c r="J32" s="5">
        <v>5.078792222880441</v>
      </c>
      <c r="K32" s="5">
        <v>15.236205423574688</v>
      </c>
      <c r="L32" s="9" t="b">
        <v>0</v>
      </c>
    </row>
    <row r="33" ht="15.75" customHeight="1">
      <c r="A33" s="5">
        <v>1.0</v>
      </c>
      <c r="B33" s="5">
        <v>20142.0</v>
      </c>
      <c r="C33" s="5">
        <v>4488.0</v>
      </c>
      <c r="D33" s="5">
        <v>3956.472822494283</v>
      </c>
      <c r="E33" s="5">
        <v>1.3550135501354976</v>
      </c>
      <c r="F33" s="5">
        <v>0.633392164119409</v>
      </c>
      <c r="G33" s="5">
        <v>3.2624915335828173</v>
      </c>
      <c r="H33" s="5">
        <v>0.878004710338276</v>
      </c>
      <c r="I33" s="5">
        <v>-0.9077083777941608</v>
      </c>
      <c r="J33" s="5">
        <v>4.8859610564890055</v>
      </c>
      <c r="K33" s="5">
        <v>13.434369483944186</v>
      </c>
      <c r="L33" s="9" t="b">
        <v>0</v>
      </c>
    </row>
    <row r="34" ht="15.75" customHeight="1">
      <c r="A34" s="5">
        <v>1.0</v>
      </c>
      <c r="B34" s="5">
        <v>20143.0</v>
      </c>
      <c r="C34" s="5">
        <v>4431.0</v>
      </c>
      <c r="D34" s="5">
        <v>3949.066913321301</v>
      </c>
      <c r="E34" s="5">
        <v>-2.0989836500220904</v>
      </c>
      <c r="F34" s="5">
        <v>0.0032546385675125133</v>
      </c>
      <c r="G34" s="5">
        <v>0.7925002847223139</v>
      </c>
      <c r="H34" s="5">
        <v>1.9534654527972206</v>
      </c>
      <c r="I34" s="5">
        <v>0.6619661347909427</v>
      </c>
      <c r="J34" s="5">
        <v>6.692353413235682</v>
      </c>
      <c r="K34" s="5">
        <v>12.203720454900502</v>
      </c>
      <c r="L34" s="9" t="b">
        <v>0</v>
      </c>
    </row>
    <row r="35" ht="15.75" customHeight="1">
      <c r="A35" s="5">
        <v>1.0</v>
      </c>
      <c r="B35" s="5">
        <v>20144.0</v>
      </c>
      <c r="C35" s="5">
        <v>4570.0</v>
      </c>
      <c r="D35" s="5">
        <v>3930.4342151845535</v>
      </c>
      <c r="E35" s="5">
        <v>1.713776986423321</v>
      </c>
      <c r="F35" s="5">
        <v>-0.3486545690382703</v>
      </c>
      <c r="G35" s="5">
        <v>-1.6655611164995587</v>
      </c>
      <c r="H35" s="5">
        <v>1.2848279847724298</v>
      </c>
      <c r="I35" s="5">
        <v>0.8936983620956578</v>
      </c>
      <c r="J35" s="5">
        <v>4.496997061543007</v>
      </c>
      <c r="K35" s="5">
        <v>16.272140679637758</v>
      </c>
      <c r="L35" s="9" t="b">
        <v>0</v>
      </c>
    </row>
    <row r="36" ht="15.75" customHeight="1">
      <c r="A36" s="5">
        <v>1.0</v>
      </c>
      <c r="B36" s="5">
        <v>20151.0</v>
      </c>
      <c r="C36" s="5">
        <v>4526.0</v>
      </c>
      <c r="D36" s="5">
        <v>3882.78648117988</v>
      </c>
      <c r="E36" s="5">
        <v>0.5554321261941775</v>
      </c>
      <c r="F36" s="5">
        <v>0.3813097531827264</v>
      </c>
      <c r="G36" s="5">
        <v>-0.16424143216193232</v>
      </c>
      <c r="H36" s="5">
        <v>-0.591517315902379</v>
      </c>
      <c r="I36" s="5">
        <v>0.8811952080013873</v>
      </c>
      <c r="J36" s="5">
        <v>2.7665549435167414</v>
      </c>
      <c r="K36" s="5">
        <v>16.56577104967831</v>
      </c>
      <c r="L36" s="9" t="b">
        <v>0</v>
      </c>
    </row>
    <row r="37" ht="15.75" customHeight="1">
      <c r="A37" s="5">
        <v>1.0</v>
      </c>
      <c r="B37" s="5">
        <v>20152.0</v>
      </c>
      <c r="C37" s="5">
        <v>4606.0</v>
      </c>
      <c r="D37" s="5">
        <v>3966.253633240261</v>
      </c>
      <c r="E37" s="5">
        <v>2.6292335115864596</v>
      </c>
      <c r="F37" s="5">
        <v>0.6998647435454669</v>
      </c>
      <c r="G37" s="5">
        <v>0.06647257942605789</v>
      </c>
      <c r="H37" s="5">
        <v>0.24721036096519988</v>
      </c>
      <c r="I37" s="5">
        <v>0.7234966206581183</v>
      </c>
      <c r="J37" s="5">
        <v>1.631204998452279</v>
      </c>
      <c r="K37" s="5">
        <v>16.129739192626815</v>
      </c>
      <c r="L37" s="9" t="b">
        <v>0</v>
      </c>
    </row>
    <row r="38" ht="15.75" customHeight="1">
      <c r="A38" s="5">
        <v>1.0</v>
      </c>
      <c r="B38" s="5">
        <v>20153.0</v>
      </c>
      <c r="C38" s="5">
        <v>4613.0</v>
      </c>
      <c r="D38" s="5">
        <v>3960.869499445972</v>
      </c>
      <c r="E38" s="5">
        <v>4.107424960505535</v>
      </c>
      <c r="F38" s="5">
        <v>2.251466896177373</v>
      </c>
      <c r="G38" s="5">
        <v>2.24821225760986</v>
      </c>
      <c r="H38" s="5">
        <v>0.29887024919375005</v>
      </c>
      <c r="I38" s="5">
        <v>0.3098478197572506</v>
      </c>
      <c r="J38" s="5">
        <v>-0.35211831503369206</v>
      </c>
      <c r="K38" s="5">
        <v>16.464326851597733</v>
      </c>
      <c r="L38" s="9" t="b">
        <v>0</v>
      </c>
    </row>
    <row r="39" ht="15.75" customHeight="1">
      <c r="A39" s="5">
        <v>1.0</v>
      </c>
      <c r="B39" s="5">
        <v>20154.0</v>
      </c>
      <c r="C39" s="5">
        <v>4519.0</v>
      </c>
      <c r="D39" s="5">
        <v>3902.277194258029</v>
      </c>
      <c r="E39" s="5">
        <v>-1.1159737417943072</v>
      </c>
      <c r="F39" s="5">
        <v>1.5440292141229661</v>
      </c>
      <c r="G39" s="5">
        <v>1.8926837831612364</v>
      </c>
      <c r="H39" s="5">
        <v>-0.7163844854022661</v>
      </c>
      <c r="I39" s="5">
        <v>-0.19045529778642334</v>
      </c>
      <c r="J39" s="5">
        <v>-1.0841536598820811</v>
      </c>
      <c r="K39" s="5">
        <v>15.804177280113318</v>
      </c>
      <c r="L39" s="9" t="b">
        <v>0</v>
      </c>
    </row>
    <row r="40" ht="15.75" customHeight="1">
      <c r="A40" s="5">
        <v>1.0</v>
      </c>
      <c r="B40" s="5">
        <v>20161.0</v>
      </c>
      <c r="C40" s="5">
        <v>4594.0</v>
      </c>
      <c r="D40" s="5">
        <v>3945.759951824608</v>
      </c>
      <c r="E40" s="5">
        <v>1.50243040212108</v>
      </c>
      <c r="F40" s="5">
        <v>1.7807787831046917</v>
      </c>
      <c r="G40" s="5">
        <v>1.3994690299219652</v>
      </c>
      <c r="H40" s="5">
        <v>1.6218628284085268</v>
      </c>
      <c r="I40" s="5">
        <v>0.3628897382913031</v>
      </c>
      <c r="J40" s="5">
        <v>-0.5183054697100842</v>
      </c>
      <c r="K40" s="5">
        <v>16.428775599378053</v>
      </c>
      <c r="L40" s="9" t="b">
        <v>0</v>
      </c>
    </row>
    <row r="41" ht="15.75" customHeight="1">
      <c r="A41" s="5">
        <v>1.0</v>
      </c>
      <c r="B41" s="5">
        <v>20162.0</v>
      </c>
      <c r="C41" s="5">
        <v>4615.0</v>
      </c>
      <c r="D41" s="5">
        <v>3978.8575885126943</v>
      </c>
      <c r="E41" s="5">
        <v>0.19539730785931297</v>
      </c>
      <c r="F41" s="5">
        <v>1.172319732172905</v>
      </c>
      <c r="G41" s="5">
        <v>0.4724549886274382</v>
      </c>
      <c r="H41" s="5">
        <v>0.31777986074321696</v>
      </c>
      <c r="I41" s="5">
        <v>0.3805321132358074</v>
      </c>
      <c r="J41" s="5">
        <v>-0.3429645074223109</v>
      </c>
      <c r="K41" s="5">
        <v>15.988066859289063</v>
      </c>
      <c r="L41" s="9" t="b">
        <v>0</v>
      </c>
    </row>
    <row r="42" ht="15.75" customHeight="1">
      <c r="A42" s="5">
        <v>1.0</v>
      </c>
      <c r="B42" s="5">
        <v>20163.0</v>
      </c>
      <c r="C42" s="5">
        <v>4596.0</v>
      </c>
      <c r="D42" s="5">
        <v>3963.720365268398</v>
      </c>
      <c r="E42" s="5">
        <v>-0.36852373726424803</v>
      </c>
      <c r="F42" s="5">
        <v>0.05333255773045942</v>
      </c>
      <c r="G42" s="5">
        <v>-2.1981343384469136</v>
      </c>
      <c r="H42" s="5">
        <v>0.07197575741448858</v>
      </c>
      <c r="I42" s="5">
        <v>0.323808490290992</v>
      </c>
      <c r="J42" s="5">
        <v>0.013960670533741393</v>
      </c>
      <c r="K42" s="5">
        <v>15.951671068218465</v>
      </c>
      <c r="L42" s="9" t="b">
        <v>0</v>
      </c>
    </row>
    <row r="43" ht="15.75" customHeight="1">
      <c r="A43" s="5">
        <v>1.0</v>
      </c>
      <c r="B43" s="5">
        <v>20164.0</v>
      </c>
      <c r="C43" s="5">
        <v>4505.0</v>
      </c>
      <c r="D43" s="5">
        <v>4071.647273957305</v>
      </c>
      <c r="E43" s="5">
        <v>-0.30980305377296125</v>
      </c>
      <c r="F43" s="5">
        <v>0.2548752297357959</v>
      </c>
      <c r="G43" s="5">
        <v>-1.2891539843871702</v>
      </c>
      <c r="H43" s="5">
        <v>4.340288279584392</v>
      </c>
      <c r="I43" s="5">
        <v>1.5879766815376566</v>
      </c>
      <c r="J43" s="5">
        <v>1.77843197932408</v>
      </c>
      <c r="K43" s="5">
        <v>10.643179452563722</v>
      </c>
      <c r="L43" s="9" t="b">
        <v>0</v>
      </c>
    </row>
    <row r="44" ht="15.75" customHeight="1">
      <c r="A44" s="5">
        <v>1.0</v>
      </c>
      <c r="B44" s="5">
        <v>20171.0</v>
      </c>
      <c r="C44" s="5">
        <v>4612.0</v>
      </c>
      <c r="D44" s="5">
        <v>4013.902795672794</v>
      </c>
      <c r="E44" s="5">
        <v>0.39181541140618226</v>
      </c>
      <c r="F44" s="5">
        <v>-0.02277851794292851</v>
      </c>
      <c r="G44" s="5">
        <v>-1.8035573010476202</v>
      </c>
      <c r="H44" s="5">
        <v>1.7269890890518003</v>
      </c>
      <c r="I44" s="5">
        <v>1.614258246698475</v>
      </c>
      <c r="J44" s="5">
        <v>1.2513685084071717</v>
      </c>
      <c r="K44" s="5">
        <v>14.900639969956098</v>
      </c>
      <c r="L44" s="9" t="b">
        <v>0</v>
      </c>
    </row>
    <row r="45" ht="15.75" customHeight="1">
      <c r="A45" s="5">
        <v>1.0</v>
      </c>
      <c r="B45" s="5">
        <v>20172.0</v>
      </c>
      <c r="C45" s="5">
        <v>4687.0</v>
      </c>
      <c r="D45" s="5">
        <v>4092.375837888053</v>
      </c>
      <c r="E45" s="5">
        <v>1.5601300108342375</v>
      </c>
      <c r="F45" s="5">
        <v>0.3184046578008026</v>
      </c>
      <c r="G45" s="5">
        <v>-0.8539150743721025</v>
      </c>
      <c r="H45" s="5">
        <v>2.8530362509856078</v>
      </c>
      <c r="I45" s="5">
        <v>2.2480723442590724</v>
      </c>
      <c r="J45" s="5">
        <v>1.867540231023265</v>
      </c>
      <c r="K45" s="5">
        <v>14.530047719634997</v>
      </c>
      <c r="L45" s="9" t="b">
        <v>0</v>
      </c>
    </row>
    <row r="46" ht="15.75" customHeight="1">
      <c r="A46" s="5">
        <v>1.0</v>
      </c>
      <c r="B46" s="5">
        <v>20173.0</v>
      </c>
      <c r="C46" s="5">
        <v>4463.0</v>
      </c>
      <c r="D46" s="5">
        <v>4070.447535086876</v>
      </c>
      <c r="E46" s="5">
        <v>-2.8938207136640526</v>
      </c>
      <c r="F46" s="5">
        <v>-0.3129195862991485</v>
      </c>
      <c r="G46" s="5">
        <v>-0.36625214402960793</v>
      </c>
      <c r="H46" s="5">
        <v>2.692600889650576</v>
      </c>
      <c r="I46" s="5">
        <v>2.9032286273180947</v>
      </c>
      <c r="J46" s="5">
        <v>2.579420137027103</v>
      </c>
      <c r="K46" s="5">
        <v>9.643963262745881</v>
      </c>
      <c r="L46" s="9" t="b">
        <v>0</v>
      </c>
    </row>
    <row r="47" ht="15.75" customHeight="1">
      <c r="A47" s="5">
        <v>1.0</v>
      </c>
      <c r="B47" s="5">
        <v>20174.0</v>
      </c>
      <c r="C47" s="5">
        <v>4587.0</v>
      </c>
      <c r="D47" s="5">
        <v>4245.281940600179</v>
      </c>
      <c r="E47" s="5">
        <v>1.8201997780244117</v>
      </c>
      <c r="F47" s="5">
        <v>0.21958112165019472</v>
      </c>
      <c r="G47" s="5">
        <v>-0.035294108085601184</v>
      </c>
      <c r="H47" s="5">
        <v>4.264482037858741</v>
      </c>
      <c r="I47" s="5">
        <v>2.884277066886682</v>
      </c>
      <c r="J47" s="5">
        <v>1.2963003853490254</v>
      </c>
      <c r="K47" s="5">
        <v>8.049360777002024</v>
      </c>
      <c r="L47" s="9" t="b">
        <v>0</v>
      </c>
    </row>
    <row r="48" ht="15.75" customHeight="1">
      <c r="A48" s="5">
        <v>1.0</v>
      </c>
      <c r="B48" s="5">
        <v>20181.0</v>
      </c>
      <c r="C48" s="5">
        <v>4944.0</v>
      </c>
      <c r="D48" s="5">
        <v>4288.246063726333</v>
      </c>
      <c r="E48" s="5">
        <v>7.198612315698183</v>
      </c>
      <c r="F48" s="5">
        <v>1.921280347723195</v>
      </c>
      <c r="G48" s="5">
        <v>1.9440588656661235</v>
      </c>
      <c r="H48" s="5">
        <v>6.834825904336683</v>
      </c>
      <c r="I48" s="5">
        <v>4.161236270707903</v>
      </c>
      <c r="J48" s="5">
        <v>2.546978024009428</v>
      </c>
      <c r="K48" s="5">
        <v>15.291891522284518</v>
      </c>
      <c r="L48" s="9" t="b">
        <v>0</v>
      </c>
    </row>
    <row r="49" ht="15.75" customHeight="1">
      <c r="A49" s="5">
        <v>1.0</v>
      </c>
      <c r="B49" s="5">
        <v>20182.0</v>
      </c>
      <c r="C49" s="5">
        <v>5052.0</v>
      </c>
      <c r="D49" s="5">
        <v>4504.169127331147</v>
      </c>
      <c r="E49" s="5">
        <v>7.787497333048865</v>
      </c>
      <c r="F49" s="5">
        <v>3.478122178276852</v>
      </c>
      <c r="G49" s="5">
        <v>3.1597175204760495</v>
      </c>
      <c r="H49" s="5">
        <v>10.062450414026669</v>
      </c>
      <c r="I49" s="5">
        <v>5.963589811468168</v>
      </c>
      <c r="J49" s="5">
        <v>3.7155174672090956</v>
      </c>
      <c r="K49" s="5">
        <v>12.162750935452959</v>
      </c>
      <c r="L49" s="9" t="b">
        <v>0</v>
      </c>
    </row>
    <row r="50" ht="15.75" customHeight="1">
      <c r="A50" s="5">
        <v>1.0</v>
      </c>
      <c r="B50" s="5">
        <v>20183.0</v>
      </c>
      <c r="C50" s="5">
        <v>5351.0</v>
      </c>
      <c r="D50" s="5">
        <v>4664.791977453663</v>
      </c>
      <c r="E50" s="5">
        <v>19.896930315930984</v>
      </c>
      <c r="F50" s="5">
        <v>9.17580993567561</v>
      </c>
      <c r="G50" s="5">
        <v>9.48872952197476</v>
      </c>
      <c r="H50" s="5">
        <v>14.601451983930346</v>
      </c>
      <c r="I50" s="5">
        <v>8.94080258503811</v>
      </c>
      <c r="J50" s="5">
        <v>6.037573957720015</v>
      </c>
      <c r="K50" s="5">
        <v>14.710367061660756</v>
      </c>
      <c r="L50" s="9" t="b">
        <v>0</v>
      </c>
    </row>
    <row r="51" ht="15.75" customHeight="1">
      <c r="A51" s="5">
        <v>1.0</v>
      </c>
      <c r="B51" s="5">
        <v>20184.0</v>
      </c>
      <c r="C51" s="5">
        <v>5385.0</v>
      </c>
      <c r="D51" s="5">
        <v>4750.926339111606</v>
      </c>
      <c r="E51" s="5">
        <v>17.39699149771092</v>
      </c>
      <c r="F51" s="5">
        <v>13.070007865597239</v>
      </c>
      <c r="G51" s="5">
        <v>12.850426743947043</v>
      </c>
      <c r="H51" s="5">
        <v>11.910737745722976</v>
      </c>
      <c r="I51" s="5">
        <v>10.852366512004169</v>
      </c>
      <c r="J51" s="5">
        <v>7.968089445117487</v>
      </c>
      <c r="K51" s="5">
        <v>13.346316394519441</v>
      </c>
      <c r="L51" s="9" t="b">
        <v>0</v>
      </c>
    </row>
    <row r="52" ht="15.75" customHeight="1">
      <c r="A52" s="5">
        <v>1.0</v>
      </c>
      <c r="B52" s="5">
        <v>20191.0</v>
      </c>
      <c r="C52" s="5">
        <v>5422.0</v>
      </c>
      <c r="D52" s="5">
        <v>4907.032767639019</v>
      </c>
      <c r="E52" s="5">
        <v>9.66828478964401</v>
      </c>
      <c r="F52" s="5">
        <v>13.687425984083696</v>
      </c>
      <c r="G52" s="5">
        <v>11.7661456363605</v>
      </c>
      <c r="H52" s="5">
        <v>14.429832027292356</v>
      </c>
      <c r="I52" s="5">
        <v>12.751118042743087</v>
      </c>
      <c r="J52" s="5">
        <v>8.589881772035184</v>
      </c>
      <c r="K52" s="5">
        <v>10.494473070510058</v>
      </c>
      <c r="L52" s="9" t="b">
        <v>0</v>
      </c>
    </row>
    <row r="53" ht="15.75" customHeight="1">
      <c r="A53" s="5">
        <v>1.0</v>
      </c>
      <c r="B53" s="5">
        <v>20192.0</v>
      </c>
      <c r="C53" s="5">
        <v>5620.0</v>
      </c>
      <c r="D53" s="5">
        <v>5125.173682971177</v>
      </c>
      <c r="E53" s="5">
        <v>11.243072050673009</v>
      </c>
      <c r="F53" s="5">
        <v>14.551319663489732</v>
      </c>
      <c r="G53" s="5">
        <v>11.07319748521288</v>
      </c>
      <c r="H53" s="5">
        <v>13.787327653213444</v>
      </c>
      <c r="I53" s="5">
        <v>13.682337352539781</v>
      </c>
      <c r="J53" s="5">
        <v>7.718747541071613</v>
      </c>
      <c r="K53" s="5">
        <v>9.654820453654578</v>
      </c>
      <c r="L53" s="9" t="b">
        <v>0</v>
      </c>
    </row>
    <row r="54" ht="15.75" customHeight="1">
      <c r="A54" s="5">
        <v>1.0</v>
      </c>
      <c r="B54" s="5">
        <v>20193.0</v>
      </c>
      <c r="C54" s="5">
        <v>5583.768922585183</v>
      </c>
      <c r="D54" s="5">
        <v>5324.237914979771</v>
      </c>
      <c r="E54" s="5">
        <v>4.350007897312325</v>
      </c>
      <c r="F54" s="5">
        <v>10.664589058835066</v>
      </c>
      <c r="G54" s="5">
        <v>1.4887791231594552</v>
      </c>
      <c r="H54" s="5">
        <v>14.13666334347614</v>
      </c>
      <c r="I54" s="5">
        <v>13.566140192426229</v>
      </c>
      <c r="J54" s="5">
        <v>4.6253376073881185</v>
      </c>
      <c r="K54" s="5">
        <v>4.874519353750517</v>
      </c>
      <c r="L54" s="9" t="b">
        <v>0</v>
      </c>
    </row>
    <row r="55" ht="15.75" customHeight="1">
      <c r="A55" s="5">
        <v>1.0</v>
      </c>
      <c r="B55" s="5">
        <v>20194.0</v>
      </c>
      <c r="C55" s="5">
        <v>5687.500330845085</v>
      </c>
      <c r="D55" s="5">
        <v>5372.533679168149</v>
      </c>
      <c r="E55" s="5">
        <v>5.617462039834442</v>
      </c>
      <c r="F55" s="5">
        <v>7.7197066943659465</v>
      </c>
      <c r="G55" s="5">
        <v>-5.350301171231292</v>
      </c>
      <c r="H55" s="5">
        <v>13.083918707373199</v>
      </c>
      <c r="I55" s="5">
        <v>13.859435432838785</v>
      </c>
      <c r="J55" s="5">
        <v>3.007068920834616</v>
      </c>
      <c r="K55" s="5">
        <v>5.862534708683365</v>
      </c>
      <c r="L55" s="9" t="b">
        <v>0</v>
      </c>
    </row>
    <row r="56" ht="15.75" customHeight="1">
      <c r="A56" s="5">
        <v>1.0</v>
      </c>
      <c r="B56" s="5">
        <v>20201.0</v>
      </c>
      <c r="C56" s="5">
        <v>5838.748813888861</v>
      </c>
      <c r="D56" s="5">
        <v>5584.231841900306</v>
      </c>
      <c r="E56" s="5">
        <v>7.686256250255652</v>
      </c>
      <c r="F56" s="5">
        <v>7.224199559518857</v>
      </c>
      <c r="G56" s="5">
        <v>-6.463226424564839</v>
      </c>
      <c r="H56" s="5">
        <v>13.800581865425698</v>
      </c>
      <c r="I56" s="5">
        <v>13.70212289237212</v>
      </c>
      <c r="J56" s="5">
        <v>0.9510048496290331</v>
      </c>
      <c r="K56" s="5">
        <v>4.5577794617843725</v>
      </c>
      <c r="L56" s="9" t="b">
        <v>0</v>
      </c>
    </row>
    <row r="57" ht="15.75" customHeight="1">
      <c r="A57" s="5">
        <v>1.0</v>
      </c>
      <c r="B57" s="5">
        <v>20202.0</v>
      </c>
      <c r="C57" s="5">
        <v>5810.964186595303</v>
      </c>
      <c r="D57" s="5">
        <v>5766.328507848444</v>
      </c>
      <c r="E57" s="5">
        <v>3.397939263261618</v>
      </c>
      <c r="F57" s="5">
        <v>5.262916362666009</v>
      </c>
      <c r="G57" s="5">
        <v>-9.288403300823724</v>
      </c>
      <c r="H57" s="5">
        <v>12.509914093400543</v>
      </c>
      <c r="I57" s="5">
        <v>13.382769502418896</v>
      </c>
      <c r="J57" s="5">
        <v>-0.2995678501208854</v>
      </c>
      <c r="K57" s="5">
        <v>0.7740745031453944</v>
      </c>
      <c r="L57" s="9" t="b">
        <v>0</v>
      </c>
    </row>
    <row r="58" ht="15.75" customHeight="1">
      <c r="A58" s="5">
        <v>1.0</v>
      </c>
      <c r="B58" s="5">
        <v>20203.0</v>
      </c>
      <c r="C58" s="5">
        <v>5827.245071048387</v>
      </c>
      <c r="D58" s="5">
        <v>5856.654063979744</v>
      </c>
      <c r="E58" s="5">
        <v>4.360426655164651</v>
      </c>
      <c r="F58" s="5">
        <v>5.265521052129091</v>
      </c>
      <c r="G58" s="5">
        <v>-5.399068006705975</v>
      </c>
      <c r="H58" s="5">
        <v>9.999856458367828</v>
      </c>
      <c r="I58" s="5">
        <v>12.348567781141817</v>
      </c>
      <c r="J58" s="5">
        <v>-1.2175724112844115</v>
      </c>
      <c r="K58" s="5">
        <v>-0.5021466627546101</v>
      </c>
      <c r="L58" s="9" t="b">
        <v>0</v>
      </c>
    </row>
    <row r="59" ht="15.75" customHeight="1">
      <c r="A59" s="5">
        <v>1.0</v>
      </c>
      <c r="B59" s="5">
        <v>20204.0</v>
      </c>
      <c r="C59" s="5">
        <v>5816.133262470686</v>
      </c>
      <c r="D59" s="5">
        <v>5906.00855171216</v>
      </c>
      <c r="E59" s="5">
        <v>2.261677787128802</v>
      </c>
      <c r="F59" s="5">
        <v>4.42657498895268</v>
      </c>
      <c r="G59" s="5">
        <v>-3.2931317054132663</v>
      </c>
      <c r="H59" s="5">
        <v>9.929670140785607</v>
      </c>
      <c r="I59" s="5">
        <v>11.56000563949492</v>
      </c>
      <c r="J59" s="5">
        <v>-2.299429793343865</v>
      </c>
      <c r="K59" s="5">
        <v>-1.5217602286644039</v>
      </c>
      <c r="L59" s="9" t="b">
        <v>0</v>
      </c>
    </row>
    <row r="60" ht="15.75" customHeight="1">
      <c r="A60" s="5">
        <v>1.0</v>
      </c>
      <c r="B60" s="5">
        <v>20211.0</v>
      </c>
      <c r="C60" s="5">
        <v>6024.499424769682</v>
      </c>
      <c r="D60" s="5">
        <v>5991.148485400208</v>
      </c>
      <c r="E60" s="5">
        <v>3.1813427294383523</v>
      </c>
      <c r="F60" s="5">
        <v>3.3003466087483555</v>
      </c>
      <c r="G60" s="5">
        <v>-3.923852950770501</v>
      </c>
      <c r="H60" s="5">
        <v>7.2868866304345525</v>
      </c>
      <c r="I60" s="5">
        <v>9.931581830747133</v>
      </c>
      <c r="J60" s="5">
        <v>-3.7705410616249875</v>
      </c>
      <c r="K60" s="5">
        <v>0.556670218585742</v>
      </c>
      <c r="L60" s="9" t="b">
        <v>0</v>
      </c>
    </row>
    <row r="61" ht="15.75" customHeight="1">
      <c r="A61" s="5">
        <v>1.0</v>
      </c>
      <c r="B61" s="5">
        <v>20212.0</v>
      </c>
      <c r="C61" s="5">
        <v>6370.346742575285</v>
      </c>
      <c r="D61" s="5">
        <v>6206.05423928546</v>
      </c>
      <c r="E61" s="5">
        <v>9.6263294354896</v>
      </c>
      <c r="F61" s="5">
        <v>4.8574441518053515</v>
      </c>
      <c r="G61" s="5">
        <v>-0.40547221086065743</v>
      </c>
      <c r="H61" s="5">
        <v>7.625748877097682</v>
      </c>
      <c r="I61" s="5">
        <v>8.71054052667142</v>
      </c>
      <c r="J61" s="5">
        <v>-4.672228975747476</v>
      </c>
      <c r="K61" s="5">
        <v>2.647294028624869</v>
      </c>
      <c r="L61" s="9" t="b">
        <v>0</v>
      </c>
    </row>
    <row r="62" ht="15.75" customHeight="1">
      <c r="A62" s="5">
        <v>1.0</v>
      </c>
      <c r="B62" s="5">
        <v>20213.0</v>
      </c>
      <c r="C62" s="5">
        <v>6713.791177685163</v>
      </c>
      <c r="D62" s="5">
        <v>6356.864338702393</v>
      </c>
      <c r="E62" s="5">
        <v>15.213811944196753</v>
      </c>
      <c r="F62" s="5">
        <v>7.570790474063377</v>
      </c>
      <c r="G62" s="5">
        <v>2.3052694219342857</v>
      </c>
      <c r="H62" s="5">
        <v>8.540888180490281</v>
      </c>
      <c r="I62" s="5">
        <v>8.345798457202031</v>
      </c>
      <c r="J62" s="5">
        <v>-4.002769323939786</v>
      </c>
      <c r="K62" s="5">
        <v>5.614825485730424</v>
      </c>
      <c r="L62" s="9" t="b">
        <v>0</v>
      </c>
    </row>
    <row r="63" ht="15.75" customHeight="1">
      <c r="A63" s="5">
        <v>1.0</v>
      </c>
      <c r="B63" s="5">
        <v>20214.0</v>
      </c>
      <c r="C63" s="5">
        <v>7575.857589131573</v>
      </c>
      <c r="D63" s="5">
        <v>6611.500842674748</v>
      </c>
      <c r="E63" s="5">
        <v>30.255914836335073</v>
      </c>
      <c r="F63" s="5">
        <v>14.569349736364945</v>
      </c>
      <c r="G63" s="5">
        <v>10.142774747412265</v>
      </c>
      <c r="H63" s="5">
        <v>11.945331348327715</v>
      </c>
      <c r="I63" s="5">
        <v>8.849713759087559</v>
      </c>
      <c r="J63" s="5">
        <v>-2.710291880407361</v>
      </c>
      <c r="K63" s="5">
        <v>14.58604890787074</v>
      </c>
      <c r="L63" s="9" t="b">
        <v>0</v>
      </c>
    </row>
    <row r="64" ht="15.75" customHeight="1">
      <c r="A64" s="5">
        <v>1.0</v>
      </c>
      <c r="B64" s="5">
        <v>20221.0</v>
      </c>
      <c r="C64" s="5">
        <v>8035.588826412512</v>
      </c>
      <c r="D64" s="5">
        <v>6977.3368302095405</v>
      </c>
      <c r="E64" s="5">
        <v>33.38185067084996</v>
      </c>
      <c r="F64" s="5">
        <v>22.119476721717845</v>
      </c>
      <c r="G64" s="5">
        <v>18.81913011296949</v>
      </c>
      <c r="H64" s="5">
        <v>16.46075618410341</v>
      </c>
      <c r="I64" s="5">
        <v>11.143181147504773</v>
      </c>
      <c r="J64" s="5">
        <v>1.2115993167576402</v>
      </c>
      <c r="K64" s="5">
        <v>15.166990242195189</v>
      </c>
      <c r="L64" s="9" t="b">
        <v>0</v>
      </c>
    </row>
    <row r="65" ht="15.75" customHeight="1">
      <c r="A65" s="5">
        <v>1.0</v>
      </c>
      <c r="B65" s="5">
        <v>20222.0</v>
      </c>
      <c r="C65" s="5">
        <v>8395.829624508244</v>
      </c>
      <c r="D65" s="5">
        <v>7528.773932358539</v>
      </c>
      <c r="E65" s="5">
        <v>31.795488750964495</v>
      </c>
      <c r="F65" s="5">
        <v>27.66176655058657</v>
      </c>
      <c r="G65" s="5">
        <v>22.804322398781217</v>
      </c>
      <c r="H65" s="5">
        <v>21.3133762947159</v>
      </c>
      <c r="I65" s="5">
        <v>14.565088001909327</v>
      </c>
      <c r="J65" s="5">
        <v>5.854547475237908</v>
      </c>
      <c r="K65" s="5">
        <v>11.516559003360616</v>
      </c>
      <c r="L65" s="9" t="b">
        <v>0</v>
      </c>
    </row>
    <row r="66" ht="15.75" customHeight="1">
      <c r="A66" s="5">
        <v>1.0</v>
      </c>
      <c r="B66" s="5">
        <v>20223.0</v>
      </c>
      <c r="C66" s="5">
        <v>8448.746010790099</v>
      </c>
      <c r="D66" s="5">
        <v>7539.404508482211</v>
      </c>
      <c r="E66" s="5">
        <v>25.841656184831297</v>
      </c>
      <c r="F66" s="5">
        <v>30.318727610745206</v>
      </c>
      <c r="G66" s="5">
        <v>22.74793713668183</v>
      </c>
      <c r="H66" s="5">
        <v>18.602570493445604</v>
      </c>
      <c r="I66" s="5">
        <v>17.08050858014816</v>
      </c>
      <c r="J66" s="5">
        <v>8.734710122946128</v>
      </c>
      <c r="K66" s="5">
        <v>12.061184690181204</v>
      </c>
      <c r="L66" s="9" t="b">
        <v>0</v>
      </c>
    </row>
    <row r="67" ht="15.75" customHeight="1">
      <c r="A67" s="5">
        <v>1.0</v>
      </c>
      <c r="B67" s="5">
        <v>20224.0</v>
      </c>
      <c r="C67" s="5">
        <v>8473.809450277853</v>
      </c>
      <c r="D67" s="5">
        <v>7364.855407987919</v>
      </c>
      <c r="E67" s="5">
        <v>11.852808089139554</v>
      </c>
      <c r="F67" s="5">
        <v>25.717950923946326</v>
      </c>
      <c r="G67" s="5">
        <v>11.14860118758138</v>
      </c>
      <c r="H67" s="5">
        <v>11.394607415770874</v>
      </c>
      <c r="I67" s="5">
        <v>16.94282759700895</v>
      </c>
      <c r="J67" s="5">
        <v>8.093113837921392</v>
      </c>
      <c r="K67" s="5">
        <v>15.057376972902459</v>
      </c>
      <c r="L67" s="9" t="b">
        <v>0</v>
      </c>
    </row>
    <row r="68" ht="15.75" customHeight="1">
      <c r="A68" s="5">
        <v>1.0</v>
      </c>
      <c r="B68" s="5">
        <v>20231.0</v>
      </c>
      <c r="C68" s="5">
        <v>8389.74387925967</v>
      </c>
      <c r="D68" s="5">
        <v>7307.892218137222</v>
      </c>
      <c r="E68" s="5">
        <v>4.407331690281002</v>
      </c>
      <c r="F68" s="5">
        <v>18.474321178804086</v>
      </c>
      <c r="G68" s="5">
        <v>-3.645155542913759</v>
      </c>
      <c r="H68" s="5">
        <v>4.737558125279073</v>
      </c>
      <c r="I68" s="5">
        <v>14.012028082302864</v>
      </c>
      <c r="J68" s="5">
        <v>2.868846934798091</v>
      </c>
      <c r="K68" s="5">
        <v>14.803880911618194</v>
      </c>
      <c r="L68" s="9" t="b">
        <v>0</v>
      </c>
    </row>
    <row r="69" ht="15.75" customHeight="1">
      <c r="A69" s="5">
        <v>1.0</v>
      </c>
      <c r="B69" s="5">
        <v>20232.0</v>
      </c>
      <c r="C69" s="5">
        <v>8527.944771090226</v>
      </c>
      <c r="D69" s="5">
        <v>7384.942669204018</v>
      </c>
      <c r="E69" s="5">
        <v>1.5735806047841416</v>
      </c>
      <c r="F69" s="5">
        <v>10.918844142259</v>
      </c>
      <c r="G69" s="5">
        <v>-16.742922408327573</v>
      </c>
      <c r="H69" s="5">
        <v>-1.910420799545287</v>
      </c>
      <c r="I69" s="5">
        <v>8.206078808737566</v>
      </c>
      <c r="J69" s="5">
        <v>-6.359009193171762</v>
      </c>
      <c r="K69" s="5">
        <v>15.477467504963126</v>
      </c>
      <c r="L69" s="9" t="b">
        <v>0</v>
      </c>
    </row>
    <row r="70" ht="15.75" customHeight="1">
      <c r="A70" s="5">
        <v>1.0</v>
      </c>
      <c r="B70" s="5">
        <v>20233.0</v>
      </c>
      <c r="C70" s="5">
        <v>8503.319320124983</v>
      </c>
      <c r="D70" s="5">
        <v>7683.96301389715</v>
      </c>
      <c r="E70" s="5">
        <v>0.6459338375800039</v>
      </c>
      <c r="F70" s="5">
        <v>4.619913555446176</v>
      </c>
      <c r="G70" s="5">
        <v>-25.69881405529903</v>
      </c>
      <c r="H70" s="5">
        <v>1.9173729868493306</v>
      </c>
      <c r="I70" s="5">
        <v>4.034779432088499</v>
      </c>
      <c r="J70" s="5">
        <v>-13.04572914805966</v>
      </c>
      <c r="K70" s="5">
        <v>10.663199507154753</v>
      </c>
      <c r="L70" s="9" t="b">
        <v>0</v>
      </c>
    </row>
    <row r="71" ht="15.75" customHeight="1">
      <c r="A71" s="5">
        <v>1.0</v>
      </c>
      <c r="B71" s="5">
        <v>20234.0</v>
      </c>
      <c r="C71" s="5">
        <v>9383.85950155432</v>
      </c>
      <c r="D71" s="5">
        <v>7910.108470192573</v>
      </c>
      <c r="E71" s="5">
        <v>10.739562372937538</v>
      </c>
      <c r="F71" s="5">
        <v>4.341602126395672</v>
      </c>
      <c r="G71" s="5">
        <v>-21.376348797550655</v>
      </c>
      <c r="H71" s="5">
        <v>7.403445580388079</v>
      </c>
      <c r="I71" s="5">
        <v>3.0369889732428</v>
      </c>
      <c r="J71" s="5">
        <v>-13.90583862376615</v>
      </c>
      <c r="K71" s="5">
        <v>18.631236688033283</v>
      </c>
      <c r="L71" s="9" t="b">
        <v>0</v>
      </c>
    </row>
    <row r="72" ht="15.75" customHeight="1">
      <c r="A72" s="5">
        <v>1.0</v>
      </c>
      <c r="B72" s="5">
        <v>20241.0</v>
      </c>
      <c r="C72" s="5">
        <v>9774.94616705023</v>
      </c>
      <c r="D72" s="5">
        <v>8365.062141371342</v>
      </c>
      <c r="E72" s="5">
        <v>16.510662395963305</v>
      </c>
      <c r="F72" s="5">
        <v>7.3674348028162475</v>
      </c>
      <c r="G72" s="5">
        <v>-11.106886375987838</v>
      </c>
      <c r="H72" s="5">
        <v>14.466140053494003</v>
      </c>
      <c r="I72" s="5">
        <v>5.469134455296532</v>
      </c>
      <c r="J72" s="5">
        <v>-8.542893627006332</v>
      </c>
      <c r="K72" s="5">
        <v>16.854435769293108</v>
      </c>
      <c r="L72" s="9" t="b">
        <v>0</v>
      </c>
    </row>
    <row r="73" ht="15.75" customHeight="1">
      <c r="A73" s="5">
        <v>1.0</v>
      </c>
      <c r="B73" s="5">
        <v>20242.0</v>
      </c>
      <c r="C73" s="5">
        <v>10129.0650022547</v>
      </c>
      <c r="D73" s="5">
        <v>8799.52684700416</v>
      </c>
      <c r="E73" s="5">
        <v>18.77498358798335</v>
      </c>
      <c r="F73" s="5">
        <v>11.667785548616049</v>
      </c>
      <c r="G73" s="5">
        <v>0.7489414063570496</v>
      </c>
      <c r="H73" s="5">
        <v>19.15497846312477</v>
      </c>
      <c r="I73" s="5">
        <v>10.735484270964047</v>
      </c>
      <c r="J73" s="5">
        <v>2.5294054622264817</v>
      </c>
      <c r="K73" s="5">
        <v>15.10920051006137</v>
      </c>
      <c r="L73" s="9" t="b">
        <v>0</v>
      </c>
    </row>
    <row r="74" ht="15.75" customHeight="1">
      <c r="A74" s="5">
        <v>1.0</v>
      </c>
      <c r="B74" s="5">
        <v>20243.0</v>
      </c>
      <c r="C74" s="5">
        <v>10444.4323347705</v>
      </c>
      <c r="D74" s="5">
        <v>9098.13681661522</v>
      </c>
      <c r="E74" s="5">
        <v>22.82770929290452</v>
      </c>
      <c r="F74" s="5">
        <v>17.213229412447177</v>
      </c>
      <c r="G74" s="5">
        <v>12.593315857001002</v>
      </c>
      <c r="H74" s="5">
        <v>18.40422448885306</v>
      </c>
      <c r="I74" s="5">
        <v>14.85719714646498</v>
      </c>
      <c r="J74" s="5">
        <v>10.822417714376481</v>
      </c>
      <c r="K74" s="5">
        <v>14.797485961044732</v>
      </c>
      <c r="L74" s="9" t="b">
        <v>0</v>
      </c>
    </row>
    <row r="75" ht="15.75" customHeight="1">
      <c r="A75" s="5">
        <v>1.0</v>
      </c>
      <c r="B75" s="5">
        <v>20244.0</v>
      </c>
      <c r="C75" s="5">
        <v>10235.5011408359</v>
      </c>
      <c r="D75" s="5">
        <v>9172.30169942611</v>
      </c>
      <c r="E75" s="5">
        <v>9.07560092028783</v>
      </c>
      <c r="F75" s="5">
        <v>16.797239049284748</v>
      </c>
      <c r="G75" s="5">
        <v>12.455636922889077</v>
      </c>
      <c r="H75" s="5">
        <v>15.956712022215914</v>
      </c>
      <c r="I75" s="5">
        <v>16.995513756921937</v>
      </c>
      <c r="J75" s="5">
        <v>13.958524783679138</v>
      </c>
      <c r="K75" s="5">
        <v>11.591413761240666</v>
      </c>
      <c r="L75" s="9" t="b">
        <v>0</v>
      </c>
    </row>
    <row r="76" ht="15.75" customHeight="1">
      <c r="A76" s="5">
        <v>1.0</v>
      </c>
      <c r="B76" s="5">
        <v>20251.0</v>
      </c>
      <c r="C76" s="5">
        <v>10291.2793363605</v>
      </c>
      <c r="D76" s="5">
        <v>9577.676132715762</v>
      </c>
      <c r="E76" s="5">
        <v>5.282209850431152</v>
      </c>
      <c r="F76" s="5">
        <v>13.990125912901712</v>
      </c>
      <c r="G76" s="5">
        <v>6.622691110085465</v>
      </c>
      <c r="H76" s="5">
        <v>14.49617433619721</v>
      </c>
      <c r="I76" s="5">
        <v>17.00302232759774</v>
      </c>
      <c r="J76" s="5">
        <v>11.533887872301207</v>
      </c>
      <c r="K76" s="5">
        <v>7.450692566302042</v>
      </c>
      <c r="L76" s="9" t="b">
        <v>0</v>
      </c>
    </row>
    <row r="77" ht="15.75" customHeight="1">
      <c r="A77" s="5">
        <v>1.0</v>
      </c>
      <c r="B77" s="5">
        <v>20252.0</v>
      </c>
      <c r="C77" s="5">
        <v>10457.1490381106</v>
      </c>
      <c r="D77" s="5">
        <v>9419.771090433444</v>
      </c>
      <c r="E77" s="5">
        <v>3.23903574301152</v>
      </c>
      <c r="F77" s="5">
        <v>10.106138951658755</v>
      </c>
      <c r="G77" s="5">
        <v>-1.561646596957294</v>
      </c>
      <c r="H77" s="5">
        <v>7.048609024250552</v>
      </c>
      <c r="I77" s="5">
        <v>13.976429967879184</v>
      </c>
      <c r="J77" s="5">
        <v>3.240945696915137</v>
      </c>
      <c r="K77" s="5">
        <v>11.012772366949552</v>
      </c>
      <c r="L77" s="9" t="b">
        <v>0</v>
      </c>
    </row>
    <row r="78" ht="15.75" customHeight="1">
      <c r="A78" s="5">
        <v>1.0</v>
      </c>
      <c r="B78" s="5">
        <v>20253.0</v>
      </c>
      <c r="C78" s="5">
        <v>10061.4848135875</v>
      </c>
      <c r="D78" s="5">
        <v>9548.183910516947</v>
      </c>
      <c r="E78" s="5">
        <v>-3.666523070939254</v>
      </c>
      <c r="F78" s="5">
        <v>3.482580860697812</v>
      </c>
      <c r="G78" s="5">
        <v>-13.730648551749365</v>
      </c>
      <c r="H78" s="5">
        <v>4.946585251167468</v>
      </c>
      <c r="I78" s="5">
        <v>10.612020158457787</v>
      </c>
      <c r="J78" s="5">
        <v>-4.245176988007193</v>
      </c>
      <c r="K78" s="5">
        <v>5.375900882105666</v>
      </c>
      <c r="L78" s="9" t="b">
        <v>0</v>
      </c>
    </row>
    <row r="79" ht="15.75" customHeight="1">
      <c r="A79" s="5">
        <v>1.0</v>
      </c>
      <c r="B79" s="5">
        <v>20254.0</v>
      </c>
      <c r="C79" s="5">
        <v>10582.3807804775</v>
      </c>
      <c r="D79" s="5">
        <v>9371.655206489098</v>
      </c>
      <c r="E79" s="5">
        <v>3.3889854035351163</v>
      </c>
      <c r="F79" s="5">
        <v>2.060926981509634</v>
      </c>
      <c r="G79" s="5">
        <v>-14.736312067775113</v>
      </c>
      <c r="H79" s="5">
        <v>2.1734294574660584</v>
      </c>
      <c r="I79" s="5">
        <v>7.166199517270323</v>
      </c>
      <c r="J79" s="5">
        <v>-9.829314239651614</v>
      </c>
      <c r="K79" s="5">
        <v>12.919015342669393</v>
      </c>
      <c r="L79" s="9" t="b">
        <v>0</v>
      </c>
    </row>
    <row r="80" ht="15.75" customHeight="1">
      <c r="A80" s="5">
        <v>1.0</v>
      </c>
      <c r="B80" s="5">
        <v>20261.0</v>
      </c>
      <c r="C80" s="5">
        <v>10650.478614076</v>
      </c>
      <c r="D80" s="5">
        <v>9164.672445605576</v>
      </c>
      <c r="E80" s="5">
        <v>3.490326770612473</v>
      </c>
      <c r="F80" s="5">
        <v>1.6129562115549638</v>
      </c>
      <c r="G80" s="5">
        <v>-12.377169701346748</v>
      </c>
      <c r="H80" s="5">
        <v>-4.312149224794027</v>
      </c>
      <c r="I80" s="5">
        <v>2.464118627022514</v>
      </c>
      <c r="J80" s="5">
        <v>-14.538903700575226</v>
      </c>
      <c r="K80" s="5">
        <v>16.21232157820176</v>
      </c>
      <c r="L80" s="9" t="b">
        <v>0</v>
      </c>
    </row>
    <row r="81" ht="15.75" customHeight="1">
      <c r="A81" s="5">
        <v>1.0</v>
      </c>
      <c r="B81" s="5">
        <v>20262.0</v>
      </c>
      <c r="C81" s="5">
        <v>10926.218780942</v>
      </c>
      <c r="D81" s="5">
        <v>9403.131809282217</v>
      </c>
      <c r="E81" s="5">
        <v>4.48563696588713</v>
      </c>
      <c r="F81" s="5">
        <v>1.9246065172738662</v>
      </c>
      <c r="G81" s="5">
        <v>-8.181532434384888</v>
      </c>
      <c r="H81" s="5">
        <v>-0.17664209662298092</v>
      </c>
      <c r="I81" s="5">
        <v>0.6578058468041306</v>
      </c>
      <c r="J81" s="5">
        <v>-13.318624121075054</v>
      </c>
      <c r="K81" s="5">
        <v>16.19765629740808</v>
      </c>
      <c r="L81" s="9" t="b">
        <v>0</v>
      </c>
    </row>
    <row r="82" ht="15.75" customHeight="1">
      <c r="A82" s="5">
        <v>2.0</v>
      </c>
      <c r="B82" s="5">
        <v>20063.0</v>
      </c>
      <c r="C82" s="5">
        <v>2663.0</v>
      </c>
      <c r="D82" s="5">
        <v>2371.631981372549</v>
      </c>
      <c r="K82" s="5">
        <v>12.285549398723571</v>
      </c>
      <c r="L82" s="9" t="b">
        <v>0</v>
      </c>
    </row>
    <row r="83" ht="15.75" customHeight="1">
      <c r="A83" s="5">
        <v>2.0</v>
      </c>
      <c r="B83" s="5">
        <v>20064.0</v>
      </c>
      <c r="C83" s="5">
        <v>2811.0</v>
      </c>
      <c r="D83" s="5">
        <v>2560.446647075211</v>
      </c>
      <c r="K83" s="5">
        <v>9.785533051860117</v>
      </c>
      <c r="L83" s="9" t="b">
        <v>0</v>
      </c>
    </row>
    <row r="84" ht="15.75" customHeight="1">
      <c r="A84" s="5">
        <v>2.0</v>
      </c>
      <c r="B84" s="5">
        <v>20071.0</v>
      </c>
      <c r="C84" s="5">
        <v>3017.0</v>
      </c>
      <c r="D84" s="5">
        <v>3056.2225744927537</v>
      </c>
      <c r="K84" s="5">
        <v>-1.2833677370262753</v>
      </c>
      <c r="L84" s="9" t="b">
        <v>0</v>
      </c>
    </row>
    <row r="85" ht="15.75" customHeight="1">
      <c r="A85" s="5">
        <v>2.0</v>
      </c>
      <c r="B85" s="5">
        <v>20072.0</v>
      </c>
      <c r="C85" s="5">
        <v>4092.0</v>
      </c>
      <c r="D85" s="5">
        <v>3706.4494646496814</v>
      </c>
      <c r="K85" s="5">
        <v>10.402152761760618</v>
      </c>
      <c r="L85" s="9" t="b">
        <v>0</v>
      </c>
    </row>
    <row r="86" ht="15.75" customHeight="1">
      <c r="A86" s="5">
        <v>2.0</v>
      </c>
      <c r="B86" s="5">
        <v>20073.0</v>
      </c>
      <c r="C86" s="5">
        <v>4466.0</v>
      </c>
      <c r="D86" s="5">
        <v>3885.921037931033</v>
      </c>
      <c r="E86" s="5">
        <v>67.70559519339092</v>
      </c>
      <c r="H86" s="5">
        <v>63.85008586712135</v>
      </c>
      <c r="K86" s="5">
        <v>14.92770842244948</v>
      </c>
      <c r="L86" s="9" t="b">
        <v>0</v>
      </c>
    </row>
    <row r="87" ht="15.75" customHeight="1">
      <c r="A87" s="5">
        <v>2.0</v>
      </c>
      <c r="B87" s="5">
        <v>20074.0</v>
      </c>
      <c r="C87" s="5">
        <v>4582.0</v>
      </c>
      <c r="D87" s="5">
        <v>3888.704021276595</v>
      </c>
      <c r="E87" s="5">
        <v>63.00249021700461</v>
      </c>
      <c r="H87" s="5">
        <v>51.876002795006414</v>
      </c>
      <c r="K87" s="5">
        <v>17.828458399768053</v>
      </c>
      <c r="L87" s="9" t="b">
        <v>0</v>
      </c>
    </row>
    <row r="88" ht="15.75" customHeight="1">
      <c r="A88" s="5">
        <v>2.0</v>
      </c>
      <c r="B88" s="5">
        <v>20081.0</v>
      </c>
      <c r="C88" s="5">
        <v>4540.0</v>
      </c>
      <c r="D88" s="5">
        <v>3750.764279505301</v>
      </c>
      <c r="E88" s="5">
        <v>50.48060987736163</v>
      </c>
      <c r="H88" s="5">
        <v>22.725494890627253</v>
      </c>
      <c r="K88" s="5">
        <v>21.041997355237505</v>
      </c>
      <c r="L88" s="9" t="b">
        <v>0</v>
      </c>
    </row>
    <row r="89" ht="15.75" customHeight="1">
      <c r="A89" s="5">
        <v>2.0</v>
      </c>
      <c r="B89" s="5">
        <v>20082.0</v>
      </c>
      <c r="C89" s="5">
        <v>4982.0</v>
      </c>
      <c r="D89" s="5">
        <v>3870.438238557996</v>
      </c>
      <c r="E89" s="5">
        <v>21.749755620723366</v>
      </c>
      <c r="F89" s="5">
        <v>50.73461272712013</v>
      </c>
      <c r="H89" s="5">
        <v>4.424416829970568</v>
      </c>
      <c r="I89" s="5">
        <v>35.719000095681395</v>
      </c>
      <c r="K89" s="5">
        <v>28.719273966664225</v>
      </c>
      <c r="L89" s="9" t="b">
        <v>0</v>
      </c>
    </row>
    <row r="90" ht="15.75" customHeight="1">
      <c r="A90" s="5">
        <v>2.0</v>
      </c>
      <c r="B90" s="5">
        <v>20083.0</v>
      </c>
      <c r="C90" s="5">
        <v>4670.0</v>
      </c>
      <c r="D90" s="5">
        <v>3851.2526715346553</v>
      </c>
      <c r="E90" s="5">
        <v>4.56784594715629</v>
      </c>
      <c r="F90" s="5">
        <v>34.95017541556148</v>
      </c>
      <c r="H90" s="5">
        <v>-0.8921531358453971</v>
      </c>
      <c r="I90" s="5">
        <v>19.53344034493971</v>
      </c>
      <c r="K90" s="5">
        <v>21.25924727081301</v>
      </c>
      <c r="L90" s="9" t="b">
        <v>0</v>
      </c>
    </row>
    <row r="91" ht="15.75" customHeight="1">
      <c r="A91" s="5">
        <v>2.0</v>
      </c>
      <c r="B91" s="5">
        <v>20084.0</v>
      </c>
      <c r="C91" s="5">
        <v>4749.0</v>
      </c>
      <c r="D91" s="5">
        <v>3891.553080249996</v>
      </c>
      <c r="E91" s="5">
        <v>3.6446966390222713</v>
      </c>
      <c r="F91" s="5">
        <v>20.110727021065887</v>
      </c>
      <c r="H91" s="5">
        <v>0.07326499928543839</v>
      </c>
      <c r="I91" s="5">
        <v>6.582755896009465</v>
      </c>
      <c r="K91" s="5">
        <v>22.033540390381123</v>
      </c>
      <c r="L91" s="9" t="b">
        <v>0</v>
      </c>
    </row>
    <row r="92" ht="15.75" customHeight="1">
      <c r="A92" s="5">
        <v>2.0</v>
      </c>
      <c r="B92" s="5">
        <v>20091.0</v>
      </c>
      <c r="C92" s="5">
        <v>5023.0</v>
      </c>
      <c r="D92" s="5">
        <v>3707.4097388461537</v>
      </c>
      <c r="E92" s="5">
        <v>10.638766519823783</v>
      </c>
      <c r="F92" s="5">
        <v>10.150266181681427</v>
      </c>
      <c r="H92" s="5">
        <v>-1.155885505683274</v>
      </c>
      <c r="I92" s="5">
        <v>0.6124107969318338</v>
      </c>
      <c r="K92" s="5">
        <v>35.48542928420135</v>
      </c>
      <c r="L92" s="9" t="b">
        <v>0</v>
      </c>
    </row>
    <row r="93" ht="15.75" customHeight="1">
      <c r="A93" s="5">
        <v>2.0</v>
      </c>
      <c r="B93" s="5">
        <v>20092.0</v>
      </c>
      <c r="C93" s="5">
        <v>4835.0</v>
      </c>
      <c r="D93" s="5">
        <v>3586.677064507772</v>
      </c>
      <c r="E93" s="5">
        <v>-2.950622240064227</v>
      </c>
      <c r="F93" s="5">
        <v>3.975171716484529</v>
      </c>
      <c r="G93" s="5">
        <v>-46.7594410106356</v>
      </c>
      <c r="H93" s="5">
        <v>-7.33149986023146</v>
      </c>
      <c r="I93" s="5">
        <v>-2.326568375618673</v>
      </c>
      <c r="J93" s="5">
        <v>-38.045568471300065</v>
      </c>
      <c r="K93" s="5">
        <v>34.804441912128084</v>
      </c>
      <c r="L93" s="9" t="b">
        <v>0</v>
      </c>
    </row>
    <row r="94" ht="15.75" customHeight="1">
      <c r="A94" s="5">
        <v>2.0</v>
      </c>
      <c r="B94" s="5">
        <v>20093.0</v>
      </c>
      <c r="C94" s="5">
        <v>4757.0</v>
      </c>
      <c r="D94" s="5">
        <v>3745.670877872341</v>
      </c>
      <c r="E94" s="5">
        <v>1.8629550321199062</v>
      </c>
      <c r="F94" s="5">
        <v>3.298948987725433</v>
      </c>
      <c r="G94" s="5">
        <v>-31.65122642783605</v>
      </c>
      <c r="H94" s="5">
        <v>-2.7414922537461472</v>
      </c>
      <c r="I94" s="5">
        <v>-2.7889031550938608</v>
      </c>
      <c r="J94" s="5">
        <v>-22.32234350003357</v>
      </c>
      <c r="K94" s="5">
        <v>26.999946207290005</v>
      </c>
      <c r="L94" s="9" t="b">
        <v>0</v>
      </c>
    </row>
    <row r="95" ht="15.75" customHeight="1">
      <c r="A95" s="5">
        <v>2.0</v>
      </c>
      <c r="B95" s="5">
        <v>20094.0</v>
      </c>
      <c r="C95" s="5">
        <v>4694.0</v>
      </c>
      <c r="D95" s="5">
        <v>3753.716516363636</v>
      </c>
      <c r="E95" s="5">
        <v>-1.1581385554853663</v>
      </c>
      <c r="F95" s="5">
        <v>2.098240189098524</v>
      </c>
      <c r="G95" s="5">
        <v>-18.012486831967365</v>
      </c>
      <c r="H95" s="5">
        <v>-3.5419422797004607</v>
      </c>
      <c r="I95" s="5">
        <v>-3.6927049748403356</v>
      </c>
      <c r="J95" s="5">
        <v>-10.275460870849802</v>
      </c>
      <c r="K95" s="5">
        <v>25.049400495145857</v>
      </c>
      <c r="L95" s="9" t="b">
        <v>0</v>
      </c>
    </row>
    <row r="96" ht="15.75" customHeight="1">
      <c r="A96" s="5">
        <v>2.0</v>
      </c>
      <c r="B96" s="5">
        <v>20101.0</v>
      </c>
      <c r="C96" s="5">
        <v>4524.0</v>
      </c>
      <c r="D96" s="5">
        <v>3819.294187142862</v>
      </c>
      <c r="E96" s="5">
        <v>-9.934302209834755</v>
      </c>
      <c r="F96" s="5">
        <v>-3.0450269933161103</v>
      </c>
      <c r="G96" s="5">
        <v>-13.195293174997538</v>
      </c>
      <c r="H96" s="5">
        <v>3.0178603439589002</v>
      </c>
      <c r="I96" s="5">
        <v>-2.649268512429792</v>
      </c>
      <c r="J96" s="5">
        <v>-3.261679309361626</v>
      </c>
      <c r="K96" s="5">
        <v>18.451205336039187</v>
      </c>
      <c r="L96" s="9" t="b">
        <v>0</v>
      </c>
    </row>
    <row r="97" ht="15.75" customHeight="1">
      <c r="A97" s="5">
        <v>2.0</v>
      </c>
      <c r="B97" s="5">
        <v>20102.0</v>
      </c>
      <c r="C97" s="5">
        <v>4856.0</v>
      </c>
      <c r="D97" s="5">
        <v>3808.745806115109</v>
      </c>
      <c r="E97" s="5">
        <v>0.43433298862460834</v>
      </c>
      <c r="F97" s="5">
        <v>-2.1987881861439016</v>
      </c>
      <c r="G97" s="5">
        <v>-6.173959902628431</v>
      </c>
      <c r="H97" s="5">
        <v>6.1914897163403815</v>
      </c>
      <c r="I97" s="5">
        <v>0.7314788817131685</v>
      </c>
      <c r="J97" s="5">
        <v>3.0580472573318414</v>
      </c>
      <c r="K97" s="5">
        <v>27.496037992440403</v>
      </c>
      <c r="L97" s="9" t="b">
        <v>0</v>
      </c>
    </row>
    <row r="98" ht="15.75" customHeight="1">
      <c r="A98" s="5">
        <v>2.0</v>
      </c>
      <c r="B98" s="5">
        <v>20103.0</v>
      </c>
      <c r="C98" s="5">
        <v>4954.0</v>
      </c>
      <c r="D98" s="5">
        <v>3811.227835239852</v>
      </c>
      <c r="E98" s="5">
        <v>4.141265503468583</v>
      </c>
      <c r="F98" s="5">
        <v>-1.6292105683067322</v>
      </c>
      <c r="G98" s="5">
        <v>-4.928159556032165</v>
      </c>
      <c r="H98" s="5">
        <v>1.7502060246347595</v>
      </c>
      <c r="I98" s="5">
        <v>1.8544034513083953</v>
      </c>
      <c r="J98" s="5">
        <v>4.643306606402256</v>
      </c>
      <c r="K98" s="5">
        <v>29.984357119606052</v>
      </c>
      <c r="L98" s="9" t="b">
        <v>0</v>
      </c>
    </row>
    <row r="99" ht="15.75" customHeight="1">
      <c r="A99" s="5">
        <v>2.0</v>
      </c>
      <c r="B99" s="5">
        <v>20104.0</v>
      </c>
      <c r="C99" s="5">
        <v>4606.0</v>
      </c>
      <c r="D99" s="5">
        <v>3799.2433873860223</v>
      </c>
      <c r="E99" s="5">
        <v>-1.874733702599063</v>
      </c>
      <c r="F99" s="5">
        <v>-1.8083593550851562</v>
      </c>
      <c r="G99" s="5">
        <v>-3.9065995441836803</v>
      </c>
      <c r="H99" s="5">
        <v>1.2128478755366823</v>
      </c>
      <c r="I99" s="5">
        <v>3.043100990117681</v>
      </c>
      <c r="J99" s="5">
        <v>6.735805964958017</v>
      </c>
      <c r="K99" s="5">
        <v>21.23466517813819</v>
      </c>
      <c r="L99" s="9" t="b">
        <v>0</v>
      </c>
    </row>
    <row r="100" ht="15.75" customHeight="1">
      <c r="A100" s="5">
        <v>2.0</v>
      </c>
      <c r="B100" s="5">
        <v>20111.0</v>
      </c>
      <c r="C100" s="5">
        <v>4730.0</v>
      </c>
      <c r="D100" s="5">
        <v>3871.9923441455694</v>
      </c>
      <c r="E100" s="5">
        <v>4.553492484526966</v>
      </c>
      <c r="F100" s="5">
        <v>1.813589318505274</v>
      </c>
      <c r="G100" s="5">
        <v>4.858616311821384</v>
      </c>
      <c r="H100" s="5">
        <v>1.3797878461446755</v>
      </c>
      <c r="I100" s="5">
        <v>2.633582865664125</v>
      </c>
      <c r="J100" s="5">
        <v>5.282851378093917</v>
      </c>
      <c r="K100" s="5">
        <v>22.159332446814716</v>
      </c>
      <c r="L100" s="9" t="b">
        <v>0</v>
      </c>
    </row>
    <row r="101" ht="15.75" customHeight="1">
      <c r="A101" s="5">
        <v>2.0</v>
      </c>
      <c r="B101" s="5">
        <v>20112.0</v>
      </c>
      <c r="C101" s="5">
        <v>4635.0</v>
      </c>
      <c r="D101" s="5">
        <v>3826.551520668692</v>
      </c>
      <c r="E101" s="5">
        <v>-4.55107084019769</v>
      </c>
      <c r="F101" s="5">
        <v>0.5672383612996994</v>
      </c>
      <c r="G101" s="5">
        <v>2.7660265474436008</v>
      </c>
      <c r="H101" s="5">
        <v>0.4674954817146082</v>
      </c>
      <c r="I101" s="5">
        <v>1.2025843070076816</v>
      </c>
      <c r="J101" s="5">
        <v>0.47110542529451305</v>
      </c>
      <c r="K101" s="5">
        <v>21.127338151977405</v>
      </c>
      <c r="L101" s="9" t="b">
        <v>0</v>
      </c>
    </row>
    <row r="102" ht="15.75" customHeight="1">
      <c r="A102" s="5">
        <v>2.0</v>
      </c>
      <c r="B102" s="5">
        <v>20113.0</v>
      </c>
      <c r="C102" s="5">
        <v>4575.0</v>
      </c>
      <c r="D102" s="5">
        <v>3745.883280664658</v>
      </c>
      <c r="E102" s="5">
        <v>-7.650383528461846</v>
      </c>
      <c r="F102" s="5">
        <v>-2.380673896682908</v>
      </c>
      <c r="G102" s="5">
        <v>-0.751463328376176</v>
      </c>
      <c r="H102" s="5">
        <v>-1.7145276378126018</v>
      </c>
      <c r="I102" s="5">
        <v>0.3364008913958413</v>
      </c>
      <c r="J102" s="5">
        <v>-1.5180025599125542</v>
      </c>
      <c r="K102" s="5">
        <v>22.134077791880014</v>
      </c>
      <c r="L102" s="9" t="b">
        <v>0</v>
      </c>
    </row>
    <row r="103" ht="15.75" customHeight="1">
      <c r="A103" s="5">
        <v>2.0</v>
      </c>
      <c r="B103" s="5">
        <v>20114.0</v>
      </c>
      <c r="C103" s="5">
        <v>4626.0</v>
      </c>
      <c r="D103" s="5">
        <v>3654.5933800000016</v>
      </c>
      <c r="E103" s="5">
        <v>0.43421623968735723</v>
      </c>
      <c r="F103" s="5">
        <v>-1.803436411111303</v>
      </c>
      <c r="G103" s="5">
        <v>0.004922943973853178</v>
      </c>
      <c r="H103" s="5">
        <v>-3.807337215253892</v>
      </c>
      <c r="I103" s="5">
        <v>-0.9186453813018023</v>
      </c>
      <c r="J103" s="5">
        <v>-3.9617463714194834</v>
      </c>
      <c r="K103" s="5">
        <v>26.58042958530171</v>
      </c>
      <c r="L103" s="9" t="b">
        <v>0</v>
      </c>
    </row>
    <row r="104" ht="15.75" customHeight="1">
      <c r="A104" s="5">
        <v>2.0</v>
      </c>
      <c r="B104" s="5">
        <v>20121.0</v>
      </c>
      <c r="C104" s="5">
        <v>4520.0</v>
      </c>
      <c r="D104" s="5">
        <v>3609.943407371793</v>
      </c>
      <c r="E104" s="5">
        <v>-4.439746300211411</v>
      </c>
      <c r="F104" s="5">
        <v>-4.051746107295897</v>
      </c>
      <c r="G104" s="5">
        <v>-5.865335425801171</v>
      </c>
      <c r="H104" s="5">
        <v>-6.767806170123059</v>
      </c>
      <c r="I104" s="5">
        <v>-2.955543885368736</v>
      </c>
      <c r="J104" s="5">
        <v>-5.589126751032861</v>
      </c>
      <c r="K104" s="5">
        <v>25.209719098914363</v>
      </c>
      <c r="L104" s="9" t="b">
        <v>0</v>
      </c>
    </row>
    <row r="105" ht="15.75" customHeight="1">
      <c r="A105" s="5">
        <v>2.0</v>
      </c>
      <c r="B105" s="5">
        <v>20122.0</v>
      </c>
      <c r="C105" s="5">
        <v>4686.0</v>
      </c>
      <c r="D105" s="5">
        <v>3590.797537996823</v>
      </c>
      <c r="E105" s="5">
        <v>1.1003236245954673</v>
      </c>
      <c r="F105" s="5">
        <v>-2.638897491097608</v>
      </c>
      <c r="G105" s="5">
        <v>-3.206135852397307</v>
      </c>
      <c r="H105" s="5">
        <v>-6.161003749680882</v>
      </c>
      <c r="I105" s="5">
        <v>-4.612668693217608</v>
      </c>
      <c r="J105" s="5">
        <v>-5.815253000225289</v>
      </c>
      <c r="K105" s="5">
        <v>30.50025657013653</v>
      </c>
      <c r="L105" s="9" t="b">
        <v>0</v>
      </c>
    </row>
    <row r="106" ht="15.75" customHeight="1">
      <c r="A106" s="5">
        <v>2.0</v>
      </c>
      <c r="B106" s="5">
        <v>20123.0</v>
      </c>
      <c r="C106" s="5">
        <v>4502.0</v>
      </c>
      <c r="D106" s="5">
        <v>3513.946828393138</v>
      </c>
      <c r="E106" s="5">
        <v>-1.595628415300543</v>
      </c>
      <c r="F106" s="5">
        <v>-1.125208712807282</v>
      </c>
      <c r="G106" s="5">
        <v>1.2554651838756261</v>
      </c>
      <c r="H106" s="5">
        <v>-6.191769334317487</v>
      </c>
      <c r="I106" s="5">
        <v>-5.73197911734383</v>
      </c>
      <c r="J106" s="5">
        <v>-6.068380008739671</v>
      </c>
      <c r="K106" s="5">
        <v>28.11804560112483</v>
      </c>
      <c r="L106" s="9" t="b">
        <v>0</v>
      </c>
    </row>
    <row r="107" ht="15.75" customHeight="1">
      <c r="A107" s="5">
        <v>2.0</v>
      </c>
      <c r="B107" s="5">
        <v>20124.0</v>
      </c>
      <c r="C107" s="5">
        <v>4615.0</v>
      </c>
      <c r="D107" s="5">
        <v>3527.672271839998</v>
      </c>
      <c r="E107" s="5">
        <v>-0.23778642455685173</v>
      </c>
      <c r="F107" s="5">
        <v>-1.2932093788683343</v>
      </c>
      <c r="G107" s="5">
        <v>0.5102270322429687</v>
      </c>
      <c r="H107" s="5">
        <v>-3.472920102536925</v>
      </c>
      <c r="I107" s="5">
        <v>-5.648374839164588</v>
      </c>
      <c r="J107" s="5">
        <v>-4.729729457862786</v>
      </c>
      <c r="K107" s="5">
        <v>30.822810181084748</v>
      </c>
      <c r="L107" s="9" t="b">
        <v>0</v>
      </c>
    </row>
    <row r="108" ht="15.75" customHeight="1">
      <c r="A108" s="5">
        <v>2.0</v>
      </c>
      <c r="B108" s="5">
        <v>20131.0</v>
      </c>
      <c r="C108" s="5">
        <v>4855.0</v>
      </c>
      <c r="D108" s="5">
        <v>3517.461230364965</v>
      </c>
      <c r="E108" s="5">
        <v>7.411504424778759</v>
      </c>
      <c r="F108" s="5">
        <v>1.669603302379208</v>
      </c>
      <c r="G108" s="5">
        <v>5.721349409675105</v>
      </c>
      <c r="H108" s="5">
        <v>-2.5618733196196897</v>
      </c>
      <c r="I108" s="5">
        <v>-4.596891626538746</v>
      </c>
      <c r="J108" s="5">
        <v>-1.6413477411700095</v>
      </c>
      <c r="K108" s="5">
        <v>38.02568619914126</v>
      </c>
      <c r="L108" s="9" t="b">
        <v>0</v>
      </c>
    </row>
    <row r="109" ht="15.75" customHeight="1">
      <c r="A109" s="5">
        <v>2.0</v>
      </c>
      <c r="B109" s="5">
        <v>20132.0</v>
      </c>
      <c r="C109" s="5">
        <v>4815.0</v>
      </c>
      <c r="D109" s="5">
        <v>3449.6630477031804</v>
      </c>
      <c r="E109" s="5">
        <v>2.7528809218950068</v>
      </c>
      <c r="F109" s="5">
        <v>2.0827426267040927</v>
      </c>
      <c r="G109" s="5">
        <v>4.721640117801701</v>
      </c>
      <c r="H109" s="5">
        <v>-3.930449678663206</v>
      </c>
      <c r="I109" s="5">
        <v>-4.039253108784327</v>
      </c>
      <c r="J109" s="5">
        <v>0.5734155844332811</v>
      </c>
      <c r="K109" s="5">
        <v>39.578849685214166</v>
      </c>
      <c r="L109" s="9" t="b">
        <v>0</v>
      </c>
    </row>
    <row r="110" ht="15.75" customHeight="1">
      <c r="A110" s="5">
        <v>2.0</v>
      </c>
      <c r="B110" s="5">
        <v>20133.0</v>
      </c>
      <c r="C110" s="5">
        <v>4896.0</v>
      </c>
      <c r="D110" s="5">
        <v>3510.933111839997</v>
      </c>
      <c r="E110" s="5">
        <v>8.751665926255004</v>
      </c>
      <c r="F110" s="5">
        <v>4.669566212092979</v>
      </c>
      <c r="G110" s="5">
        <v>5.794774924900262</v>
      </c>
      <c r="H110" s="5">
        <v>-0.0857644324265161</v>
      </c>
      <c r="I110" s="5">
        <v>-2.5127518833115836</v>
      </c>
      <c r="J110" s="5">
        <v>3.219227234032246</v>
      </c>
      <c r="K110" s="5">
        <v>39.450107536629275</v>
      </c>
      <c r="L110" s="9" t="b">
        <v>0</v>
      </c>
    </row>
    <row r="111" ht="15.75" customHeight="1">
      <c r="A111" s="5">
        <v>2.0</v>
      </c>
      <c r="B111" s="5">
        <v>20134.0</v>
      </c>
      <c r="C111" s="5">
        <v>4528.0</v>
      </c>
      <c r="D111" s="5">
        <v>3458.1914111975134</v>
      </c>
      <c r="E111" s="5">
        <v>-1.8851570964247055</v>
      </c>
      <c r="F111" s="5">
        <v>4.257723544126016</v>
      </c>
      <c r="G111" s="5">
        <v>5.55093292299435</v>
      </c>
      <c r="H111" s="5">
        <v>-1.9695951122535527</v>
      </c>
      <c r="I111" s="5">
        <v>-2.136920635740741</v>
      </c>
      <c r="J111" s="5">
        <v>3.511454203423847</v>
      </c>
      <c r="K111" s="5">
        <v>30.935493776847657</v>
      </c>
      <c r="L111" s="9" t="b">
        <v>0</v>
      </c>
    </row>
    <row r="112" ht="15.75" customHeight="1">
      <c r="A112" s="5">
        <v>2.0</v>
      </c>
      <c r="B112" s="5">
        <v>20141.0</v>
      </c>
      <c r="C112" s="5">
        <v>4601.0</v>
      </c>
      <c r="D112" s="5">
        <v>3393.1359258169923</v>
      </c>
      <c r="E112" s="5">
        <v>-5.231719876416063</v>
      </c>
      <c r="F112" s="5">
        <v>1.0969174688273102</v>
      </c>
      <c r="G112" s="5">
        <v>-0.5726858335518978</v>
      </c>
      <c r="H112" s="5">
        <v>-3.534518119907548</v>
      </c>
      <c r="I112" s="5">
        <v>-2.380081835812706</v>
      </c>
      <c r="J112" s="5">
        <v>2.21680979072604</v>
      </c>
      <c r="K112" s="5">
        <v>35.59727934837096</v>
      </c>
      <c r="L112" s="9" t="b">
        <v>0</v>
      </c>
    </row>
    <row r="113" ht="15.75" customHeight="1">
      <c r="A113" s="5">
        <v>2.0</v>
      </c>
      <c r="B113" s="5">
        <v>20142.0</v>
      </c>
      <c r="C113" s="5">
        <v>4808.0</v>
      </c>
      <c r="D113" s="5">
        <v>3460.2974612179505</v>
      </c>
      <c r="E113" s="5">
        <v>-0.14537902388369606</v>
      </c>
      <c r="F113" s="5">
        <v>0.37235248238263474</v>
      </c>
      <c r="G113" s="5">
        <v>-1.710390144321458</v>
      </c>
      <c r="H113" s="5">
        <v>0.308273978290452</v>
      </c>
      <c r="I113" s="5">
        <v>-1.320400921574291</v>
      </c>
      <c r="J113" s="5">
        <v>2.718852187210036</v>
      </c>
      <c r="K113" s="5">
        <v>38.94759204625393</v>
      </c>
      <c r="L113" s="9" t="b">
        <v>0</v>
      </c>
    </row>
    <row r="114" ht="15.75" customHeight="1">
      <c r="A114" s="5">
        <v>2.0</v>
      </c>
      <c r="B114" s="5">
        <v>20143.0</v>
      </c>
      <c r="C114" s="5">
        <v>4797.0</v>
      </c>
      <c r="D114" s="5">
        <v>3488.2689769571643</v>
      </c>
      <c r="E114" s="5">
        <v>-2.0220588235294157</v>
      </c>
      <c r="F114" s="5">
        <v>-2.3210787050634702</v>
      </c>
      <c r="G114" s="5">
        <v>-6.99064491715645</v>
      </c>
      <c r="H114" s="5">
        <v>-0.6455302382834316</v>
      </c>
      <c r="I114" s="5">
        <v>-1.4603423730385199</v>
      </c>
      <c r="J114" s="5">
        <v>1.0524095102730637</v>
      </c>
      <c r="K114" s="5">
        <v>37.51806502560615</v>
      </c>
      <c r="L114" s="9" t="b">
        <v>0</v>
      </c>
    </row>
    <row r="115" ht="15.75" customHeight="1">
      <c r="A115" s="5">
        <v>2.0</v>
      </c>
      <c r="B115" s="5">
        <v>20144.0</v>
      </c>
      <c r="C115" s="5">
        <v>4618.0</v>
      </c>
      <c r="D115" s="5">
        <v>3476.2122970724217</v>
      </c>
      <c r="E115" s="5">
        <v>1.9876325088339142</v>
      </c>
      <c r="F115" s="5">
        <v>-1.3528813037488152</v>
      </c>
      <c r="G115" s="5">
        <v>-5.610604847874831</v>
      </c>
      <c r="H115" s="5">
        <v>0.5211072416800633</v>
      </c>
      <c r="I115" s="5">
        <v>-0.8376667845551159</v>
      </c>
      <c r="J115" s="5">
        <v>1.2992538511856249</v>
      </c>
      <c r="K115" s="5">
        <v>32.84574143786221</v>
      </c>
      <c r="L115" s="9" t="b">
        <v>0</v>
      </c>
    </row>
    <row r="116" ht="15.75" customHeight="1">
      <c r="A116" s="5">
        <v>2.0</v>
      </c>
      <c r="B116" s="5">
        <v>20151.0</v>
      </c>
      <c r="C116" s="5">
        <v>4619.0</v>
      </c>
      <c r="D116" s="5">
        <v>3508.7586192675226</v>
      </c>
      <c r="E116" s="5">
        <v>0.3912193001521347</v>
      </c>
      <c r="F116" s="5">
        <v>0.05285349039323428</v>
      </c>
      <c r="G116" s="5">
        <v>-1.044063978434076</v>
      </c>
      <c r="H116" s="5">
        <v>3.4075467643604807</v>
      </c>
      <c r="I116" s="5">
        <v>0.8978494365118913</v>
      </c>
      <c r="J116" s="5">
        <v>3.2779312723245972</v>
      </c>
      <c r="K116" s="5">
        <v>31.641999385077323</v>
      </c>
      <c r="L116" s="9" t="b">
        <v>0</v>
      </c>
    </row>
    <row r="117" ht="15.75" customHeight="1">
      <c r="A117" s="5">
        <v>2.0</v>
      </c>
      <c r="B117" s="5">
        <v>20152.0</v>
      </c>
      <c r="C117" s="5">
        <v>4720.0</v>
      </c>
      <c r="D117" s="5">
        <v>3575.734431521737</v>
      </c>
      <c r="E117" s="5">
        <v>-1.830282861896837</v>
      </c>
      <c r="F117" s="5">
        <v>-0.36837246911005095</v>
      </c>
      <c r="G117" s="5">
        <v>-0.7407249514926857</v>
      </c>
      <c r="H117" s="5">
        <v>3.3360418171435313</v>
      </c>
      <c r="I117" s="5">
        <v>1.654791396225161</v>
      </c>
      <c r="J117" s="5">
        <v>2.975192317799452</v>
      </c>
      <c r="K117" s="5">
        <v>32.00085438088014</v>
      </c>
      <c r="L117" s="9" t="b">
        <v>0</v>
      </c>
    </row>
    <row r="118" ht="15.75" customHeight="1">
      <c r="A118" s="5">
        <v>2.0</v>
      </c>
      <c r="B118" s="5">
        <v>20153.0</v>
      </c>
      <c r="C118" s="5">
        <v>4745.0</v>
      </c>
      <c r="D118" s="5">
        <v>3592.278633563533</v>
      </c>
      <c r="E118" s="5">
        <v>-1.0840108401083959</v>
      </c>
      <c r="F118" s="5">
        <v>-0.133860473254796</v>
      </c>
      <c r="G118" s="5">
        <v>2.187218231808674</v>
      </c>
      <c r="H118" s="5">
        <v>2.9816982948687842</v>
      </c>
      <c r="I118" s="5">
        <v>2.561598529513215</v>
      </c>
      <c r="J118" s="5">
        <v>4.021940902551735</v>
      </c>
      <c r="K118" s="5">
        <v>32.08886292021758</v>
      </c>
      <c r="L118" s="9" t="b">
        <v>0</v>
      </c>
    </row>
    <row r="119" ht="15.75" customHeight="1">
      <c r="A119" s="5">
        <v>2.0</v>
      </c>
      <c r="B119" s="5">
        <v>20154.0</v>
      </c>
      <c r="C119" s="5">
        <v>4819.0</v>
      </c>
      <c r="D119" s="5">
        <v>3583.55185130814</v>
      </c>
      <c r="E119" s="5">
        <v>4.352533564313554</v>
      </c>
      <c r="F119" s="5">
        <v>0.45736479061511404</v>
      </c>
      <c r="G119" s="5">
        <v>1.8102460943639294</v>
      </c>
      <c r="H119" s="5">
        <v>3.087830807287495</v>
      </c>
      <c r="I119" s="5">
        <v>3.203279420915073</v>
      </c>
      <c r="J119" s="5">
        <v>4.040946205470188</v>
      </c>
      <c r="K119" s="5">
        <v>34.475520376267795</v>
      </c>
      <c r="L119" s="9" t="b">
        <v>0</v>
      </c>
    </row>
    <row r="120" ht="15.75" customHeight="1">
      <c r="A120" s="5">
        <v>2.0</v>
      </c>
      <c r="B120" s="5">
        <v>20161.0</v>
      </c>
      <c r="C120" s="5">
        <v>4831.0</v>
      </c>
      <c r="D120" s="5">
        <v>3577.7778726283063</v>
      </c>
      <c r="E120" s="5">
        <v>4.589738038536484</v>
      </c>
      <c r="F120" s="5">
        <v>1.5069944752112012</v>
      </c>
      <c r="G120" s="5">
        <v>1.454140984817967</v>
      </c>
      <c r="H120" s="5">
        <v>1.9670561828271982</v>
      </c>
      <c r="I120" s="5">
        <v>2.843156775531752</v>
      </c>
      <c r="J120" s="5">
        <v>1.9453073390198607</v>
      </c>
      <c r="K120" s="5">
        <v>35.027946730830784</v>
      </c>
      <c r="L120" s="9" t="b">
        <v>0</v>
      </c>
    </row>
    <row r="121" ht="15.75" customHeight="1">
      <c r="A121" s="5">
        <v>2.0</v>
      </c>
      <c r="B121" s="5">
        <v>20162.0</v>
      </c>
      <c r="C121" s="5">
        <v>4834.0</v>
      </c>
      <c r="D121" s="5">
        <v>3720.2844977602094</v>
      </c>
      <c r="E121" s="5">
        <v>2.4152542372881447</v>
      </c>
      <c r="F121" s="5">
        <v>2.568378750007447</v>
      </c>
      <c r="G121" s="5">
        <v>2.9367512191174976</v>
      </c>
      <c r="H121" s="5">
        <v>4.042528017858293</v>
      </c>
      <c r="I121" s="5">
        <v>3.0197783257104427</v>
      </c>
      <c r="J121" s="5">
        <v>1.3649869294852817</v>
      </c>
      <c r="K121" s="5">
        <v>29.93629930480588</v>
      </c>
      <c r="L121" s="9" t="b">
        <v>0</v>
      </c>
    </row>
    <row r="122" ht="15.75" customHeight="1">
      <c r="A122" s="5">
        <v>2.0</v>
      </c>
      <c r="B122" s="5">
        <v>20163.0</v>
      </c>
      <c r="C122" s="5">
        <v>4954.0</v>
      </c>
      <c r="D122" s="5">
        <v>3738.267207418395</v>
      </c>
      <c r="E122" s="5">
        <v>4.404636459430988</v>
      </c>
      <c r="F122" s="5">
        <v>3.9405405748922933</v>
      </c>
      <c r="G122" s="5">
        <v>4.074401048147089</v>
      </c>
      <c r="H122" s="5">
        <v>4.063954630101785</v>
      </c>
      <c r="I122" s="5">
        <v>3.290342409518693</v>
      </c>
      <c r="J122" s="5">
        <v>0.728743880005478</v>
      </c>
      <c r="K122" s="5">
        <v>32.521291954974394</v>
      </c>
      <c r="L122" s="9" t="b">
        <v>0</v>
      </c>
    </row>
    <row r="123" ht="15.75" customHeight="1">
      <c r="A123" s="5">
        <v>2.0</v>
      </c>
      <c r="B123" s="5">
        <v>20164.0</v>
      </c>
      <c r="C123" s="5">
        <v>4852.0</v>
      </c>
      <c r="D123" s="5">
        <v>3799.144583544301</v>
      </c>
      <c r="E123" s="5">
        <v>0.6847893753890943</v>
      </c>
      <c r="F123" s="5">
        <v>3.0236045276611776</v>
      </c>
      <c r="G123" s="5">
        <v>2.5662397370460637</v>
      </c>
      <c r="H123" s="5">
        <v>6.016174487818859</v>
      </c>
      <c r="I123" s="5">
        <v>4.022428329651534</v>
      </c>
      <c r="J123" s="5">
        <v>0.8191489087364614</v>
      </c>
      <c r="K123" s="5">
        <v>27.71295993882572</v>
      </c>
      <c r="L123" s="9" t="b">
        <v>0</v>
      </c>
    </row>
    <row r="124" ht="15.75" customHeight="1">
      <c r="A124" s="5">
        <v>2.0</v>
      </c>
      <c r="B124" s="5">
        <v>20171.0</v>
      </c>
      <c r="C124" s="5">
        <v>4971.0</v>
      </c>
      <c r="D124" s="5">
        <v>3773.532600443786</v>
      </c>
      <c r="E124" s="5">
        <v>2.8979507348375178</v>
      </c>
      <c r="F124" s="5">
        <v>2.600657701736436</v>
      </c>
      <c r="G124" s="5">
        <v>1.0936632265252348</v>
      </c>
      <c r="H124" s="5">
        <v>5.471405290783871</v>
      </c>
      <c r="I124" s="5">
        <v>4.898515606640702</v>
      </c>
      <c r="J124" s="5">
        <v>2.0553588311089497</v>
      </c>
      <c r="K124" s="5">
        <v>31.733325940138577</v>
      </c>
      <c r="L124" s="9" t="b">
        <v>0</v>
      </c>
    </row>
    <row r="125" ht="15.75" customHeight="1">
      <c r="A125" s="5">
        <v>2.0</v>
      </c>
      <c r="B125" s="5">
        <v>20172.0</v>
      </c>
      <c r="C125" s="5">
        <v>4945.0</v>
      </c>
      <c r="D125" s="5">
        <v>3843.060230219778</v>
      </c>
      <c r="E125" s="5">
        <v>2.2962350020686806</v>
      </c>
      <c r="F125" s="5">
        <v>2.5709028929315703</v>
      </c>
      <c r="G125" s="5">
        <v>0.002524142924123396</v>
      </c>
      <c r="H125" s="5">
        <v>3.300170525493029</v>
      </c>
      <c r="I125" s="5">
        <v>4.712926233549386</v>
      </c>
      <c r="J125" s="5">
        <v>1.6931479078389429</v>
      </c>
      <c r="K125" s="5">
        <v>28.673497259167434</v>
      </c>
      <c r="L125" s="9" t="b">
        <v>0</v>
      </c>
    </row>
    <row r="126" ht="15.75" customHeight="1">
      <c r="A126" s="5">
        <v>2.0</v>
      </c>
      <c r="B126" s="5">
        <v>20173.0</v>
      </c>
      <c r="C126" s="5">
        <v>5330.0</v>
      </c>
      <c r="D126" s="5">
        <v>4009.204045428151</v>
      </c>
      <c r="E126" s="5">
        <v>7.589826402906752</v>
      </c>
      <c r="F126" s="5">
        <v>3.3672003788005114</v>
      </c>
      <c r="G126" s="5">
        <v>-0.5733401960917819</v>
      </c>
      <c r="H126" s="5">
        <v>7.247658419711023</v>
      </c>
      <c r="I126" s="5">
        <v>5.5088521809516955</v>
      </c>
      <c r="J126" s="5">
        <v>2.2185097714330024</v>
      </c>
      <c r="K126" s="5">
        <v>32.94409412955679</v>
      </c>
      <c r="L126" s="9" t="b">
        <v>0</v>
      </c>
    </row>
    <row r="127" ht="15.75" customHeight="1">
      <c r="A127" s="5">
        <v>2.0</v>
      </c>
      <c r="B127" s="5">
        <v>20174.0</v>
      </c>
      <c r="C127" s="5">
        <v>5177.0</v>
      </c>
      <c r="D127" s="5">
        <v>4060.750021104815</v>
      </c>
      <c r="E127" s="5">
        <v>6.698268755152514</v>
      </c>
      <c r="F127" s="5">
        <v>4.870570223741366</v>
      </c>
      <c r="G127" s="5">
        <v>1.8469656960801881</v>
      </c>
      <c r="H127" s="5">
        <v>6.885903702997709</v>
      </c>
      <c r="I127" s="5">
        <v>5.726284484746408</v>
      </c>
      <c r="J127" s="5">
        <v>1.7038561550948739</v>
      </c>
      <c r="K127" s="5">
        <v>27.488763728220956</v>
      </c>
      <c r="L127" s="9" t="b">
        <v>0</v>
      </c>
    </row>
    <row r="128" ht="15.75" customHeight="1">
      <c r="A128" s="5">
        <v>2.0</v>
      </c>
      <c r="B128" s="5">
        <v>20181.0</v>
      </c>
      <c r="C128" s="5">
        <v>5635.0</v>
      </c>
      <c r="D128" s="5">
        <v>4091.626794056849</v>
      </c>
      <c r="E128" s="5">
        <v>13.357473345403337</v>
      </c>
      <c r="F128" s="5">
        <v>7.485450876382821</v>
      </c>
      <c r="G128" s="5">
        <v>4.884793174646385</v>
      </c>
      <c r="H128" s="5">
        <v>8.429612972620237</v>
      </c>
      <c r="I128" s="5">
        <v>6.4658364052055</v>
      </c>
      <c r="J128" s="5">
        <v>1.567320798564798</v>
      </c>
      <c r="K128" s="5">
        <v>37.7202829980712</v>
      </c>
      <c r="L128" s="9" t="b">
        <v>0</v>
      </c>
    </row>
    <row r="129" ht="15.75" customHeight="1">
      <c r="A129" s="5">
        <v>2.0</v>
      </c>
      <c r="B129" s="5">
        <v>20182.0</v>
      </c>
      <c r="C129" s="5">
        <v>5403.0</v>
      </c>
      <c r="D129" s="5">
        <v>4261.517198905609</v>
      </c>
      <c r="E129" s="5">
        <v>9.261880687563195</v>
      </c>
      <c r="F129" s="5">
        <v>9.22686229775645</v>
      </c>
      <c r="G129" s="5">
        <v>6.655959404824879</v>
      </c>
      <c r="H129" s="5">
        <v>10.888639355566387</v>
      </c>
      <c r="I129" s="5">
        <v>8.362953612723839</v>
      </c>
      <c r="J129" s="5">
        <v>3.6500273791744533</v>
      </c>
      <c r="K129" s="5">
        <v>26.785831144540097</v>
      </c>
      <c r="L129" s="9" t="b">
        <v>0</v>
      </c>
    </row>
    <row r="130" ht="15.75" customHeight="1">
      <c r="A130" s="5">
        <v>2.0</v>
      </c>
      <c r="B130" s="5">
        <v>20183.0</v>
      </c>
      <c r="C130" s="5">
        <v>5393.0</v>
      </c>
      <c r="D130" s="5">
        <v>4428.350625456921</v>
      </c>
      <c r="E130" s="5">
        <v>1.1819887429643572</v>
      </c>
      <c r="F130" s="5">
        <v>7.624902882770851</v>
      </c>
      <c r="G130" s="5">
        <v>4.257702503970339</v>
      </c>
      <c r="H130" s="5">
        <v>10.454608328222626</v>
      </c>
      <c r="I130" s="5">
        <v>9.16469108985174</v>
      </c>
      <c r="J130" s="5">
        <v>3.6558389089000443</v>
      </c>
      <c r="K130" s="5">
        <v>21.783491329653828</v>
      </c>
      <c r="L130" s="9" t="b">
        <v>0</v>
      </c>
    </row>
    <row r="131" ht="15.75" customHeight="1">
      <c r="A131" s="5">
        <v>2.0</v>
      </c>
      <c r="B131" s="5">
        <v>20184.0</v>
      </c>
      <c r="C131" s="5">
        <v>5429.0</v>
      </c>
      <c r="D131" s="5">
        <v>4563.356386901763</v>
      </c>
      <c r="E131" s="5">
        <v>4.86768398686499</v>
      </c>
      <c r="F131" s="5">
        <v>7.16725669069897</v>
      </c>
      <c r="G131" s="5">
        <v>2.2966864669576044</v>
      </c>
      <c r="H131" s="5">
        <v>12.377180648519758</v>
      </c>
      <c r="I131" s="5">
        <v>10.537510326232251</v>
      </c>
      <c r="J131" s="5">
        <v>4.811225841485843</v>
      </c>
      <c r="K131" s="5">
        <v>18.96945010875988</v>
      </c>
      <c r="L131" s="9" t="b">
        <v>0</v>
      </c>
    </row>
    <row r="132" ht="15.75" customHeight="1">
      <c r="A132" s="5">
        <v>2.0</v>
      </c>
      <c r="B132" s="5">
        <v>20191.0</v>
      </c>
      <c r="C132" s="5">
        <v>5911.0</v>
      </c>
      <c r="D132" s="5">
        <v>4687.647710477452</v>
      </c>
      <c r="E132" s="5">
        <v>4.8979591836734615</v>
      </c>
      <c r="F132" s="5">
        <v>5.052378150266501</v>
      </c>
      <c r="G132" s="5">
        <v>-2.43307272611632</v>
      </c>
      <c r="H132" s="5">
        <v>14.566844593117168</v>
      </c>
      <c r="I132" s="5">
        <v>12.071818231356485</v>
      </c>
      <c r="J132" s="5">
        <v>5.605981826150985</v>
      </c>
      <c r="K132" s="5">
        <v>26.097359807739174</v>
      </c>
      <c r="L132" s="9" t="b">
        <v>0</v>
      </c>
    </row>
    <row r="133" ht="15.75" customHeight="1">
      <c r="A133" s="5">
        <v>2.0</v>
      </c>
      <c r="B133" s="5">
        <v>20192.0</v>
      </c>
      <c r="C133" s="5">
        <v>5930.0</v>
      </c>
      <c r="D133" s="5">
        <v>4855.395592248065</v>
      </c>
      <c r="E133" s="5">
        <v>9.753840459004248</v>
      </c>
      <c r="F133" s="5">
        <v>5.175368093126764</v>
      </c>
      <c r="G133" s="5">
        <v>-4.051494204629686</v>
      </c>
      <c r="H133" s="5">
        <v>13.93584410488755</v>
      </c>
      <c r="I133" s="5">
        <v>12.833619418686776</v>
      </c>
      <c r="J133" s="5">
        <v>4.470665805962938</v>
      </c>
      <c r="K133" s="5">
        <v>22.132170022718768</v>
      </c>
      <c r="L133" s="9" t="b">
        <v>0</v>
      </c>
    </row>
    <row r="134" ht="15.75" customHeight="1">
      <c r="A134" s="5">
        <v>2.0</v>
      </c>
      <c r="B134" s="5">
        <v>20193.0</v>
      </c>
      <c r="C134" s="5">
        <v>6337.0</v>
      </c>
      <c r="D134" s="5">
        <v>5037.491798280093</v>
      </c>
      <c r="E134" s="5">
        <v>17.504172074911928</v>
      </c>
      <c r="F134" s="5">
        <v>9.255913926113656</v>
      </c>
      <c r="G134" s="5">
        <v>1.6310110433428058</v>
      </c>
      <c r="H134" s="5">
        <v>13.755486508259951</v>
      </c>
      <c r="I134" s="5">
        <v>13.658838963696107</v>
      </c>
      <c r="J134" s="5">
        <v>4.494147873844367</v>
      </c>
      <c r="K134" s="5">
        <v>25.7967308683974</v>
      </c>
      <c r="L134" s="9" t="b">
        <v>0</v>
      </c>
    </row>
    <row r="135" ht="15.75" customHeight="1">
      <c r="A135" s="5">
        <v>2.0</v>
      </c>
      <c r="B135" s="5">
        <v>20194.0</v>
      </c>
      <c r="C135" s="5">
        <v>6190.0</v>
      </c>
      <c r="D135" s="5">
        <v>5105.552968617026</v>
      </c>
      <c r="E135" s="5">
        <v>14.01731442254559</v>
      </c>
      <c r="F135" s="5">
        <v>11.543321535033806</v>
      </c>
      <c r="G135" s="5">
        <v>4.376064844334836</v>
      </c>
      <c r="H135" s="5">
        <v>11.881530517132832</v>
      </c>
      <c r="I135" s="5">
        <v>13.534926430849374</v>
      </c>
      <c r="J135" s="5">
        <v>2.9974161046171233</v>
      </c>
      <c r="K135" s="5">
        <v>21.240540212762205</v>
      </c>
      <c r="L135" s="9" t="b">
        <v>0</v>
      </c>
    </row>
    <row r="136" ht="15.75" customHeight="1">
      <c r="A136" s="5">
        <v>2.0</v>
      </c>
      <c r="B136" s="5">
        <v>20201.0</v>
      </c>
      <c r="C136" s="5">
        <v>6331.0</v>
      </c>
      <c r="D136" s="5">
        <v>5267.450622250963</v>
      </c>
      <c r="E136" s="5">
        <v>7.105396717983425</v>
      </c>
      <c r="F136" s="5">
        <v>12.095180918611296</v>
      </c>
      <c r="G136" s="5">
        <v>7.042802768344796</v>
      </c>
      <c r="H136" s="5">
        <v>12.368739026134179</v>
      </c>
      <c r="I136" s="5">
        <v>12.985400039103627</v>
      </c>
      <c r="J136" s="5">
        <v>0.9135818077471427</v>
      </c>
      <c r="K136" s="5">
        <v>20.19097005402104</v>
      </c>
      <c r="L136" s="9" t="b">
        <v>0</v>
      </c>
    </row>
    <row r="137" ht="15.75" customHeight="1">
      <c r="A137" s="5">
        <v>2.0</v>
      </c>
      <c r="B137" s="5">
        <v>20202.0</v>
      </c>
      <c r="C137" s="5">
        <v>6354.0</v>
      </c>
      <c r="D137" s="5">
        <v>5456.604487908501</v>
      </c>
      <c r="E137" s="5">
        <v>7.150084317032035</v>
      </c>
      <c r="F137" s="5">
        <v>11.444241883118245</v>
      </c>
      <c r="G137" s="5">
        <v>6.268873789991481</v>
      </c>
      <c r="H137" s="5">
        <v>12.382284496453844</v>
      </c>
      <c r="I137" s="5">
        <v>12.5970101369952</v>
      </c>
      <c r="J137" s="5">
        <v>-0.23660928169157636</v>
      </c>
      <c r="K137" s="5">
        <v>16.446042847343477</v>
      </c>
      <c r="L137" s="9" t="b">
        <v>0</v>
      </c>
    </row>
    <row r="138" ht="15.75" customHeight="1">
      <c r="A138" s="5">
        <v>2.0</v>
      </c>
      <c r="B138" s="5">
        <v>20203.0</v>
      </c>
      <c r="C138" s="5">
        <v>6535.0</v>
      </c>
      <c r="D138" s="5">
        <v>5531.850500151742</v>
      </c>
      <c r="E138" s="5">
        <v>3.1245068644468965</v>
      </c>
      <c r="F138" s="5">
        <v>7.849325580501986</v>
      </c>
      <c r="G138" s="5">
        <v>-1.4065883456116701</v>
      </c>
      <c r="H138" s="5">
        <v>9.813588223417735</v>
      </c>
      <c r="I138" s="5">
        <v>11.611535565784648</v>
      </c>
      <c r="J138" s="5">
        <v>-2.0473033979114597</v>
      </c>
      <c r="K138" s="5">
        <v>18.13406743043291</v>
      </c>
      <c r="L138" s="9" t="b">
        <v>0</v>
      </c>
    </row>
    <row r="139" ht="15.75" customHeight="1">
      <c r="A139" s="5">
        <v>2.0</v>
      </c>
      <c r="B139" s="5">
        <v>20204.0</v>
      </c>
      <c r="C139" s="5">
        <v>6664.88067806565</v>
      </c>
      <c r="D139" s="5">
        <v>5559.129531592684</v>
      </c>
      <c r="E139" s="5">
        <v>7.671739548718093</v>
      </c>
      <c r="F139" s="5">
        <v>6.262931862045113</v>
      </c>
      <c r="G139" s="5">
        <v>-5.280389672988694</v>
      </c>
      <c r="H139" s="5">
        <v>8.883985060261178</v>
      </c>
      <c r="I139" s="5">
        <v>10.862149201566734</v>
      </c>
      <c r="J139" s="5">
        <v>-2.672777229282641</v>
      </c>
      <c r="K139" s="5">
        <v>19.89072462134498</v>
      </c>
      <c r="L139" s="9" t="b">
        <v>0</v>
      </c>
    </row>
    <row r="140" ht="15.75" customHeight="1">
      <c r="A140" s="5">
        <v>2.0</v>
      </c>
      <c r="B140" s="5">
        <v>20211.0</v>
      </c>
      <c r="C140" s="5">
        <v>6962.435250506264</v>
      </c>
      <c r="D140" s="5">
        <v>5684.0</v>
      </c>
      <c r="E140" s="5">
        <v>9.973704793970374</v>
      </c>
      <c r="F140" s="5">
        <v>6.980008881041849</v>
      </c>
      <c r="G140" s="5">
        <v>-5.115172037569447</v>
      </c>
      <c r="H140" s="5">
        <v>7.907988277847999</v>
      </c>
      <c r="I140" s="5">
        <v>9.746961514495188</v>
      </c>
      <c r="J140" s="5">
        <v>-3.238438524608439</v>
      </c>
      <c r="K140" s="5">
        <v>22.49182354866757</v>
      </c>
      <c r="L140" s="9" t="b">
        <v>0</v>
      </c>
    </row>
    <row r="141" ht="15.75" customHeight="1">
      <c r="A141" s="5">
        <v>2.0</v>
      </c>
      <c r="B141" s="5">
        <v>20212.0</v>
      </c>
      <c r="C141" s="5">
        <v>7107.06144834645</v>
      </c>
      <c r="D141" s="5">
        <v>5934.0</v>
      </c>
      <c r="E141" s="5">
        <v>11.851769725313964</v>
      </c>
      <c r="F141" s="5">
        <v>8.155430233112332</v>
      </c>
      <c r="G141" s="5">
        <v>-3.288811650005913</v>
      </c>
      <c r="H141" s="5">
        <v>8.748948419284886</v>
      </c>
      <c r="I141" s="5">
        <v>8.83862749520295</v>
      </c>
      <c r="J141" s="5">
        <v>-3.7583826417922506</v>
      </c>
      <c r="K141" s="5">
        <v>19.768477390401905</v>
      </c>
      <c r="L141" s="9" t="b">
        <v>0</v>
      </c>
    </row>
    <row r="142" ht="15.75" customHeight="1">
      <c r="A142" s="5">
        <v>2.0</v>
      </c>
      <c r="B142" s="5">
        <v>20213.0</v>
      </c>
      <c r="C142" s="5">
        <v>7118.19058209847</v>
      </c>
      <c r="D142" s="5">
        <v>6026.0</v>
      </c>
      <c r="E142" s="5">
        <v>8.9241099020424</v>
      </c>
      <c r="F142" s="5">
        <v>9.605330992511206</v>
      </c>
      <c r="G142" s="5">
        <v>1.7560054120092197</v>
      </c>
      <c r="H142" s="5">
        <v>8.932806478315047</v>
      </c>
      <c r="I142" s="5">
        <v>8.618432058927278</v>
      </c>
      <c r="J142" s="5">
        <v>-2.99310350685737</v>
      </c>
      <c r="K142" s="5">
        <v>18.124636277770833</v>
      </c>
      <c r="L142" s="9" t="b">
        <v>0</v>
      </c>
    </row>
    <row r="143" ht="15.75" customHeight="1">
      <c r="A143" s="5">
        <v>2.0</v>
      </c>
      <c r="B143" s="5">
        <v>20214.0</v>
      </c>
      <c r="C143" s="5">
        <v>7671.21613439835</v>
      </c>
      <c r="D143" s="5">
        <v>6144.0</v>
      </c>
      <c r="E143" s="5">
        <v>15.099076861864669</v>
      </c>
      <c r="F143" s="5">
        <v>11.462165320797851</v>
      </c>
      <c r="G143" s="5">
        <v>5.1992334587527385</v>
      </c>
      <c r="H143" s="5">
        <v>10.52090017121352</v>
      </c>
      <c r="I143" s="5">
        <v>9.027660836665364</v>
      </c>
      <c r="J143" s="5">
        <v>-1.83448836490137</v>
      </c>
      <c r="K143" s="5">
        <v>24.85703343747314</v>
      </c>
      <c r="L143" s="9" t="b">
        <v>0</v>
      </c>
    </row>
    <row r="144" ht="15.75" customHeight="1">
      <c r="A144" s="5">
        <v>2.0</v>
      </c>
      <c r="B144" s="5">
        <v>20221.0</v>
      </c>
      <c r="C144" s="5">
        <v>7738.07342442193</v>
      </c>
      <c r="D144" s="5">
        <v>6294.0</v>
      </c>
      <c r="E144" s="5">
        <v>11.140328721323002</v>
      </c>
      <c r="F144" s="5">
        <v>11.753821302636009</v>
      </c>
      <c r="G144" s="5">
        <v>4.77381242159416</v>
      </c>
      <c r="H144" s="5">
        <v>10.731878958479935</v>
      </c>
      <c r="I144" s="5">
        <v>9.733633506823347</v>
      </c>
      <c r="J144" s="5">
        <v>-0.013328007671841391</v>
      </c>
      <c r="K144" s="5">
        <v>22.943651484301398</v>
      </c>
      <c r="L144" s="9" t="b">
        <v>0</v>
      </c>
    </row>
    <row r="145" ht="15.75" customHeight="1">
      <c r="A145" s="5">
        <v>2.0</v>
      </c>
      <c r="B145" s="5">
        <v>20222.0</v>
      </c>
      <c r="C145" s="5">
        <v>7861.82273012342</v>
      </c>
      <c r="D145" s="5">
        <v>6545.0</v>
      </c>
      <c r="E145" s="5">
        <v>10.61987837395968</v>
      </c>
      <c r="F145" s="5">
        <v>11.445848464797436</v>
      </c>
      <c r="G145" s="5">
        <v>3.290418231685104</v>
      </c>
      <c r="H145" s="5">
        <v>10.296595888102456</v>
      </c>
      <c r="I145" s="5">
        <v>10.12054537402774</v>
      </c>
      <c r="J145" s="5">
        <v>1.2819178788247907</v>
      </c>
      <c r="K145" s="5">
        <v>20.11952223259619</v>
      </c>
      <c r="L145" s="9" t="b">
        <v>0</v>
      </c>
    </row>
    <row r="146" ht="15.75" customHeight="1">
      <c r="A146" s="5">
        <v>2.0</v>
      </c>
      <c r="B146" s="5">
        <v>20223.0</v>
      </c>
      <c r="C146" s="5">
        <v>8330.05243548219</v>
      </c>
      <c r="D146" s="5">
        <v>6595.0</v>
      </c>
      <c r="E146" s="5">
        <v>17.024858205278036</v>
      </c>
      <c r="F146" s="5">
        <v>13.471035540606346</v>
      </c>
      <c r="G146" s="5">
        <v>3.86570454809514</v>
      </c>
      <c r="H146" s="5">
        <v>9.442416196481918</v>
      </c>
      <c r="I146" s="5">
        <v>10.247947803569458</v>
      </c>
      <c r="J146" s="5">
        <v>1.6295157446421804</v>
      </c>
      <c r="K146" s="5">
        <v>26.308604025507055</v>
      </c>
      <c r="L146" s="9" t="b">
        <v>0</v>
      </c>
    </row>
    <row r="147" ht="15.75" customHeight="1">
      <c r="A147" s="5">
        <v>2.0</v>
      </c>
      <c r="B147" s="5">
        <v>20224.0</v>
      </c>
      <c r="C147" s="5">
        <v>7853.28925318464</v>
      </c>
      <c r="D147" s="5">
        <v>6715.0</v>
      </c>
      <c r="E147" s="5">
        <v>2.37345833563285</v>
      </c>
      <c r="F147" s="5">
        <v>10.289630909048391</v>
      </c>
      <c r="G147" s="5">
        <v>-1.17253441174946</v>
      </c>
      <c r="H147" s="5">
        <v>9.293619791666675</v>
      </c>
      <c r="I147" s="5">
        <v>9.941127708682746</v>
      </c>
      <c r="J147" s="5">
        <v>0.9134668720173824</v>
      </c>
      <c r="K147" s="5">
        <v>16.95144085159552</v>
      </c>
      <c r="L147" s="9" t="b">
        <v>0</v>
      </c>
    </row>
    <row r="148" ht="15.75" customHeight="1">
      <c r="A148" s="5">
        <v>2.0</v>
      </c>
      <c r="B148" s="5">
        <v>20231.0</v>
      </c>
      <c r="C148" s="5">
        <v>8522.14305381624</v>
      </c>
      <c r="D148" s="5">
        <v>6727.0</v>
      </c>
      <c r="E148" s="5">
        <v>10.132620697546347</v>
      </c>
      <c r="F148" s="5">
        <v>10.037703903104228</v>
      </c>
      <c r="G148" s="5">
        <v>-1.7161173995317807</v>
      </c>
      <c r="H148" s="5">
        <v>6.879567842389567</v>
      </c>
      <c r="I148" s="5">
        <v>8.978049929660154</v>
      </c>
      <c r="J148" s="5">
        <v>-0.7555835771631934</v>
      </c>
      <c r="K148" s="5">
        <v>26.68564075838027</v>
      </c>
      <c r="L148" s="9" t="b">
        <v>0</v>
      </c>
    </row>
    <row r="149" ht="15.75" customHeight="1">
      <c r="A149" s="5">
        <v>2.0</v>
      </c>
      <c r="B149" s="5">
        <v>20232.0</v>
      </c>
      <c r="C149" s="5">
        <v>8639.49620056599</v>
      </c>
      <c r="D149" s="5">
        <v>6801.0</v>
      </c>
      <c r="E149" s="5">
        <v>9.89177061272104</v>
      </c>
      <c r="F149" s="5">
        <v>9.855676962794568</v>
      </c>
      <c r="G149" s="5">
        <v>-1.5901715020028675</v>
      </c>
      <c r="H149" s="5">
        <v>3.911382734912139</v>
      </c>
      <c r="I149" s="5">
        <v>7.381746641362575</v>
      </c>
      <c r="J149" s="5">
        <v>-2.738798732665165</v>
      </c>
      <c r="K149" s="5">
        <v>27.03273342987782</v>
      </c>
      <c r="L149" s="9" t="b">
        <v>0</v>
      </c>
    </row>
    <row r="150" ht="15.75" customHeight="1">
      <c r="A150" s="5">
        <v>2.0</v>
      </c>
      <c r="B150" s="5">
        <v>20233.0</v>
      </c>
      <c r="C150" s="5">
        <v>8205.17913500497</v>
      </c>
      <c r="D150" s="5">
        <v>7070.0</v>
      </c>
      <c r="E150" s="5">
        <v>-1.4990698011133508</v>
      </c>
      <c r="F150" s="5">
        <v>5.224694961196722</v>
      </c>
      <c r="G150" s="5">
        <v>-8.246340579409624</v>
      </c>
      <c r="H150" s="5">
        <v>7.202426080363922</v>
      </c>
      <c r="I150" s="5">
        <v>6.821749112333075</v>
      </c>
      <c r="J150" s="5">
        <v>-3.426198691236383</v>
      </c>
      <c r="K150" s="5">
        <v>16.056281966124054</v>
      </c>
      <c r="L150" s="9" t="b">
        <v>0</v>
      </c>
    </row>
    <row r="151" ht="15.75" customHeight="1">
      <c r="A151" s="5">
        <v>2.0</v>
      </c>
      <c r="B151" s="5">
        <v>20234.0</v>
      </c>
      <c r="C151" s="5">
        <v>9122.39520069534</v>
      </c>
      <c r="D151" s="5">
        <v>7424.0</v>
      </c>
      <c r="E151" s="5">
        <v>16.160183416089712</v>
      </c>
      <c r="F151" s="5">
        <v>8.671376231310937</v>
      </c>
      <c r="G151" s="5">
        <v>-1.618254677737454</v>
      </c>
      <c r="H151" s="5">
        <v>10.558451228592713</v>
      </c>
      <c r="I151" s="5">
        <v>7.137956971564585</v>
      </c>
      <c r="J151" s="5">
        <v>-2.803170737118161</v>
      </c>
      <c r="K151" s="5">
        <v>22.87709052660749</v>
      </c>
      <c r="L151" s="9" t="b">
        <v>0</v>
      </c>
    </row>
    <row r="152" ht="15.75" customHeight="1">
      <c r="A152" s="5">
        <v>2.0</v>
      </c>
      <c r="B152" s="5">
        <v>20241.0</v>
      </c>
      <c r="C152" s="5">
        <v>9009.30204903144</v>
      </c>
      <c r="D152" s="5">
        <v>7663.0</v>
      </c>
      <c r="E152" s="5">
        <v>5.716390726356657</v>
      </c>
      <c r="F152" s="5">
        <v>7.5673187385135146</v>
      </c>
      <c r="G152" s="5">
        <v>-2.4703851645907138</v>
      </c>
      <c r="H152" s="5">
        <v>13.914077597740459</v>
      </c>
      <c r="I152" s="5">
        <v>8.896584410402308</v>
      </c>
      <c r="J152" s="5">
        <v>-0.08146551925784529</v>
      </c>
      <c r="K152" s="5">
        <v>17.56886400928408</v>
      </c>
      <c r="L152" s="9" t="b">
        <v>0</v>
      </c>
    </row>
    <row r="153" ht="15.75" customHeight="1">
      <c r="A153" s="5">
        <v>2.0</v>
      </c>
      <c r="B153" s="5">
        <v>20242.0</v>
      </c>
      <c r="C153" s="5">
        <v>8940.23842403942</v>
      </c>
      <c r="D153" s="5">
        <v>7664.0</v>
      </c>
      <c r="E153" s="5">
        <v>3.4810157501282024</v>
      </c>
      <c r="F153" s="5">
        <v>5.964630022865306</v>
      </c>
      <c r="G153" s="5">
        <v>-3.8910469399292626</v>
      </c>
      <c r="H153" s="5">
        <v>12.689310395530073</v>
      </c>
      <c r="I153" s="5">
        <v>11.091066325556792</v>
      </c>
      <c r="J153" s="5">
        <v>3.7093196841942166</v>
      </c>
      <c r="K153" s="5">
        <v>16.652380271913113</v>
      </c>
      <c r="L153" s="9" t="b">
        <v>0</v>
      </c>
    </row>
    <row r="154" ht="15.75" customHeight="1">
      <c r="A154" s="5">
        <v>2.0</v>
      </c>
      <c r="B154" s="5">
        <v>20243.0</v>
      </c>
      <c r="C154" s="5">
        <v>9010.68617199886</v>
      </c>
      <c r="D154" s="5">
        <v>7829.0</v>
      </c>
      <c r="E154" s="5">
        <v>9.817056078123043</v>
      </c>
      <c r="F154" s="5">
        <v>8.793661492674403</v>
      </c>
      <c r="G154" s="5">
        <v>3.568966531477681</v>
      </c>
      <c r="H154" s="5">
        <v>10.735502121640739</v>
      </c>
      <c r="I154" s="5">
        <v>11.974335335875995</v>
      </c>
      <c r="J154" s="5">
        <v>5.1525862235429205</v>
      </c>
      <c r="K154" s="5">
        <v>15.093705096421761</v>
      </c>
      <c r="L154" s="9" t="b">
        <v>0</v>
      </c>
    </row>
    <row r="155" ht="15.75" customHeight="1">
      <c r="A155" s="5">
        <v>2.0</v>
      </c>
      <c r="B155" s="5">
        <v>20244.0</v>
      </c>
      <c r="C155" s="5">
        <v>9590.465912121788</v>
      </c>
      <c r="D155" s="5">
        <v>7882.0</v>
      </c>
      <c r="E155" s="5">
        <v>5.131006727167109</v>
      </c>
      <c r="F155" s="5">
        <v>6.036367320443753</v>
      </c>
      <c r="G155" s="5">
        <v>-2.6350089108671844</v>
      </c>
      <c r="H155" s="5">
        <v>6.1691810344827624</v>
      </c>
      <c r="I155" s="5">
        <v>10.877017787348507</v>
      </c>
      <c r="J155" s="5">
        <v>3.7390608157839216</v>
      </c>
      <c r="K155" s="5">
        <v>21.67553808832514</v>
      </c>
      <c r="L155" s="9" t="b">
        <v>0</v>
      </c>
    </row>
    <row r="156" ht="15.75" customHeight="1">
      <c r="A156" s="5">
        <v>2.0</v>
      </c>
      <c r="B156" s="5">
        <v>20251.0</v>
      </c>
      <c r="C156" s="5">
        <v>9389.32695071166</v>
      </c>
      <c r="D156" s="5">
        <v>7802.0</v>
      </c>
      <c r="E156" s="5">
        <v>4.218139203370108</v>
      </c>
      <c r="F156" s="5">
        <v>5.661804439697116</v>
      </c>
      <c r="G156" s="5">
        <v>-1.9055142988163984</v>
      </c>
      <c r="H156" s="5">
        <v>1.8139110009134818</v>
      </c>
      <c r="I156" s="5">
        <v>7.851976138141764</v>
      </c>
      <c r="J156" s="5">
        <v>-1.044608272260544</v>
      </c>
      <c r="K156" s="5">
        <v>20.34512882224635</v>
      </c>
      <c r="L156" s="9" t="b">
        <v>0</v>
      </c>
    </row>
    <row r="157" ht="15.75" customHeight="1">
      <c r="A157" s="5">
        <v>2.0</v>
      </c>
      <c r="B157" s="5">
        <v>20252.0</v>
      </c>
      <c r="C157" s="5">
        <v>9755.39498564426</v>
      </c>
      <c r="D157" s="5">
        <v>7804.0</v>
      </c>
      <c r="E157" s="5">
        <v>9.117839177677457</v>
      </c>
      <c r="F157" s="5">
        <v>7.071010296584429</v>
      </c>
      <c r="G157" s="5">
        <v>1.1063802737191235</v>
      </c>
      <c r="H157" s="5">
        <v>1.8267223382046005</v>
      </c>
      <c r="I157" s="5">
        <v>5.136329123810396</v>
      </c>
      <c r="J157" s="5">
        <v>-5.954737201746396</v>
      </c>
      <c r="K157" s="5">
        <v>25.005061322965915</v>
      </c>
      <c r="L157" s="9" t="b">
        <v>0</v>
      </c>
    </row>
    <row r="158" ht="15.75" customHeight="1">
      <c r="A158" s="5">
        <v>2.0</v>
      </c>
      <c r="B158" s="5">
        <v>20253.0</v>
      </c>
      <c r="C158" s="5">
        <v>10228.6950148686</v>
      </c>
      <c r="D158" s="5">
        <v>7567.0</v>
      </c>
      <c r="E158" s="5">
        <v>13.517381691249675</v>
      </c>
      <c r="F158" s="5">
        <v>7.996091699866087</v>
      </c>
      <c r="G158" s="5">
        <v>-0.7975697928083161</v>
      </c>
      <c r="H158" s="5">
        <v>-3.3465321241537893</v>
      </c>
      <c r="I158" s="5">
        <v>1.6158205623617639</v>
      </c>
      <c r="J158" s="5">
        <v>-10.358514773514232</v>
      </c>
      <c r="K158" s="5">
        <v>35.175036538504024</v>
      </c>
      <c r="L158" s="9" t="b">
        <v>0</v>
      </c>
    </row>
    <row r="159" ht="15.75" customHeight="1">
      <c r="A159" s="5">
        <v>2.0</v>
      </c>
      <c r="B159" s="5">
        <v>20254.0</v>
      </c>
      <c r="C159" s="5">
        <v>10428.308726696516</v>
      </c>
      <c r="D159" s="5">
        <v>7957.0</v>
      </c>
      <c r="E159" s="5">
        <v>8.736205542587271</v>
      </c>
      <c r="F159" s="5">
        <v>8.897391403721128</v>
      </c>
      <c r="G159" s="5">
        <v>2.8610240832773757</v>
      </c>
      <c r="H159" s="5">
        <v>0.9515351433646346</v>
      </c>
      <c r="I159" s="5">
        <v>0.3114090895822319</v>
      </c>
      <c r="J159" s="5">
        <v>-10.565608697766274</v>
      </c>
      <c r="K159" s="5">
        <v>31.058297432405624</v>
      </c>
      <c r="L159" s="9" t="b">
        <v>0</v>
      </c>
    </row>
    <row r="160" ht="15.75" customHeight="1">
      <c r="A160" s="5">
        <v>2.0</v>
      </c>
      <c r="B160" s="5">
        <v>20261.0</v>
      </c>
      <c r="C160" s="5">
        <v>11405.7835471641</v>
      </c>
      <c r="D160" s="5">
        <v>8033.0</v>
      </c>
      <c r="E160" s="5">
        <v>21.47605048836436</v>
      </c>
      <c r="F160" s="5">
        <v>13.211869224969691</v>
      </c>
      <c r="G160" s="5">
        <v>7.550064785272575</v>
      </c>
      <c r="H160" s="5">
        <v>2.960779287362225</v>
      </c>
      <c r="I160" s="5">
        <v>0.5981261611944177</v>
      </c>
      <c r="J160" s="5">
        <v>-7.253849976947347</v>
      </c>
      <c r="K160" s="5">
        <v>41.98659961613469</v>
      </c>
      <c r="L160" s="9" t="b">
        <v>0</v>
      </c>
    </row>
    <row r="161" ht="15.75" customHeight="1">
      <c r="A161" s="5">
        <v>2.0</v>
      </c>
      <c r="B161" s="5">
        <v>20262.0</v>
      </c>
      <c r="C161" s="5">
        <v>10774.886199051813</v>
      </c>
      <c r="D161" s="5">
        <v>8341.867409677412</v>
      </c>
      <c r="E161" s="5">
        <v>10.450537522138315</v>
      </c>
      <c r="F161" s="5">
        <v>13.545043811084906</v>
      </c>
      <c r="G161" s="5">
        <v>6.474033514500476</v>
      </c>
      <c r="H161" s="5">
        <v>6.892201559167255</v>
      </c>
      <c r="I161" s="5">
        <v>1.8644959664350813</v>
      </c>
      <c r="J161" s="5">
        <v>-3.2718331573753145</v>
      </c>
      <c r="K161" s="5">
        <v>29.166356522903403</v>
      </c>
      <c r="L161" s="9" t="b">
        <v>0</v>
      </c>
    </row>
    <row r="162" ht="15.75" customHeight="1">
      <c r="A162" s="5">
        <v>3.0</v>
      </c>
      <c r="B162" s="5">
        <v>20063.0</v>
      </c>
      <c r="C162" s="5">
        <v>3494.0</v>
      </c>
      <c r="D162" s="5">
        <v>3493.2041803312763</v>
      </c>
      <c r="K162" s="5">
        <v>0.022781939664584527</v>
      </c>
      <c r="L162" s="9" t="b">
        <v>0</v>
      </c>
    </row>
    <row r="163" ht="15.75" customHeight="1">
      <c r="A163" s="5">
        <v>3.0</v>
      </c>
      <c r="B163" s="5">
        <v>20064.0</v>
      </c>
      <c r="C163" s="5">
        <v>5252.0</v>
      </c>
      <c r="D163" s="5">
        <v>3893.915714520119</v>
      </c>
      <c r="K163" s="5">
        <v>34.87708479194058</v>
      </c>
      <c r="L163" s="9" t="b">
        <v>0</v>
      </c>
    </row>
    <row r="164" ht="15.75" customHeight="1">
      <c r="A164" s="5">
        <v>3.0</v>
      </c>
      <c r="B164" s="5">
        <v>20071.0</v>
      </c>
      <c r="C164" s="5">
        <v>5490.0</v>
      </c>
      <c r="D164" s="5">
        <v>4666.161915279347</v>
      </c>
      <c r="K164" s="5">
        <v>17.655582889719156</v>
      </c>
      <c r="L164" s="9" t="b">
        <v>0</v>
      </c>
    </row>
    <row r="165" ht="15.75" customHeight="1">
      <c r="A165" s="5">
        <v>3.0</v>
      </c>
      <c r="B165" s="5">
        <v>20072.0</v>
      </c>
      <c r="C165" s="5">
        <v>7137.0</v>
      </c>
      <c r="D165" s="5">
        <v>5513.382133474008</v>
      </c>
      <c r="K165" s="5">
        <v>29.448672833111655</v>
      </c>
      <c r="L165" s="9" t="b">
        <v>0</v>
      </c>
    </row>
    <row r="166" ht="15.75" customHeight="1">
      <c r="A166" s="5">
        <v>3.0</v>
      </c>
      <c r="B166" s="5">
        <v>20073.0</v>
      </c>
      <c r="C166" s="5">
        <v>7440.0</v>
      </c>
      <c r="D166" s="5">
        <v>5793.956058988133</v>
      </c>
      <c r="E166" s="5">
        <v>112.93646250715513</v>
      </c>
      <c r="H166" s="5">
        <v>65.86365296398637</v>
      </c>
      <c r="K166" s="5">
        <v>28.40967249757387</v>
      </c>
      <c r="L166" s="9" t="b">
        <v>0</v>
      </c>
    </row>
    <row r="167" ht="15.75" customHeight="1">
      <c r="A167" s="5">
        <v>3.0</v>
      </c>
      <c r="B167" s="5">
        <v>20074.0</v>
      </c>
      <c r="C167" s="5">
        <v>6294.0</v>
      </c>
      <c r="D167" s="5">
        <v>5966.96122758275</v>
      </c>
      <c r="E167" s="5">
        <v>19.840060929169834</v>
      </c>
      <c r="H167" s="5">
        <v>53.238068439242305</v>
      </c>
      <c r="K167" s="5">
        <v>5.480826168359987</v>
      </c>
      <c r="L167" s="9" t="b">
        <v>0</v>
      </c>
    </row>
    <row r="168" ht="15.75" customHeight="1">
      <c r="A168" s="5">
        <v>3.0</v>
      </c>
      <c r="B168" s="5">
        <v>20081.0</v>
      </c>
      <c r="C168" s="5">
        <v>6473.0</v>
      </c>
      <c r="D168" s="5">
        <v>6072.444675055928</v>
      </c>
      <c r="E168" s="5">
        <v>17.905282331511827</v>
      </c>
      <c r="H168" s="5">
        <v>30.13789031134364</v>
      </c>
      <c r="K168" s="5">
        <v>6.5962778811217815</v>
      </c>
      <c r="L168" s="9" t="b">
        <v>0</v>
      </c>
    </row>
    <row r="169" ht="15.75" customHeight="1">
      <c r="A169" s="5">
        <v>3.0</v>
      </c>
      <c r="B169" s="5">
        <v>20082.0</v>
      </c>
      <c r="C169" s="5">
        <v>7740.0</v>
      </c>
      <c r="D169" s="5">
        <v>6025.055638147695</v>
      </c>
      <c r="E169" s="5">
        <v>8.448928121059263</v>
      </c>
      <c r="F169" s="5">
        <v>39.782683472224015</v>
      </c>
      <c r="H169" s="5">
        <v>9.280573925161239</v>
      </c>
      <c r="I169" s="5">
        <v>39.630046409933385</v>
      </c>
      <c r="K169" s="5">
        <v>28.463543987778618</v>
      </c>
      <c r="L169" s="9" t="b">
        <v>0</v>
      </c>
    </row>
    <row r="170" ht="15.75" customHeight="1">
      <c r="A170" s="5">
        <v>3.0</v>
      </c>
      <c r="B170" s="5">
        <v>20083.0</v>
      </c>
      <c r="C170" s="5">
        <v>7042.0</v>
      </c>
      <c r="D170" s="5">
        <v>5895.654954144947</v>
      </c>
      <c r="E170" s="5">
        <v>-5.349462365591395</v>
      </c>
      <c r="F170" s="5">
        <v>10.211202254037381</v>
      </c>
      <c r="H170" s="5">
        <v>1.7552583092004692</v>
      </c>
      <c r="I170" s="5">
        <v>23.602947746236914</v>
      </c>
      <c r="K170" s="5">
        <v>19.443896475812483</v>
      </c>
      <c r="L170" s="9" t="b">
        <v>0</v>
      </c>
    </row>
    <row r="171" ht="15.75" customHeight="1">
      <c r="A171" s="5">
        <v>3.0</v>
      </c>
      <c r="B171" s="5">
        <v>20084.0</v>
      </c>
      <c r="C171" s="5">
        <v>6193.0</v>
      </c>
      <c r="D171" s="5">
        <v>5804.349717714975</v>
      </c>
      <c r="E171" s="5">
        <v>-1.6047028916428396</v>
      </c>
      <c r="F171" s="5">
        <v>4.850011298834214</v>
      </c>
      <c r="H171" s="5">
        <v>-2.725198030717735</v>
      </c>
      <c r="I171" s="5">
        <v>9.612131128746903</v>
      </c>
      <c r="K171" s="5">
        <v>6.695845377801035</v>
      </c>
      <c r="L171" s="9" t="b">
        <v>0</v>
      </c>
    </row>
    <row r="172" ht="15.75" customHeight="1">
      <c r="A172" s="5">
        <v>3.0</v>
      </c>
      <c r="B172" s="5">
        <v>20091.0</v>
      </c>
      <c r="C172" s="5">
        <v>5309.0</v>
      </c>
      <c r="D172" s="5">
        <v>5598.310117691001</v>
      </c>
      <c r="E172" s="5">
        <v>-17.98238838251197</v>
      </c>
      <c r="F172" s="5">
        <v>-4.121906379671736</v>
      </c>
      <c r="H172" s="5">
        <v>-7.807968334607507</v>
      </c>
      <c r="I172" s="5">
        <v>0.12566646725911657</v>
      </c>
      <c r="K172" s="5">
        <v>-5.167811564721358</v>
      </c>
      <c r="L172" s="9" t="b">
        <v>0</v>
      </c>
    </row>
    <row r="173" ht="15.75" customHeight="1">
      <c r="A173" s="5">
        <v>3.0</v>
      </c>
      <c r="B173" s="5">
        <v>20092.0</v>
      </c>
      <c r="C173" s="5">
        <v>5907.0</v>
      </c>
      <c r="D173" s="5">
        <v>5446.73226072432</v>
      </c>
      <c r="E173" s="5">
        <v>-23.68217054263566</v>
      </c>
      <c r="F173" s="5">
        <v>-12.154681045595467</v>
      </c>
      <c r="G173" s="5">
        <v>-51.93736451781948</v>
      </c>
      <c r="H173" s="5">
        <v>-9.598639616897731</v>
      </c>
      <c r="I173" s="5">
        <v>-4.594136918255626</v>
      </c>
      <c r="J173" s="5">
        <v>-44.224183328189014</v>
      </c>
      <c r="K173" s="5">
        <v>8.450346322227187</v>
      </c>
      <c r="L173" s="9" t="b">
        <v>0</v>
      </c>
    </row>
    <row r="174" ht="15.75" customHeight="1">
      <c r="A174" s="5">
        <v>3.0</v>
      </c>
      <c r="B174" s="5">
        <v>20093.0</v>
      </c>
      <c r="C174" s="5">
        <v>5804.0</v>
      </c>
      <c r="D174" s="5">
        <v>5486.048747070771</v>
      </c>
      <c r="E174" s="5">
        <v>-17.580232888383986</v>
      </c>
      <c r="F174" s="5">
        <v>-15.212373676293613</v>
      </c>
      <c r="G174" s="5">
        <v>-25.423575930330994</v>
      </c>
      <c r="H174" s="5">
        <v>-6.9475946313004915</v>
      </c>
      <c r="I174" s="5">
        <v>-6.769850153380865</v>
      </c>
      <c r="J174" s="5">
        <v>-30.37279789961778</v>
      </c>
      <c r="K174" s="5">
        <v>5.795633024569757</v>
      </c>
      <c r="L174" s="9" t="b">
        <v>0</v>
      </c>
    </row>
    <row r="175" ht="15.75" customHeight="1">
      <c r="A175" s="5">
        <v>3.0</v>
      </c>
      <c r="B175" s="5">
        <v>20094.0</v>
      </c>
      <c r="C175" s="5">
        <v>5476.0</v>
      </c>
      <c r="D175" s="5">
        <v>5551.772759642765</v>
      </c>
      <c r="E175" s="5">
        <v>-11.577587598901983</v>
      </c>
      <c r="F175" s="5">
        <v>-17.7055948531084</v>
      </c>
      <c r="G175" s="5">
        <v>-22.555606151942616</v>
      </c>
      <c r="H175" s="5">
        <v>-4.351511717175494</v>
      </c>
      <c r="I175" s="5">
        <v>-7.176428574995305</v>
      </c>
      <c r="J175" s="5">
        <v>-16.78855970374221</v>
      </c>
      <c r="K175" s="5">
        <v>-1.364838996897999</v>
      </c>
      <c r="L175" s="9" t="b">
        <v>0</v>
      </c>
    </row>
    <row r="176" ht="15.75" customHeight="1">
      <c r="A176" s="5">
        <v>3.0</v>
      </c>
      <c r="B176" s="5">
        <v>20101.0</v>
      </c>
      <c r="C176" s="5">
        <v>5839.453402843497</v>
      </c>
      <c r="D176" s="5">
        <v>5636.896256374807</v>
      </c>
      <c r="E176" s="5">
        <v>9.991587923215238</v>
      </c>
      <c r="F176" s="5">
        <v>-10.712100776676598</v>
      </c>
      <c r="G176" s="5">
        <v>-6.590194397004862</v>
      </c>
      <c r="H176" s="5">
        <v>0.6892461809479222</v>
      </c>
      <c r="I176" s="5">
        <v>-5.052124946106448</v>
      </c>
      <c r="J176" s="5">
        <v>-5.177791413365565</v>
      </c>
      <c r="K176" s="5">
        <v>3.593416257033577</v>
      </c>
      <c r="L176" s="9" t="b">
        <v>0</v>
      </c>
    </row>
    <row r="177" ht="15.75" customHeight="1">
      <c r="A177" s="5">
        <v>3.0</v>
      </c>
      <c r="B177" s="5">
        <v>20102.0</v>
      </c>
      <c r="C177" s="5">
        <v>5677.562445376994</v>
      </c>
      <c r="D177" s="5">
        <v>5571.290128957247</v>
      </c>
      <c r="E177" s="5">
        <v>-3.8841637823430752</v>
      </c>
      <c r="F177" s="5">
        <v>-5.762599086603451</v>
      </c>
      <c r="G177" s="5">
        <v>6.392081958992016</v>
      </c>
      <c r="H177" s="5">
        <v>2.2868366255322847</v>
      </c>
      <c r="I177" s="5">
        <v>-2.0807558854989443</v>
      </c>
      <c r="J177" s="5">
        <v>2.5133810327566817</v>
      </c>
      <c r="K177" s="5">
        <v>1.907499231953258</v>
      </c>
      <c r="L177" s="9" t="b">
        <v>0</v>
      </c>
    </row>
    <row r="178" ht="15.75" customHeight="1">
      <c r="A178" s="5">
        <v>3.0</v>
      </c>
      <c r="B178" s="5">
        <v>20103.0</v>
      </c>
      <c r="C178" s="5">
        <v>5272.049376839999</v>
      </c>
      <c r="D178" s="5">
        <v>5499.577369188112</v>
      </c>
      <c r="E178" s="5">
        <v>-9.165241611991748</v>
      </c>
      <c r="F178" s="5">
        <v>-3.658851267505392</v>
      </c>
      <c r="G178" s="5">
        <v>11.55352240878822</v>
      </c>
      <c r="H178" s="5">
        <v>0.24660047223541426</v>
      </c>
      <c r="I178" s="5">
        <v>-0.2822071096149681</v>
      </c>
      <c r="J178" s="5">
        <v>6.487643043765897</v>
      </c>
      <c r="K178" s="5">
        <v>-4.1371904979982554</v>
      </c>
      <c r="L178" s="9" t="b">
        <v>0</v>
      </c>
    </row>
    <row r="179" ht="15.75" customHeight="1">
      <c r="A179" s="5">
        <v>3.0</v>
      </c>
      <c r="B179" s="5">
        <v>20104.0</v>
      </c>
      <c r="C179" s="5">
        <v>5216.0</v>
      </c>
      <c r="D179" s="5">
        <v>5359.962612844496</v>
      </c>
      <c r="E179" s="5">
        <v>-4.7479912344777215</v>
      </c>
      <c r="F179" s="5">
        <v>-1.9514521763993264</v>
      </c>
      <c r="G179" s="5">
        <v>15.754142676709074</v>
      </c>
      <c r="H179" s="5">
        <v>-3.4549351189692934</v>
      </c>
      <c r="I179" s="5">
        <v>-0.058062960063418045</v>
      </c>
      <c r="J179" s="5">
        <v>7.1183656149318875</v>
      </c>
      <c r="K179" s="5">
        <v>-2.68588837727165</v>
      </c>
      <c r="L179" s="9" t="b">
        <v>0</v>
      </c>
    </row>
    <row r="180" ht="15.75" customHeight="1">
      <c r="A180" s="5">
        <v>3.0</v>
      </c>
      <c r="B180" s="5">
        <v>20111.0</v>
      </c>
      <c r="C180" s="5">
        <v>5692.0</v>
      </c>
      <c r="D180" s="5">
        <v>5506.865401813879</v>
      </c>
      <c r="E180" s="5">
        <v>-2.5251233749325808</v>
      </c>
      <c r="F180" s="5">
        <v>-5.080630000936281</v>
      </c>
      <c r="G180" s="5">
        <v>5.6314707757403175</v>
      </c>
      <c r="H180" s="5">
        <v>-2.3067810484160622</v>
      </c>
      <c r="I180" s="5">
        <v>-0.8070697674044142</v>
      </c>
      <c r="J180" s="5">
        <v>4.245055178702034</v>
      </c>
      <c r="K180" s="5">
        <v>3.361887111407169</v>
      </c>
      <c r="L180" s="9" t="b">
        <v>0</v>
      </c>
    </row>
    <row r="181" ht="15.75" customHeight="1">
      <c r="A181" s="5">
        <v>3.0</v>
      </c>
      <c r="B181" s="5">
        <v>20112.0</v>
      </c>
      <c r="C181" s="5">
        <v>5661.0</v>
      </c>
      <c r="D181" s="5">
        <v>5568.1861320340495</v>
      </c>
      <c r="E181" s="5">
        <v>-0.29171753787543553</v>
      </c>
      <c r="F181" s="5">
        <v>-4.182518439819371</v>
      </c>
      <c r="G181" s="5">
        <v>1.5800806467840802</v>
      </c>
      <c r="H181" s="5">
        <v>-0.05571414970949595</v>
      </c>
      <c r="I181" s="5">
        <v>-1.3927074612148593</v>
      </c>
      <c r="J181" s="5">
        <v>0.688048424284085</v>
      </c>
      <c r="K181" s="5">
        <v>1.666860010874771</v>
      </c>
      <c r="L181" s="9" t="b">
        <v>0</v>
      </c>
    </row>
    <row r="182" ht="15.75" customHeight="1">
      <c r="A182" s="5">
        <v>3.0</v>
      </c>
      <c r="B182" s="5">
        <v>20113.0</v>
      </c>
      <c r="C182" s="5">
        <v>5479.0</v>
      </c>
      <c r="D182" s="5">
        <v>5431.631699281925</v>
      </c>
      <c r="E182" s="5">
        <v>3.9254302903370064</v>
      </c>
      <c r="F182" s="5">
        <v>-0.9098504642371829</v>
      </c>
      <c r="G182" s="5">
        <v>2.749000803268209</v>
      </c>
      <c r="H182" s="5">
        <v>-1.235470752477441</v>
      </c>
      <c r="I182" s="5">
        <v>-1.763225267393073</v>
      </c>
      <c r="J182" s="5">
        <v>-1.481018157778105</v>
      </c>
      <c r="K182" s="5">
        <v>0.8720823380631071</v>
      </c>
      <c r="L182" s="9" t="b">
        <v>0</v>
      </c>
    </row>
    <row r="183" ht="15.75" customHeight="1">
      <c r="A183" s="5">
        <v>3.0</v>
      </c>
      <c r="B183" s="5">
        <v>20114.0</v>
      </c>
      <c r="C183" s="5">
        <v>5506.0</v>
      </c>
      <c r="D183" s="5">
        <v>5279.727664566392</v>
      </c>
      <c r="E183" s="5">
        <v>5.559815950920255</v>
      </c>
      <c r="F183" s="5">
        <v>1.6671013321123112</v>
      </c>
      <c r="G183" s="5">
        <v>3.6185535085116376</v>
      </c>
      <c r="H183" s="5">
        <v>-1.4969311182475464</v>
      </c>
      <c r="I183" s="5">
        <v>-1.2737242672126365</v>
      </c>
      <c r="J183" s="5">
        <v>-1.2156613071492184</v>
      </c>
      <c r="K183" s="5">
        <v>4.285681948184172</v>
      </c>
      <c r="L183" s="9" t="b">
        <v>0</v>
      </c>
    </row>
    <row r="184" ht="15.75" customHeight="1">
      <c r="A184" s="5">
        <v>3.0</v>
      </c>
      <c r="B184" s="5">
        <v>20121.0</v>
      </c>
      <c r="C184" s="5">
        <v>5594.0</v>
      </c>
      <c r="D184" s="5">
        <v>5310.036825868945</v>
      </c>
      <c r="E184" s="5">
        <v>-1.7217146872803957</v>
      </c>
      <c r="F184" s="5">
        <v>1.8679535040253576</v>
      </c>
      <c r="G184" s="5">
        <v>6.948583504961638</v>
      </c>
      <c r="H184" s="5">
        <v>-3.574239818538172</v>
      </c>
      <c r="I184" s="5">
        <v>-1.590588959743164</v>
      </c>
      <c r="J184" s="5">
        <v>-0.7835191923387498</v>
      </c>
      <c r="K184" s="5">
        <v>5.347668640406966</v>
      </c>
      <c r="L184" s="9" t="b">
        <v>0</v>
      </c>
    </row>
    <row r="185" ht="15.75" customHeight="1">
      <c r="A185" s="5">
        <v>3.0</v>
      </c>
      <c r="B185" s="5">
        <v>20122.0</v>
      </c>
      <c r="C185" s="5">
        <v>5604.392770583786</v>
      </c>
      <c r="D185" s="5">
        <v>5111.50692056091</v>
      </c>
      <c r="E185" s="5">
        <v>-0.9999510584033589</v>
      </c>
      <c r="F185" s="5">
        <v>1.6908951238933765</v>
      </c>
      <c r="G185" s="5">
        <v>5.873413563712748</v>
      </c>
      <c r="H185" s="5">
        <v>-8.201579484669907</v>
      </c>
      <c r="I185" s="5">
        <v>-3.6270552934832665</v>
      </c>
      <c r="J185" s="5">
        <v>-2.234347832268407</v>
      </c>
      <c r="K185" s="5">
        <v>9.642672066827407</v>
      </c>
      <c r="L185" s="9" t="b">
        <v>0</v>
      </c>
    </row>
    <row r="186" ht="15.75" customHeight="1">
      <c r="A186" s="5">
        <v>3.0</v>
      </c>
      <c r="B186" s="5">
        <v>20123.0</v>
      </c>
      <c r="C186" s="5">
        <v>5554.577855321117</v>
      </c>
      <c r="D186" s="5">
        <v>5193.285895378498</v>
      </c>
      <c r="E186" s="5">
        <v>1.3794096609073936</v>
      </c>
      <c r="F186" s="5">
        <v>1.0543899665359735</v>
      </c>
      <c r="G186" s="5">
        <v>1.9642404307731565</v>
      </c>
      <c r="H186" s="5">
        <v>-4.388106872837804</v>
      </c>
      <c r="I186" s="5">
        <v>-4.415214323573357</v>
      </c>
      <c r="J186" s="5">
        <v>-2.651989056180284</v>
      </c>
      <c r="K186" s="5">
        <v>6.956904881052894</v>
      </c>
      <c r="L186" s="9" t="b">
        <v>0</v>
      </c>
    </row>
    <row r="187" ht="15.75" customHeight="1">
      <c r="A187" s="5">
        <v>3.0</v>
      </c>
      <c r="B187" s="5">
        <v>20124.0</v>
      </c>
      <c r="C187" s="5">
        <v>5335.860958416326</v>
      </c>
      <c r="D187" s="5">
        <v>4960.191225249676</v>
      </c>
      <c r="E187" s="5">
        <v>-3.0900661384612116</v>
      </c>
      <c r="F187" s="5">
        <v>-1.1080805558093934</v>
      </c>
      <c r="G187" s="5">
        <v>-2.7751818879217045</v>
      </c>
      <c r="H187" s="5">
        <v>-6.052138663537654</v>
      </c>
      <c r="I187" s="5">
        <v>-5.5540162098958845</v>
      </c>
      <c r="J187" s="5">
        <v>-4.280291942683248</v>
      </c>
      <c r="K187" s="5">
        <v>7.573694563514333</v>
      </c>
      <c r="L187" s="9" t="b">
        <v>0</v>
      </c>
    </row>
    <row r="188" ht="15.75" customHeight="1">
      <c r="A188" s="5">
        <v>3.0</v>
      </c>
      <c r="B188" s="5">
        <v>20131.0</v>
      </c>
      <c r="C188" s="5">
        <v>5291.974370324039</v>
      </c>
      <c r="D188" s="5">
        <v>4837.347312133248</v>
      </c>
      <c r="E188" s="5">
        <v>-5.399099565176268</v>
      </c>
      <c r="F188" s="5">
        <v>-2.0274267752833612</v>
      </c>
      <c r="G188" s="5">
        <v>-3.8953802793087187</v>
      </c>
      <c r="H188" s="5">
        <v>-8.901812345874738</v>
      </c>
      <c r="I188" s="5">
        <v>-6.8859093417300254</v>
      </c>
      <c r="J188" s="5">
        <v>-5.295320381986862</v>
      </c>
      <c r="K188" s="5">
        <v>9.398272004378839</v>
      </c>
      <c r="L188" s="9" t="b">
        <v>0</v>
      </c>
    </row>
    <row r="189" ht="15.75" customHeight="1">
      <c r="A189" s="5">
        <v>3.0</v>
      </c>
      <c r="B189" s="5">
        <v>20132.0</v>
      </c>
      <c r="C189" s="5">
        <v>5682.0</v>
      </c>
      <c r="D189" s="5">
        <v>4876.624772411025</v>
      </c>
      <c r="E189" s="5">
        <v>1.384757146636062</v>
      </c>
      <c r="F189" s="5">
        <v>-1.4312497240235063</v>
      </c>
      <c r="G189" s="5">
        <v>-3.122144847916883</v>
      </c>
      <c r="H189" s="5">
        <v>-4.5951644358550485</v>
      </c>
      <c r="I189" s="5">
        <v>-5.984305579526311</v>
      </c>
      <c r="J189" s="5">
        <v>-2.357250286043045</v>
      </c>
      <c r="K189" s="5">
        <v>16.51501325558811</v>
      </c>
      <c r="L189" s="9" t="b">
        <v>0</v>
      </c>
    </row>
    <row r="190" ht="15.75" customHeight="1">
      <c r="A190" s="5">
        <v>3.0</v>
      </c>
      <c r="B190" s="5">
        <v>20133.0</v>
      </c>
      <c r="C190" s="5">
        <v>5794.3890775663085</v>
      </c>
      <c r="D190" s="5">
        <v>4796.141543264492</v>
      </c>
      <c r="E190" s="5">
        <v>4.317361795828645</v>
      </c>
      <c r="F190" s="5">
        <v>-0.6967616902931935</v>
      </c>
      <c r="G190" s="5">
        <v>-1.751151656829167</v>
      </c>
      <c r="H190" s="5">
        <v>-7.647265336719178</v>
      </c>
      <c r="I190" s="5">
        <v>-6.799095195496655</v>
      </c>
      <c r="J190" s="5">
        <v>-2.3838808719232976</v>
      </c>
      <c r="K190" s="5">
        <v>20.81355450619917</v>
      </c>
      <c r="L190" s="9" t="b">
        <v>0</v>
      </c>
    </row>
    <row r="191" ht="15.75" customHeight="1">
      <c r="A191" s="5">
        <v>3.0</v>
      </c>
      <c r="B191" s="5">
        <v>20134.0</v>
      </c>
      <c r="C191" s="5">
        <v>6154.847039495945</v>
      </c>
      <c r="D191" s="5">
        <v>4839.76649069009</v>
      </c>
      <c r="E191" s="5">
        <v>15.34871480839135</v>
      </c>
      <c r="F191" s="5">
        <v>3.912933546419947</v>
      </c>
      <c r="G191" s="5">
        <v>5.021014102229341</v>
      </c>
      <c r="H191" s="5">
        <v>-2.4278244344001942</v>
      </c>
      <c r="I191" s="5">
        <v>-5.8930166382122895</v>
      </c>
      <c r="J191" s="5">
        <v>-0.339000428316405</v>
      </c>
      <c r="K191" s="5">
        <v>27.17239667111173</v>
      </c>
      <c r="L191" s="9" t="b">
        <v>0</v>
      </c>
    </row>
    <row r="192" ht="15.75" customHeight="1">
      <c r="A192" s="5">
        <v>3.0</v>
      </c>
      <c r="B192" s="5">
        <v>20141.0</v>
      </c>
      <c r="C192" s="5">
        <v>5501.162748087576</v>
      </c>
      <c r="D192" s="5">
        <v>4807.375528208185</v>
      </c>
      <c r="E192" s="5">
        <v>3.9529363357579506</v>
      </c>
      <c r="F192" s="5">
        <v>6.250942521653502</v>
      </c>
      <c r="G192" s="5">
        <v>8.278369296936862</v>
      </c>
      <c r="H192" s="5">
        <v>-0.6195913171230583</v>
      </c>
      <c r="I192" s="5">
        <v>-3.82246138102437</v>
      </c>
      <c r="J192" s="5">
        <v>3.0634479607056555</v>
      </c>
      <c r="K192" s="5">
        <v>14.43172508177204</v>
      </c>
      <c r="L192" s="9" t="b">
        <v>0</v>
      </c>
    </row>
    <row r="193" ht="15.75" customHeight="1">
      <c r="A193" s="5">
        <v>3.0</v>
      </c>
      <c r="B193" s="5">
        <v>20142.0</v>
      </c>
      <c r="C193" s="5">
        <v>5977.0</v>
      </c>
      <c r="D193" s="5">
        <v>4924.149435254337</v>
      </c>
      <c r="E193" s="5">
        <v>5.1918338613164305</v>
      </c>
      <c r="F193" s="5">
        <v>7.202711700323594</v>
      </c>
      <c r="G193" s="5">
        <v>8.633961424347099</v>
      </c>
      <c r="H193" s="5">
        <v>0.9745400776409285</v>
      </c>
      <c r="I193" s="5">
        <v>-2.4300352526503755</v>
      </c>
      <c r="J193" s="5">
        <v>3.554270326875936</v>
      </c>
      <c r="K193" s="5">
        <v>21.381369078846447</v>
      </c>
      <c r="L193" s="9" t="b">
        <v>0</v>
      </c>
    </row>
    <row r="194" ht="15.75" customHeight="1">
      <c r="A194" s="5">
        <v>3.0</v>
      </c>
      <c r="B194" s="5">
        <v>20143.0</v>
      </c>
      <c r="C194" s="5">
        <v>5805.0</v>
      </c>
      <c r="D194" s="5">
        <v>5029.304406070606</v>
      </c>
      <c r="E194" s="5">
        <v>0.18312409283616216</v>
      </c>
      <c r="F194" s="5">
        <v>6.169152274575473</v>
      </c>
      <c r="G194" s="5">
        <v>6.865913964868667</v>
      </c>
      <c r="H194" s="5">
        <v>4.8614675088886505</v>
      </c>
      <c r="I194" s="5">
        <v>0.6971479587515816</v>
      </c>
      <c r="J194" s="5">
        <v>7.496243154248236</v>
      </c>
      <c r="K194" s="5">
        <v>15.423516480591083</v>
      </c>
      <c r="L194" s="9" t="b">
        <v>0</v>
      </c>
    </row>
    <row r="195" ht="15.75" customHeight="1">
      <c r="A195" s="5">
        <v>3.0</v>
      </c>
      <c r="B195" s="5">
        <v>20144.0</v>
      </c>
      <c r="C195" s="5">
        <v>5785.164605085275</v>
      </c>
      <c r="D195" s="5">
        <v>4981.433894787177</v>
      </c>
      <c r="E195" s="5">
        <v>-6.006362660816755</v>
      </c>
      <c r="F195" s="5">
        <v>0.830382907273447</v>
      </c>
      <c r="G195" s="5">
        <v>-3.0825506391464996</v>
      </c>
      <c r="H195" s="5">
        <v>2.9271537039979645</v>
      </c>
      <c r="I195" s="5">
        <v>2.0358924933511213</v>
      </c>
      <c r="J195" s="5">
        <v>7.928909131563411</v>
      </c>
      <c r="K195" s="5">
        <v>16.134525264686573</v>
      </c>
      <c r="L195" s="9" t="b">
        <v>0</v>
      </c>
    </row>
    <row r="196" ht="15.75" customHeight="1">
      <c r="A196" s="5">
        <v>3.0</v>
      </c>
      <c r="B196" s="5">
        <v>20151.0</v>
      </c>
      <c r="C196" s="5">
        <v>5950.924168372506</v>
      </c>
      <c r="D196" s="5">
        <v>5033.241569755294</v>
      </c>
      <c r="E196" s="5">
        <v>8.175751943373877</v>
      </c>
      <c r="F196" s="5">
        <v>1.8860868091774285</v>
      </c>
      <c r="G196" s="5">
        <v>-4.364855712476073</v>
      </c>
      <c r="H196" s="5">
        <v>4.6983232373214445</v>
      </c>
      <c r="I196" s="5">
        <v>3.365371131962247</v>
      </c>
      <c r="J196" s="5">
        <v>7.187832512986617</v>
      </c>
      <c r="K196" s="5">
        <v>18.23243700702861</v>
      </c>
      <c r="L196" s="9" t="b">
        <v>0</v>
      </c>
    </row>
    <row r="197" ht="15.75" customHeight="1">
      <c r="A197" s="5">
        <v>3.0</v>
      </c>
      <c r="B197" s="5">
        <v>20152.0</v>
      </c>
      <c r="C197" s="5">
        <v>5749.018427312929</v>
      </c>
      <c r="D197" s="5">
        <v>5042.122487190707</v>
      </c>
      <c r="E197" s="5">
        <v>-3.8143144167152587</v>
      </c>
      <c r="F197" s="5">
        <v>-0.36545026033049377</v>
      </c>
      <c r="G197" s="5">
        <v>-7.568161960654088</v>
      </c>
      <c r="H197" s="5">
        <v>2.3958056815202466</v>
      </c>
      <c r="I197" s="5">
        <v>3.720687532932077</v>
      </c>
      <c r="J197" s="5">
        <v>6.1507227855824524</v>
      </c>
      <c r="K197" s="5">
        <v>14.019808957796243</v>
      </c>
      <c r="L197" s="9" t="b">
        <v>0</v>
      </c>
    </row>
    <row r="198" ht="15.75" customHeight="1">
      <c r="A198" s="5">
        <v>3.0</v>
      </c>
      <c r="B198" s="5">
        <v>20153.0</v>
      </c>
      <c r="C198" s="5">
        <v>6089.023901388703</v>
      </c>
      <c r="D198" s="5">
        <v>5105.237292729652</v>
      </c>
      <c r="E198" s="5">
        <v>4.8927459326219225</v>
      </c>
      <c r="F198" s="5">
        <v>0.8119551996159463</v>
      </c>
      <c r="G198" s="5">
        <v>-5.357197074959527</v>
      </c>
      <c r="H198" s="5">
        <v>1.5098089224305333</v>
      </c>
      <c r="I198" s="5">
        <v>2.8827728863175475</v>
      </c>
      <c r="J198" s="5">
        <v>2.185624927565966</v>
      </c>
      <c r="K198" s="5">
        <v>19.2701446034655</v>
      </c>
      <c r="L198" s="9" t="b">
        <v>0</v>
      </c>
    </row>
    <row r="199" ht="15.75" customHeight="1">
      <c r="A199" s="5">
        <v>3.0</v>
      </c>
      <c r="B199" s="5">
        <v>20154.0</v>
      </c>
      <c r="C199" s="5">
        <v>6030.86308292023</v>
      </c>
      <c r="D199" s="5">
        <v>5239.447639007315</v>
      </c>
      <c r="E199" s="5">
        <v>4.247043854534094</v>
      </c>
      <c r="F199" s="5">
        <v>3.3753068284536587</v>
      </c>
      <c r="G199" s="5">
        <v>2.544923921180212</v>
      </c>
      <c r="H199" s="5">
        <v>5.179507540793349</v>
      </c>
      <c r="I199" s="5">
        <v>3.445861345516393</v>
      </c>
      <c r="J199" s="5">
        <v>1.4099688521652718</v>
      </c>
      <c r="K199" s="5">
        <v>15.104940414346046</v>
      </c>
      <c r="L199" s="9" t="b">
        <v>0</v>
      </c>
    </row>
    <row r="200" ht="15.75" customHeight="1">
      <c r="A200" s="5">
        <v>3.0</v>
      </c>
      <c r="B200" s="5">
        <v>20161.0</v>
      </c>
      <c r="C200" s="5">
        <v>6451.9399543836425</v>
      </c>
      <c r="D200" s="5">
        <v>5339.900015532617</v>
      </c>
      <c r="E200" s="5">
        <v>8.419125699398</v>
      </c>
      <c r="F200" s="5">
        <v>3.436150267459689</v>
      </c>
      <c r="G200" s="5">
        <v>1.5500634582822606</v>
      </c>
      <c r="H200" s="5">
        <v>6.09266297926232</v>
      </c>
      <c r="I200" s="5">
        <v>3.794446281001612</v>
      </c>
      <c r="J200" s="5">
        <v>0.42907514903936494</v>
      </c>
      <c r="K200" s="5">
        <v>20.82510787873073</v>
      </c>
      <c r="L200" s="9" t="b">
        <v>0</v>
      </c>
    </row>
    <row r="201" ht="15.75" customHeight="1">
      <c r="A201" s="5">
        <v>3.0</v>
      </c>
      <c r="B201" s="5">
        <v>20162.0</v>
      </c>
      <c r="C201" s="5">
        <v>6185.232953758104</v>
      </c>
      <c r="D201" s="5">
        <v>5356.3180468235805</v>
      </c>
      <c r="E201" s="5">
        <v>7.587634862549231</v>
      </c>
      <c r="F201" s="5">
        <v>6.286637587275811</v>
      </c>
      <c r="G201" s="5">
        <v>6.652087847606305</v>
      </c>
      <c r="H201" s="5">
        <v>6.23141465585324</v>
      </c>
      <c r="I201" s="5">
        <v>4.75334852458486</v>
      </c>
      <c r="J201" s="5">
        <v>1.032660991652783</v>
      </c>
      <c r="K201" s="5">
        <v>15.475460935821172</v>
      </c>
      <c r="L201" s="9" t="b">
        <v>0</v>
      </c>
    </row>
    <row r="202" ht="15.75" customHeight="1">
      <c r="A202" s="5">
        <v>3.0</v>
      </c>
      <c r="B202" s="5">
        <v>20163.0</v>
      </c>
      <c r="C202" s="5">
        <v>6283.464883513318</v>
      </c>
      <c r="D202" s="5">
        <v>5510.988491624818</v>
      </c>
      <c r="E202" s="5">
        <v>3.1933029870398366</v>
      </c>
      <c r="F202" s="5">
        <v>5.86177685088029</v>
      </c>
      <c r="G202" s="5">
        <v>5.0498216512643435</v>
      </c>
      <c r="H202" s="5">
        <v>7.947744162117498</v>
      </c>
      <c r="I202" s="5">
        <v>6.362832334506601</v>
      </c>
      <c r="J202" s="5">
        <v>3.4800594481890537</v>
      </c>
      <c r="K202" s="5">
        <v>14.017020595532914</v>
      </c>
      <c r="L202" s="9" t="b">
        <v>0</v>
      </c>
    </row>
    <row r="203" ht="15.75" customHeight="1">
      <c r="A203" s="5">
        <v>3.0</v>
      </c>
      <c r="B203" s="5">
        <v>20164.0</v>
      </c>
      <c r="C203" s="5">
        <v>6481.188638614131</v>
      </c>
      <c r="D203" s="5">
        <v>5561.760884735321</v>
      </c>
      <c r="E203" s="5">
        <v>7.467016735452847</v>
      </c>
      <c r="F203" s="5">
        <v>6.666770071109978</v>
      </c>
      <c r="G203" s="5">
        <v>3.2914632426563193</v>
      </c>
      <c r="H203" s="5">
        <v>6.151664601596685</v>
      </c>
      <c r="I203" s="5">
        <v>6.605871599707435</v>
      </c>
      <c r="J203" s="5">
        <v>3.160010254191042</v>
      </c>
      <c r="K203" s="5">
        <v>16.531234854095402</v>
      </c>
      <c r="L203" s="9" t="b">
        <v>0</v>
      </c>
    </row>
    <row r="204" ht="15.75" customHeight="1">
      <c r="A204" s="5">
        <v>3.0</v>
      </c>
      <c r="B204" s="5">
        <v>20171.0</v>
      </c>
      <c r="C204" s="5">
        <v>6430.393973420255</v>
      </c>
      <c r="D204" s="5">
        <v>5664.507756780966</v>
      </c>
      <c r="E204" s="5">
        <v>-0.33394577624282773</v>
      </c>
      <c r="F204" s="5">
        <v>4.478502202199771</v>
      </c>
      <c r="G204" s="5">
        <v>1.0423519347400823</v>
      </c>
      <c r="H204" s="5">
        <v>6.078910472183652</v>
      </c>
      <c r="I204" s="5">
        <v>6.6024334729377685</v>
      </c>
      <c r="J204" s="5">
        <v>2.8079871919361565</v>
      </c>
      <c r="K204" s="5">
        <v>13.52079032326241</v>
      </c>
      <c r="L204" s="9" t="b">
        <v>0</v>
      </c>
    </row>
    <row r="205" ht="15.75" customHeight="1">
      <c r="A205" s="5">
        <v>3.0</v>
      </c>
      <c r="B205" s="5">
        <v>20172.0</v>
      </c>
      <c r="C205" s="5">
        <v>6500.627809302677</v>
      </c>
      <c r="D205" s="5">
        <v>5848.886116060441</v>
      </c>
      <c r="E205" s="5">
        <v>5.099158882171784</v>
      </c>
      <c r="F205" s="5">
        <v>3.8563832071054103</v>
      </c>
      <c r="G205" s="5">
        <v>-2.4302543801704006</v>
      </c>
      <c r="H205" s="5">
        <v>9.196019820536328</v>
      </c>
      <c r="I205" s="5">
        <v>7.34358476410854</v>
      </c>
      <c r="J205" s="5">
        <v>2.59023623952368</v>
      </c>
      <c r="K205" s="5">
        <v>11.143005357081925</v>
      </c>
      <c r="L205" s="9" t="b">
        <v>0</v>
      </c>
    </row>
    <row r="206" ht="15.75" customHeight="1">
      <c r="A206" s="5">
        <v>3.0</v>
      </c>
      <c r="B206" s="5">
        <v>20173.0</v>
      </c>
      <c r="C206" s="5">
        <v>6816.260959798378</v>
      </c>
      <c r="D206" s="5">
        <v>6048.884806492255</v>
      </c>
      <c r="E206" s="5">
        <v>8.479335623932926</v>
      </c>
      <c r="F206" s="5">
        <v>5.177891366328682</v>
      </c>
      <c r="G206" s="5">
        <v>-0.6838854845516078</v>
      </c>
      <c r="H206" s="5">
        <v>9.760432555518683</v>
      </c>
      <c r="I206" s="5">
        <v>7.796756862458837</v>
      </c>
      <c r="J206" s="5">
        <v>1.433924527952236</v>
      </c>
      <c r="K206" s="5">
        <v>12.68624180911</v>
      </c>
      <c r="L206" s="9" t="b">
        <v>0</v>
      </c>
    </row>
    <row r="207" ht="15.75" customHeight="1">
      <c r="A207" s="5">
        <v>3.0</v>
      </c>
      <c r="B207" s="5">
        <v>20174.0</v>
      </c>
      <c r="C207" s="5">
        <v>6829.488041372946</v>
      </c>
      <c r="D207" s="5">
        <v>6329.993870897721</v>
      </c>
      <c r="E207" s="5">
        <v>5.374005019444872</v>
      </c>
      <c r="F207" s="5">
        <v>4.654638437326688</v>
      </c>
      <c r="G207" s="5">
        <v>-2.01213163378329</v>
      </c>
      <c r="H207" s="5">
        <v>13.812765454747854</v>
      </c>
      <c r="I207" s="5">
        <v>9.71203207574663</v>
      </c>
      <c r="J207" s="5">
        <v>3.106160476039194</v>
      </c>
      <c r="K207" s="5">
        <v>7.890910807539009</v>
      </c>
      <c r="L207" s="9" t="b">
        <v>0</v>
      </c>
    </row>
    <row r="208" ht="15.75" customHeight="1">
      <c r="A208" s="5">
        <v>3.0</v>
      </c>
      <c r="B208" s="5">
        <v>20181.0</v>
      </c>
      <c r="C208" s="5">
        <v>7254.886886199337</v>
      </c>
      <c r="D208" s="5">
        <v>6388.062207473694</v>
      </c>
      <c r="E208" s="5">
        <v>12.821810237243426</v>
      </c>
      <c r="F208" s="5">
        <v>7.943577440698252</v>
      </c>
      <c r="G208" s="5">
        <v>3.46507523849848</v>
      </c>
      <c r="H208" s="5">
        <v>12.773474444033784</v>
      </c>
      <c r="I208" s="5">
        <v>11.385673068709163</v>
      </c>
      <c r="J208" s="5">
        <v>4.783239595771395</v>
      </c>
      <c r="K208" s="5">
        <v>13.56944642322837</v>
      </c>
      <c r="L208" s="9" t="b">
        <v>0</v>
      </c>
    </row>
    <row r="209" ht="15.75" customHeight="1">
      <c r="A209" s="5">
        <v>3.0</v>
      </c>
      <c r="B209" s="5">
        <v>20182.0</v>
      </c>
      <c r="C209" s="5">
        <v>7543.47657101777</v>
      </c>
      <c r="D209" s="5">
        <v>6644.604752692595</v>
      </c>
      <c r="E209" s="5">
        <v>16.042277643133662</v>
      </c>
      <c r="F209" s="5">
        <v>10.679357130938723</v>
      </c>
      <c r="G209" s="5">
        <v>6.822973923833312</v>
      </c>
      <c r="H209" s="5">
        <v>13.604618398145796</v>
      </c>
      <c r="I209" s="5">
        <v>12.48782271311153</v>
      </c>
      <c r="J209" s="5">
        <v>5.14423794900299</v>
      </c>
      <c r="K209" s="5">
        <v>13.527844797102873</v>
      </c>
      <c r="L209" s="9" t="b">
        <v>0</v>
      </c>
    </row>
    <row r="210" ht="15.75" customHeight="1">
      <c r="A210" s="5">
        <v>3.0</v>
      </c>
      <c r="B210" s="5">
        <v>20183.0</v>
      </c>
      <c r="C210" s="5">
        <v>7256.830657899568</v>
      </c>
      <c r="D210" s="5">
        <v>7035.3741273642845</v>
      </c>
      <c r="E210" s="5">
        <v>6.463509843587634</v>
      </c>
      <c r="F210" s="5">
        <v>10.175400685852399</v>
      </c>
      <c r="G210" s="5">
        <v>4.997509319523717</v>
      </c>
      <c r="H210" s="5">
        <v>16.308614768349237</v>
      </c>
      <c r="I210" s="5">
        <v>14.124868266319169</v>
      </c>
      <c r="J210" s="5">
        <v>6.328111403860332</v>
      </c>
      <c r="K210" s="5">
        <v>3.147757695982678</v>
      </c>
      <c r="L210" s="9" t="b">
        <v>0</v>
      </c>
    </row>
    <row r="211" ht="15.75" customHeight="1">
      <c r="A211" s="5">
        <v>3.0</v>
      </c>
      <c r="B211" s="5">
        <v>20184.0</v>
      </c>
      <c r="C211" s="5">
        <v>7914.527126276858</v>
      </c>
      <c r="D211" s="5">
        <v>7376.14701052792</v>
      </c>
      <c r="E211" s="5">
        <v>15.887561092877833</v>
      </c>
      <c r="F211" s="5">
        <v>12.803789704210638</v>
      </c>
      <c r="G211" s="5">
        <v>8.149151266883951</v>
      </c>
      <c r="H211" s="5">
        <v>16.526921841740027</v>
      </c>
      <c r="I211" s="5">
        <v>14.803407363067212</v>
      </c>
      <c r="J211" s="5">
        <v>5.091375287320583</v>
      </c>
      <c r="K211" s="5">
        <v>7.298934185835937</v>
      </c>
      <c r="L211" s="9" t="b">
        <v>0</v>
      </c>
    </row>
    <row r="212" ht="15.75" customHeight="1">
      <c r="A212" s="5">
        <v>3.0</v>
      </c>
      <c r="B212" s="5">
        <v>20191.0</v>
      </c>
      <c r="C212" s="5">
        <v>8262.364454478608</v>
      </c>
      <c r="D212" s="5">
        <v>7268.591682828463</v>
      </c>
      <c r="E212" s="5">
        <v>13.886881823006124</v>
      </c>
      <c r="F212" s="5">
        <v>13.070057600651314</v>
      </c>
      <c r="G212" s="5">
        <v>5.126480159953062</v>
      </c>
      <c r="H212" s="5">
        <v>13.783984043308095</v>
      </c>
      <c r="I212" s="5">
        <v>15.056034762885789</v>
      </c>
      <c r="J212" s="5">
        <v>3.6703616941766253</v>
      </c>
      <c r="K212" s="5">
        <v>13.67215019104544</v>
      </c>
      <c r="L212" s="9" t="b">
        <v>0</v>
      </c>
    </row>
    <row r="213" ht="15.75" customHeight="1">
      <c r="A213" s="5">
        <v>3.0</v>
      </c>
      <c r="B213" s="5">
        <v>20192.0</v>
      </c>
      <c r="C213" s="5">
        <v>8288.37013656186</v>
      </c>
      <c r="D213" s="5">
        <v>7757.5941515432</v>
      </c>
      <c r="E213" s="5">
        <v>9.874671957038883</v>
      </c>
      <c r="F213" s="5">
        <v>11.52815617912762</v>
      </c>
      <c r="G213" s="5">
        <v>0.8487990481888978</v>
      </c>
      <c r="H213" s="5">
        <v>16.75027244321172</v>
      </c>
      <c r="I213" s="5">
        <v>15.84244827415227</v>
      </c>
      <c r="J213" s="5">
        <v>3.3546255610407396</v>
      </c>
      <c r="K213" s="5">
        <v>6.842017958790403</v>
      </c>
      <c r="L213" s="9" t="b">
        <v>0</v>
      </c>
    </row>
    <row r="214" ht="15.75" customHeight="1">
      <c r="A214" s="5">
        <v>3.0</v>
      </c>
      <c r="B214" s="5">
        <v>20193.0</v>
      </c>
      <c r="C214" s="5">
        <v>8533.896550984062</v>
      </c>
      <c r="D214" s="5">
        <v>7778.058102095278</v>
      </c>
      <c r="E214" s="5">
        <v>17.59812173230635</v>
      </c>
      <c r="F214" s="5">
        <v>14.311809151307298</v>
      </c>
      <c r="G214" s="5">
        <v>4.136408465454899</v>
      </c>
      <c r="H214" s="5">
        <v>10.556424737133785</v>
      </c>
      <c r="I214" s="5">
        <v>14.404400766348406</v>
      </c>
      <c r="J214" s="5">
        <v>0.27953250002923724</v>
      </c>
      <c r="K214" s="5">
        <v>9.717572676465025</v>
      </c>
      <c r="L214" s="9" t="b">
        <v>0</v>
      </c>
    </row>
    <row r="215" ht="15.75" customHeight="1">
      <c r="A215" s="5">
        <v>3.0</v>
      </c>
      <c r="B215" s="5">
        <v>20194.0</v>
      </c>
      <c r="C215" s="5">
        <v>8585.225966811568</v>
      </c>
      <c r="D215" s="5">
        <v>8175.791383538161</v>
      </c>
      <c r="E215" s="5">
        <v>8.474275592636937</v>
      </c>
      <c r="F215" s="5">
        <v>12.458487776247074</v>
      </c>
      <c r="G215" s="5">
        <v>-0.34530192796356474</v>
      </c>
      <c r="H215" s="5">
        <v>10.840949507499165</v>
      </c>
      <c r="I215" s="5">
        <v>12.982907682788191</v>
      </c>
      <c r="J215" s="5">
        <v>-1.8204996802790205</v>
      </c>
      <c r="K215" s="5">
        <v>5.00788931696321</v>
      </c>
      <c r="L215" s="9" t="b">
        <v>0</v>
      </c>
    </row>
    <row r="216" ht="15.75" customHeight="1">
      <c r="A216" s="5">
        <v>3.0</v>
      </c>
      <c r="B216" s="5">
        <v>20201.0</v>
      </c>
      <c r="C216" s="5">
        <v>8741.374031540237</v>
      </c>
      <c r="D216" s="5">
        <v>8266.946216464303</v>
      </c>
      <c r="E216" s="5">
        <v>5.797487870460416</v>
      </c>
      <c r="F216" s="5">
        <v>10.436139288110645</v>
      </c>
      <c r="G216" s="5">
        <v>-2.6339183125406684</v>
      </c>
      <c r="H216" s="5">
        <v>13.735185262839611</v>
      </c>
      <c r="I216" s="5">
        <v>12.97070798767107</v>
      </c>
      <c r="J216" s="5">
        <v>-2.0853267752147193</v>
      </c>
      <c r="K216" s="5">
        <v>5.738852082176038</v>
      </c>
      <c r="L216" s="9" t="b">
        <v>0</v>
      </c>
    </row>
    <row r="217" ht="15.75" customHeight="1">
      <c r="A217" s="5">
        <v>3.0</v>
      </c>
      <c r="B217" s="5">
        <v>20202.0</v>
      </c>
      <c r="C217" s="5">
        <v>8806.044924874504</v>
      </c>
      <c r="D217" s="5">
        <v>8427.07596395761</v>
      </c>
      <c r="E217" s="5">
        <v>6.245797180667223</v>
      </c>
      <c r="F217" s="5">
        <v>9.528920594017732</v>
      </c>
      <c r="G217" s="5">
        <v>-1.9992355851098882</v>
      </c>
      <c r="H217" s="5">
        <v>8.63001852554033</v>
      </c>
      <c r="I217" s="5">
        <v>10.940644508253222</v>
      </c>
      <c r="J217" s="5">
        <v>-4.901803765899048</v>
      </c>
      <c r="K217" s="5">
        <v>4.497039809985526</v>
      </c>
      <c r="L217" s="9" t="b">
        <v>0</v>
      </c>
    </row>
    <row r="218" ht="15.75" customHeight="1">
      <c r="A218" s="5">
        <v>3.0</v>
      </c>
      <c r="B218" s="5">
        <v>20203.0</v>
      </c>
      <c r="C218" s="5">
        <v>9024.341939308042</v>
      </c>
      <c r="D218" s="5">
        <v>8754.343198929475</v>
      </c>
      <c r="E218" s="5">
        <v>5.747027578714037</v>
      </c>
      <c r="F218" s="5">
        <v>6.566147055619654</v>
      </c>
      <c r="G218" s="5">
        <v>-7.745662095687644</v>
      </c>
      <c r="H218" s="5">
        <v>12.551784571668367</v>
      </c>
      <c r="I218" s="5">
        <v>11.439484466886869</v>
      </c>
      <c r="J218" s="5">
        <v>-2.964916299461537</v>
      </c>
      <c r="K218" s="5">
        <v>3.0841690146621525</v>
      </c>
      <c r="L218" s="9" t="b">
        <v>0</v>
      </c>
    </row>
    <row r="219" ht="15.75" customHeight="1">
      <c r="A219" s="5">
        <v>3.0</v>
      </c>
      <c r="B219" s="5">
        <v>20204.0</v>
      </c>
      <c r="C219" s="5">
        <v>9400.179807467031</v>
      </c>
      <c r="D219" s="5">
        <v>8808.047324726564</v>
      </c>
      <c r="E219" s="5">
        <v>9.492514743419456</v>
      </c>
      <c r="F219" s="5">
        <v>6.820706843315284</v>
      </c>
      <c r="G219" s="5">
        <v>-5.63778093293179</v>
      </c>
      <c r="H219" s="5">
        <v>7.733269007590393</v>
      </c>
      <c r="I219" s="5">
        <v>10.662564341909675</v>
      </c>
      <c r="J219" s="5">
        <v>-2.320343340878516</v>
      </c>
      <c r="K219" s="5">
        <v>6.7226305775877515</v>
      </c>
      <c r="L219" s="9" t="b">
        <v>0</v>
      </c>
    </row>
    <row r="220" ht="15.75" customHeight="1">
      <c r="A220" s="5">
        <v>3.0</v>
      </c>
      <c r="B220" s="5">
        <v>20211.0</v>
      </c>
      <c r="C220" s="5">
        <v>9793.824852250096</v>
      </c>
      <c r="D220" s="5">
        <v>9113.124763743528</v>
      </c>
      <c r="E220" s="5">
        <v>12.039878592455278</v>
      </c>
      <c r="F220" s="5">
        <v>8.381304523813998</v>
      </c>
      <c r="G220" s="5">
        <v>-2.054834764296647</v>
      </c>
      <c r="H220" s="5">
        <v>10.235684678751046</v>
      </c>
      <c r="I220" s="5">
        <v>9.787689195887534</v>
      </c>
      <c r="J220" s="5">
        <v>-3.1830187917835353</v>
      </c>
      <c r="K220" s="5">
        <v>7.4694477048610874</v>
      </c>
      <c r="L220" s="9" t="b">
        <v>0</v>
      </c>
    </row>
    <row r="221" ht="15.75" customHeight="1">
      <c r="A221" s="5">
        <v>3.0</v>
      </c>
      <c r="B221" s="5">
        <v>20212.0</v>
      </c>
      <c r="C221" s="5">
        <v>10259.98014244895</v>
      </c>
      <c r="D221" s="5">
        <v>9167.343890337292</v>
      </c>
      <c r="E221" s="5">
        <v>16.51064955923065</v>
      </c>
      <c r="F221" s="5">
        <v>10.947517618454857</v>
      </c>
      <c r="G221" s="5">
        <v>1.4185970244371244</v>
      </c>
      <c r="H221" s="5">
        <v>8.784398402788685</v>
      </c>
      <c r="I221" s="5">
        <v>9.826284165199624</v>
      </c>
      <c r="J221" s="5">
        <v>-1.1143603430535975</v>
      </c>
      <c r="K221" s="5">
        <v>11.918787657386098</v>
      </c>
      <c r="L221" s="9" t="b">
        <v>0</v>
      </c>
    </row>
    <row r="222" ht="15.75" customHeight="1">
      <c r="A222" s="5">
        <v>3.0</v>
      </c>
      <c r="B222" s="5">
        <v>20213.0</v>
      </c>
      <c r="C222" s="5">
        <v>10043.00735615592</v>
      </c>
      <c r="D222" s="5">
        <v>9575.12853211158</v>
      </c>
      <c r="E222" s="5">
        <v>11.287974499401399</v>
      </c>
      <c r="F222" s="5">
        <v>12.332754348626695</v>
      </c>
      <c r="G222" s="5">
        <v>5.766607293007041</v>
      </c>
      <c r="H222" s="5">
        <v>9.375750008092831</v>
      </c>
      <c r="I222" s="5">
        <v>9.032275524305739</v>
      </c>
      <c r="J222" s="5">
        <v>-2.4072089425811303</v>
      </c>
      <c r="K222" s="5">
        <v>4.886397320675551</v>
      </c>
      <c r="L222" s="9" t="b">
        <v>0</v>
      </c>
    </row>
    <row r="223" ht="15.75" customHeight="1">
      <c r="A223" s="5">
        <v>3.0</v>
      </c>
      <c r="B223" s="5">
        <v>20214.0</v>
      </c>
      <c r="C223" s="5">
        <v>10930.485698308084</v>
      </c>
      <c r="D223" s="5">
        <v>10060.059255195394</v>
      </c>
      <c r="E223" s="5">
        <v>16.27953850016204</v>
      </c>
      <c r="F223" s="5">
        <v>14.029510287812341</v>
      </c>
      <c r="G223" s="5">
        <v>7.2088034444970575</v>
      </c>
      <c r="H223" s="5">
        <v>14.214409667782956</v>
      </c>
      <c r="I223" s="5">
        <v>10.65256068935388</v>
      </c>
      <c r="J223" s="5">
        <v>-0.010003652555795384</v>
      </c>
      <c r="K223" s="5">
        <v>8.652299365564575</v>
      </c>
      <c r="L223" s="9" t="b">
        <v>0</v>
      </c>
    </row>
    <row r="224" ht="15.75" customHeight="1">
      <c r="A224" s="5">
        <v>3.0</v>
      </c>
      <c r="B224" s="5">
        <v>20221.0</v>
      </c>
      <c r="C224" s="5">
        <v>11206.24717554216</v>
      </c>
      <c r="D224" s="5">
        <v>10111.459580622311</v>
      </c>
      <c r="E224" s="5">
        <v>14.42155995844223</v>
      </c>
      <c r="F224" s="5">
        <v>14.62493062930908</v>
      </c>
      <c r="G224" s="5">
        <v>6.243626105495082</v>
      </c>
      <c r="H224" s="5">
        <v>10.954912203667488</v>
      </c>
      <c r="I224" s="5">
        <v>10.832367570582992</v>
      </c>
      <c r="J224" s="5">
        <v>1.044678374695458</v>
      </c>
      <c r="K224" s="5">
        <v>10.82719647139676</v>
      </c>
      <c r="L224" s="9" t="b">
        <v>0</v>
      </c>
    </row>
    <row r="225" ht="15.75" customHeight="1">
      <c r="A225" s="5">
        <v>3.0</v>
      </c>
      <c r="B225" s="5">
        <v>20222.0</v>
      </c>
      <c r="C225" s="5">
        <v>10954.184936998556</v>
      </c>
      <c r="D225" s="5">
        <v>10407.442186867564</v>
      </c>
      <c r="E225" s="5">
        <v>6.766141697267503</v>
      </c>
      <c r="F225" s="5">
        <v>12.188803663818293</v>
      </c>
      <c r="G225" s="5">
        <v>1.2412860453634362</v>
      </c>
      <c r="H225" s="5">
        <v>13.527345667018986</v>
      </c>
      <c r="I225" s="5">
        <v>12.018104386640566</v>
      </c>
      <c r="J225" s="5">
        <v>2.191820221440942</v>
      </c>
      <c r="K225" s="5">
        <v>5.253382534479889</v>
      </c>
      <c r="L225" s="9" t="b">
        <v>0</v>
      </c>
    </row>
    <row r="226" ht="15.75" customHeight="1">
      <c r="A226" s="5">
        <v>3.0</v>
      </c>
      <c r="B226" s="5">
        <v>20223.0</v>
      </c>
      <c r="C226" s="5">
        <v>11707.1098122463</v>
      </c>
      <c r="D226" s="5">
        <v>10915.369243846037</v>
      </c>
      <c r="E226" s="5">
        <v>16.56976239363559</v>
      </c>
      <c r="F226" s="5">
        <v>13.50925063737684</v>
      </c>
      <c r="G226" s="5">
        <v>1.1764962887501458</v>
      </c>
      <c r="H226" s="5">
        <v>13.997104135362415</v>
      </c>
      <c r="I226" s="5">
        <v>13.173442918457962</v>
      </c>
      <c r="J226" s="5">
        <v>4.141167394152223</v>
      </c>
      <c r="K226" s="5">
        <v>7.253447416326653</v>
      </c>
      <c r="L226" s="9" t="b">
        <v>0</v>
      </c>
    </row>
    <row r="227" ht="15.75" customHeight="1">
      <c r="A227" s="5">
        <v>3.0</v>
      </c>
      <c r="B227" s="5">
        <v>20224.0</v>
      </c>
      <c r="C227" s="5">
        <v>10740.8039973792</v>
      </c>
      <c r="D227" s="5">
        <v>10830.832832088909</v>
      </c>
      <c r="E227" s="5">
        <v>-1.7353455844898558</v>
      </c>
      <c r="F227" s="5">
        <v>9.005529616213867</v>
      </c>
      <c r="G227" s="5">
        <v>-5.0239806715984745</v>
      </c>
      <c r="H227" s="5">
        <v>7.661720048969478</v>
      </c>
      <c r="I227" s="5">
        <v>11.535270513754591</v>
      </c>
      <c r="J227" s="5">
        <v>0.8827098244007114</v>
      </c>
      <c r="K227" s="5">
        <v>-0.8312272574550028</v>
      </c>
      <c r="L227" s="9" t="b">
        <v>0</v>
      </c>
    </row>
    <row r="228" ht="15.75" customHeight="1">
      <c r="A228" s="5">
        <v>3.0</v>
      </c>
      <c r="B228" s="5">
        <v>20231.0</v>
      </c>
      <c r="C228" s="5">
        <v>10970.4513690951</v>
      </c>
      <c r="D228" s="5">
        <v>10601.308060937572</v>
      </c>
      <c r="E228" s="5">
        <v>-2.1041460424118363</v>
      </c>
      <c r="F228" s="5">
        <v>4.8741031160003505</v>
      </c>
      <c r="G228" s="5">
        <v>-9.75082751330873</v>
      </c>
      <c r="H228" s="5">
        <v>4.844488339289921</v>
      </c>
      <c r="I228" s="5">
        <v>10.007664547660202</v>
      </c>
      <c r="J228" s="5">
        <v>-0.8247030229227903</v>
      </c>
      <c r="K228" s="5">
        <v>3.4820543468376597</v>
      </c>
      <c r="L228" s="9" t="b">
        <v>0</v>
      </c>
    </row>
    <row r="229" ht="15.75" customHeight="1">
      <c r="A229" s="5">
        <v>3.0</v>
      </c>
      <c r="B229" s="5">
        <v>20232.0</v>
      </c>
      <c r="C229" s="5">
        <v>11490.950200911928</v>
      </c>
      <c r="D229" s="5">
        <v>10742.77102919204</v>
      </c>
      <c r="E229" s="5">
        <v>4.900093133359551</v>
      </c>
      <c r="F229" s="5">
        <v>4.407590975023362</v>
      </c>
      <c r="G229" s="5">
        <v>-7.78121268879493</v>
      </c>
      <c r="H229" s="5">
        <v>3.2220101375879384</v>
      </c>
      <c r="I229" s="5">
        <v>7.431330665302438</v>
      </c>
      <c r="J229" s="5">
        <v>-4.586773721338128</v>
      </c>
      <c r="K229" s="5">
        <v>6.964489605957458</v>
      </c>
      <c r="L229" s="9" t="b">
        <v>0</v>
      </c>
    </row>
    <row r="230" ht="15.75" customHeight="1">
      <c r="A230" s="5">
        <v>3.0</v>
      </c>
      <c r="B230" s="5">
        <v>20233.0</v>
      </c>
      <c r="C230" s="5">
        <v>11684.740870899102</v>
      </c>
      <c r="D230" s="5">
        <v>11342.1423592321</v>
      </c>
      <c r="E230" s="5">
        <v>-0.1910714233140598</v>
      </c>
      <c r="F230" s="5">
        <v>0.21738252078594977</v>
      </c>
      <c r="G230" s="5">
        <v>-13.29186811659089</v>
      </c>
      <c r="H230" s="5">
        <v>3.9098367251907185</v>
      </c>
      <c r="I230" s="5">
        <v>4.9095138127595135</v>
      </c>
      <c r="J230" s="5">
        <v>-8.263929105698448</v>
      </c>
      <c r="K230" s="5">
        <v>3.020580246800897</v>
      </c>
      <c r="L230" s="9" t="b">
        <v>0</v>
      </c>
    </row>
    <row r="231" ht="15.75" customHeight="1">
      <c r="A231" s="5">
        <v>3.0</v>
      </c>
      <c r="B231" s="5">
        <v>20234.0</v>
      </c>
      <c r="C231" s="5">
        <v>12355.046370757693</v>
      </c>
      <c r="D231" s="5">
        <v>11564.734883941454</v>
      </c>
      <c r="E231" s="5">
        <v>15.02906461911393</v>
      </c>
      <c r="F231" s="5">
        <v>4.408485071686896</v>
      </c>
      <c r="G231" s="5">
        <v>-4.5970445445269705</v>
      </c>
      <c r="H231" s="5">
        <v>6.7760444947334575</v>
      </c>
      <c r="I231" s="5">
        <v>4.6880949242005086</v>
      </c>
      <c r="J231" s="5">
        <v>-6.847175589554083</v>
      </c>
      <c r="K231" s="5">
        <v>6.833805484928579</v>
      </c>
      <c r="L231" s="9" t="b">
        <v>0</v>
      </c>
    </row>
    <row r="232" ht="15.75" customHeight="1">
      <c r="A232" s="5">
        <v>3.0</v>
      </c>
      <c r="B232" s="5">
        <v>20241.0</v>
      </c>
      <c r="C232" s="5">
        <v>12684.728431999169</v>
      </c>
      <c r="D232" s="5">
        <v>12039.633948745271</v>
      </c>
      <c r="E232" s="5">
        <v>15.626312949468634</v>
      </c>
      <c r="F232" s="5">
        <v>8.841099819657014</v>
      </c>
      <c r="G232" s="5">
        <v>3.9669967036566636</v>
      </c>
      <c r="H232" s="5">
        <v>13.567437900493328</v>
      </c>
      <c r="I232" s="5">
        <v>6.86883231450136</v>
      </c>
      <c r="J232" s="5">
        <v>-3.1388322331588414</v>
      </c>
      <c r="K232" s="5">
        <v>5.358090503417068</v>
      </c>
      <c r="L232" s="9" t="b">
        <v>0</v>
      </c>
    </row>
    <row r="233" ht="15.75" customHeight="1">
      <c r="A233" s="5">
        <v>3.0</v>
      </c>
      <c r="B233" s="5">
        <v>20242.0</v>
      </c>
      <c r="C233" s="5">
        <v>12945.408096258545</v>
      </c>
      <c r="D233" s="5">
        <v>12660.351367225368</v>
      </c>
      <c r="E233" s="5">
        <v>12.657420578075351</v>
      </c>
      <c r="F233" s="5">
        <v>10.780431680835964</v>
      </c>
      <c r="G233" s="5">
        <v>6.372840705812601</v>
      </c>
      <c r="H233" s="5">
        <v>17.849960059863147</v>
      </c>
      <c r="I233" s="5">
        <v>10.525819795070163</v>
      </c>
      <c r="J233" s="5">
        <v>3.094489129767725</v>
      </c>
      <c r="K233" s="5">
        <v>2.251570440383821</v>
      </c>
      <c r="L233" s="9" t="b">
        <v>0</v>
      </c>
    </row>
    <row r="234" ht="15.75" customHeight="1">
      <c r="A234" s="5">
        <v>3.0</v>
      </c>
      <c r="B234" s="5">
        <v>20243.0</v>
      </c>
      <c r="C234" s="5">
        <v>12602.21663061532</v>
      </c>
      <c r="D234" s="5">
        <v>12859.398621010005</v>
      </c>
      <c r="E234" s="5">
        <v>7.851913618394346</v>
      </c>
      <c r="F234" s="5">
        <v>12.791177941263065</v>
      </c>
      <c r="G234" s="5">
        <v>12.573795420477115</v>
      </c>
      <c r="H234" s="5">
        <v>13.377157627923019</v>
      </c>
      <c r="I234" s="5">
        <v>12.892650020753237</v>
      </c>
      <c r="J234" s="5">
        <v>7.983136207993724</v>
      </c>
      <c r="K234" s="5">
        <v>-1.9999534812965125</v>
      </c>
      <c r="L234" s="9" t="b">
        <v>0</v>
      </c>
    </row>
    <row r="235" ht="15.75" customHeight="1">
      <c r="A235" s="5">
        <v>3.0</v>
      </c>
      <c r="B235" s="5">
        <v>20244.0</v>
      </c>
      <c r="C235" s="5">
        <v>13149.12508666004</v>
      </c>
      <c r="D235" s="5">
        <v>13165.647708327211</v>
      </c>
      <c r="E235" s="5">
        <v>6.427160951672328</v>
      </c>
      <c r="F235" s="5">
        <v>10.640702024402664</v>
      </c>
      <c r="G235" s="5">
        <v>6.232216952715768</v>
      </c>
      <c r="H235" s="5">
        <v>13.843056848702616</v>
      </c>
      <c r="I235" s="5">
        <v>14.659403109245527</v>
      </c>
      <c r="J235" s="5">
        <v>9.971308185045018</v>
      </c>
      <c r="K235" s="5">
        <v>-0.12549797801987284</v>
      </c>
      <c r="L235" s="9" t="b">
        <v>0</v>
      </c>
    </row>
    <row r="236" ht="15.75" customHeight="1">
      <c r="A236" s="5">
        <v>3.0</v>
      </c>
      <c r="B236" s="5">
        <v>20251.0</v>
      </c>
      <c r="C236" s="5">
        <v>13900.409639706357</v>
      </c>
      <c r="D236" s="5">
        <v>13056.6525192332</v>
      </c>
      <c r="E236" s="5">
        <v>9.583817377126081</v>
      </c>
      <c r="F236" s="5">
        <v>9.130078131317028</v>
      </c>
      <c r="G236" s="5">
        <v>0.28897831166001353</v>
      </c>
      <c r="H236" s="5">
        <v>8.44725491503766</v>
      </c>
      <c r="I236" s="5">
        <v>13.37935736288161</v>
      </c>
      <c r="J236" s="5">
        <v>6.5105250483802495</v>
      </c>
      <c r="K236" s="5">
        <v>6.462277518914239</v>
      </c>
      <c r="L236" s="9" t="b">
        <v>0</v>
      </c>
    </row>
    <row r="237" ht="15.75" customHeight="1">
      <c r="A237" s="5">
        <v>3.0</v>
      </c>
      <c r="B237" s="5">
        <v>20252.0</v>
      </c>
      <c r="C237" s="5">
        <v>14082.51621118004</v>
      </c>
      <c r="D237" s="5">
        <v>13415.781576015888</v>
      </c>
      <c r="E237" s="5">
        <v>8.783872292524642</v>
      </c>
      <c r="F237" s="5">
        <v>8.16169105992935</v>
      </c>
      <c r="G237" s="5">
        <v>-2.618740620906614</v>
      </c>
      <c r="H237" s="5">
        <v>5.966897654563907</v>
      </c>
      <c r="I237" s="5">
        <v>10.4085917615568</v>
      </c>
      <c r="J237" s="5">
        <v>-0.11722803351336353</v>
      </c>
      <c r="K237" s="5">
        <v>4.969778550629567</v>
      </c>
      <c r="L237" s="9" t="b">
        <v>0</v>
      </c>
    </row>
    <row r="238" ht="15.75" customHeight="1">
      <c r="A238" s="5">
        <v>3.0</v>
      </c>
      <c r="B238" s="5">
        <v>20253.0</v>
      </c>
      <c r="C238" s="5">
        <v>14199.325035966034</v>
      </c>
      <c r="D238" s="5">
        <v>13478.607793401186</v>
      </c>
      <c r="E238" s="5">
        <v>12.67323402036087</v>
      </c>
      <c r="F238" s="5">
        <v>9.367021160420979</v>
      </c>
      <c r="G238" s="5">
        <v>-3.424156780842086</v>
      </c>
      <c r="H238" s="5">
        <v>4.815226517509941</v>
      </c>
      <c r="I238" s="5">
        <v>8.268108983953532</v>
      </c>
      <c r="J238" s="5">
        <v>-4.624541036799705</v>
      </c>
      <c r="K238" s="5">
        <v>5.347119328731376</v>
      </c>
      <c r="L238" s="9" t="b">
        <v>0</v>
      </c>
    </row>
    <row r="239" ht="15.75" customHeight="1">
      <c r="A239" s="5">
        <v>3.0</v>
      </c>
      <c r="B239" s="5">
        <v>20254.0</v>
      </c>
      <c r="C239" s="5">
        <v>14387.41462448821</v>
      </c>
      <c r="D239" s="5">
        <v>13504.758582123071</v>
      </c>
      <c r="E239" s="5">
        <v>9.417277040617943</v>
      </c>
      <c r="F239" s="5">
        <v>10.114550182657384</v>
      </c>
      <c r="G239" s="5">
        <v>-0.5261518417452802</v>
      </c>
      <c r="H239" s="5">
        <v>2.575724957165404</v>
      </c>
      <c r="I239" s="5">
        <v>5.451276011069228</v>
      </c>
      <c r="J239" s="5">
        <v>-9.208127098176298</v>
      </c>
      <c r="K239" s="5">
        <v>6.535889086781266</v>
      </c>
      <c r="L239" s="9" t="b">
        <v>0</v>
      </c>
    </row>
    <row r="240" ht="15.75" customHeight="1">
      <c r="A240" s="5">
        <v>3.0</v>
      </c>
      <c r="B240" s="5">
        <v>20261.0</v>
      </c>
      <c r="C240" s="5">
        <v>14658.593368705124</v>
      </c>
      <c r="D240" s="5">
        <v>13824.733556616877</v>
      </c>
      <c r="E240" s="5">
        <v>5.454398457675835</v>
      </c>
      <c r="F240" s="5">
        <v>9.082195452794823</v>
      </c>
      <c r="G240" s="5">
        <v>-0.04788267852220507</v>
      </c>
      <c r="H240" s="5">
        <v>5.882679624446241</v>
      </c>
      <c r="I240" s="5">
        <v>4.810132188421373</v>
      </c>
      <c r="J240" s="5">
        <v>-8.569225174460236</v>
      </c>
      <c r="K240" s="5">
        <v>6.031651956786832</v>
      </c>
      <c r="L240" s="9" t="b">
        <v>0</v>
      </c>
    </row>
    <row r="241" ht="15.75" customHeight="1">
      <c r="A241" s="5">
        <v>3.0</v>
      </c>
      <c r="B241" s="5">
        <v>20262.0</v>
      </c>
      <c r="C241" s="5">
        <v>14490.6145771808</v>
      </c>
      <c r="D241" s="5">
        <v>14034.641977208776</v>
      </c>
      <c r="E241" s="5">
        <v>2.8979080150234315</v>
      </c>
      <c r="F241" s="5">
        <v>7.61070438341952</v>
      </c>
      <c r="G241" s="5">
        <v>-0.5509866765098295</v>
      </c>
      <c r="H241" s="5">
        <v>4.612928420802986</v>
      </c>
      <c r="I241" s="5">
        <v>4.471639879981143</v>
      </c>
      <c r="J241" s="5">
        <v>-5.936951881575657</v>
      </c>
      <c r="K241" s="5">
        <v>3.2489079572709523</v>
      </c>
      <c r="L241" s="9" t="b">
        <v>0</v>
      </c>
    </row>
    <row r="242" ht="15.75" customHeight="1">
      <c r="A242" s="5">
        <v>4.0</v>
      </c>
      <c r="B242" s="5">
        <v>20063.0</v>
      </c>
      <c r="C242" s="5">
        <v>4467.0</v>
      </c>
      <c r="D242" s="5">
        <v>3555.291047644557</v>
      </c>
      <c r="K242" s="5">
        <v>25.64372199455982</v>
      </c>
      <c r="L242" s="9" t="b">
        <v>0</v>
      </c>
    </row>
    <row r="243" ht="15.75" customHeight="1">
      <c r="A243" s="5">
        <v>4.0</v>
      </c>
      <c r="B243" s="5">
        <v>20064.0</v>
      </c>
      <c r="C243" s="5">
        <v>5284.0</v>
      </c>
      <c r="D243" s="5">
        <v>3983.2252680510815</v>
      </c>
      <c r="K243" s="5">
        <v>32.65631854623587</v>
      </c>
      <c r="L243" s="9" t="b">
        <v>0</v>
      </c>
    </row>
    <row r="244" ht="15.75" customHeight="1">
      <c r="A244" s="5">
        <v>4.0</v>
      </c>
      <c r="B244" s="5">
        <v>20071.0</v>
      </c>
      <c r="C244" s="5">
        <v>5797.0</v>
      </c>
      <c r="D244" s="5">
        <v>4928.520300563201</v>
      </c>
      <c r="K244" s="5">
        <v>17.621510036948695</v>
      </c>
      <c r="L244" s="9" t="b">
        <v>0</v>
      </c>
    </row>
    <row r="245" ht="15.75" customHeight="1">
      <c r="A245" s="5">
        <v>4.0</v>
      </c>
      <c r="B245" s="5">
        <v>20072.0</v>
      </c>
      <c r="C245" s="5">
        <v>6992.0</v>
      </c>
      <c r="D245" s="5">
        <v>5425.146174281941</v>
      </c>
      <c r="K245" s="5">
        <v>28.88131997522525</v>
      </c>
      <c r="L245" s="9" t="b">
        <v>0</v>
      </c>
    </row>
    <row r="246" ht="15.75" customHeight="1">
      <c r="A246" s="5">
        <v>4.0</v>
      </c>
      <c r="B246" s="5">
        <v>20073.0</v>
      </c>
      <c r="C246" s="5">
        <v>7238.0</v>
      </c>
      <c r="D246" s="5">
        <v>5930.685189569669</v>
      </c>
      <c r="E246" s="5">
        <v>62.03268412805014</v>
      </c>
      <c r="H246" s="5">
        <v>66.81293064596927</v>
      </c>
      <c r="K246" s="5">
        <v>22.043233937446427</v>
      </c>
      <c r="L246" s="9" t="b">
        <v>0</v>
      </c>
    </row>
    <row r="247" ht="15.75" customHeight="1">
      <c r="A247" s="5">
        <v>4.0</v>
      </c>
      <c r="B247" s="5">
        <v>20074.0</v>
      </c>
      <c r="C247" s="5">
        <v>7495.0</v>
      </c>
      <c r="D247" s="5">
        <v>6010.974895078091</v>
      </c>
      <c r="E247" s="5">
        <v>41.8433005299016</v>
      </c>
      <c r="H247" s="5">
        <v>50.90722945777932</v>
      </c>
      <c r="K247" s="5">
        <v>24.688592629742278</v>
      </c>
      <c r="L247" s="9" t="b">
        <v>0</v>
      </c>
    </row>
    <row r="248" ht="15.75" customHeight="1">
      <c r="A248" s="5">
        <v>4.0</v>
      </c>
      <c r="B248" s="5">
        <v>20081.0</v>
      </c>
      <c r="C248" s="5">
        <v>7301.0</v>
      </c>
      <c r="D248" s="5">
        <v>6046.828062571809</v>
      </c>
      <c r="E248" s="5">
        <v>25.944454027945497</v>
      </c>
      <c r="H248" s="5">
        <v>22.690537804639142</v>
      </c>
      <c r="K248" s="5">
        <v>20.740988902779755</v>
      </c>
      <c r="L248" s="9" t="b">
        <v>0</v>
      </c>
    </row>
    <row r="249" ht="15.75" customHeight="1">
      <c r="A249" s="5">
        <v>4.0</v>
      </c>
      <c r="B249" s="5">
        <v>20082.0</v>
      </c>
      <c r="C249" s="5">
        <v>7209.0</v>
      </c>
      <c r="D249" s="5">
        <v>6015.877854162409</v>
      </c>
      <c r="E249" s="5">
        <v>3.1035469107551394</v>
      </c>
      <c r="F249" s="5">
        <v>33.2309963991631</v>
      </c>
      <c r="H249" s="5">
        <v>10.888769830402879</v>
      </c>
      <c r="I249" s="5">
        <v>37.82486693469765</v>
      </c>
      <c r="K249" s="5">
        <v>19.832885154276614</v>
      </c>
      <c r="L249" s="9" t="b">
        <v>0</v>
      </c>
    </row>
    <row r="250" ht="15.75" customHeight="1">
      <c r="A250" s="5">
        <v>4.0</v>
      </c>
      <c r="B250" s="5">
        <v>20083.0</v>
      </c>
      <c r="C250" s="5">
        <v>6694.0</v>
      </c>
      <c r="D250" s="5">
        <v>5733.470906337212</v>
      </c>
      <c r="E250" s="5">
        <v>-7.515888366952195</v>
      </c>
      <c r="F250" s="5">
        <v>15.843853275412512</v>
      </c>
      <c r="H250" s="5">
        <v>-3.325320379157859</v>
      </c>
      <c r="I250" s="5">
        <v>20.29030417841587</v>
      </c>
      <c r="K250" s="5">
        <v>16.753012430936277</v>
      </c>
      <c r="L250" s="9" t="b">
        <v>0</v>
      </c>
    </row>
    <row r="251" ht="15.75" customHeight="1">
      <c r="A251" s="5">
        <v>4.0</v>
      </c>
      <c r="B251" s="5">
        <v>20084.0</v>
      </c>
      <c r="C251" s="5">
        <v>6384.0</v>
      </c>
      <c r="D251" s="5">
        <v>5829.668235818187</v>
      </c>
      <c r="E251" s="5">
        <v>-14.823215476984652</v>
      </c>
      <c r="F251" s="5">
        <v>1.677224273690947</v>
      </c>
      <c r="H251" s="5">
        <v>-3.0162604639783486</v>
      </c>
      <c r="I251" s="5">
        <v>6.8094316979764535</v>
      </c>
      <c r="K251" s="5">
        <v>9.508804648194747</v>
      </c>
      <c r="L251" s="9" t="b">
        <v>0</v>
      </c>
    </row>
    <row r="252" ht="15.75" customHeight="1">
      <c r="A252" s="5">
        <v>4.0</v>
      </c>
      <c r="B252" s="5">
        <v>20091.0</v>
      </c>
      <c r="C252" s="5">
        <v>6241.0</v>
      </c>
      <c r="D252" s="5">
        <v>5693.339414745858</v>
      </c>
      <c r="E252" s="5">
        <v>-14.518559101492945</v>
      </c>
      <c r="F252" s="5">
        <v>-8.438529008668663</v>
      </c>
      <c r="H252" s="5">
        <v>-5.845852472868329</v>
      </c>
      <c r="I252" s="5">
        <v>-0.3246658714004145</v>
      </c>
      <c r="K252" s="5">
        <v>9.61932084772059</v>
      </c>
      <c r="L252" s="9" t="b">
        <v>0</v>
      </c>
    </row>
    <row r="253" ht="15.75" customHeight="1">
      <c r="A253" s="5">
        <v>4.0</v>
      </c>
      <c r="B253" s="5">
        <v>20092.0</v>
      </c>
      <c r="C253" s="5">
        <v>5891.0</v>
      </c>
      <c r="D253" s="5">
        <v>5487.132639599998</v>
      </c>
      <c r="E253" s="5">
        <v>-18.282702177833265</v>
      </c>
      <c r="F253" s="5">
        <v>-13.785091280815765</v>
      </c>
      <c r="G253" s="5">
        <v>-47.01608767997886</v>
      </c>
      <c r="H253" s="5">
        <v>-8.789161405539014</v>
      </c>
      <c r="I253" s="5">
        <v>-5.244148680385887</v>
      </c>
      <c r="J253" s="5">
        <v>-43.06901561508354</v>
      </c>
      <c r="K253" s="5">
        <v>7.360262397984307</v>
      </c>
      <c r="L253" s="9" t="b">
        <v>0</v>
      </c>
    </row>
    <row r="254" ht="15.75" customHeight="1">
      <c r="A254" s="5">
        <v>4.0</v>
      </c>
      <c r="B254" s="5">
        <v>20093.0</v>
      </c>
      <c r="C254" s="5">
        <v>5504.0</v>
      </c>
      <c r="D254" s="5">
        <v>5334.645287433023</v>
      </c>
      <c r="E254" s="5">
        <v>-17.777113833283543</v>
      </c>
      <c r="F254" s="5">
        <v>-16.3503976473986</v>
      </c>
      <c r="G254" s="5">
        <v>-32.194250922811115</v>
      </c>
      <c r="H254" s="5">
        <v>-6.956093881340985</v>
      </c>
      <c r="I254" s="5">
        <v>-6.151842055931669</v>
      </c>
      <c r="J254" s="5">
        <v>-26.44214623434754</v>
      </c>
      <c r="K254" s="5">
        <v>3.1746199314494294</v>
      </c>
      <c r="L254" s="9" t="b">
        <v>0</v>
      </c>
    </row>
    <row r="255" ht="15.75" customHeight="1">
      <c r="A255" s="5">
        <v>4.0</v>
      </c>
      <c r="B255" s="5">
        <v>20094.0</v>
      </c>
      <c r="C255" s="5">
        <v>5774.0</v>
      </c>
      <c r="D255" s="5">
        <v>5328.651575316351</v>
      </c>
      <c r="E255" s="5">
        <v>-9.555137844611528</v>
      </c>
      <c r="F255" s="5">
        <v>-15.03337823930532</v>
      </c>
      <c r="G255" s="5">
        <v>-16.710602512996267</v>
      </c>
      <c r="H255" s="5">
        <v>-8.594256829634473</v>
      </c>
      <c r="I255" s="5">
        <v>-7.5463411473457</v>
      </c>
      <c r="J255" s="5">
        <v>-14.355772845322154</v>
      </c>
      <c r="K255" s="5">
        <v>8.357619528861937</v>
      </c>
      <c r="L255" s="9" t="b">
        <v>0</v>
      </c>
    </row>
    <row r="256" ht="15.75" customHeight="1">
      <c r="A256" s="5">
        <v>4.0</v>
      </c>
      <c r="B256" s="5">
        <v>20101.0</v>
      </c>
      <c r="C256" s="5">
        <v>5495.145018461854</v>
      </c>
      <c r="D256" s="5">
        <v>5402.203579134078</v>
      </c>
      <c r="E256" s="5">
        <v>-11.950888984748364</v>
      </c>
      <c r="F256" s="5">
        <v>-14.391460710119174</v>
      </c>
      <c r="G256" s="5">
        <v>-5.952931701450511</v>
      </c>
      <c r="H256" s="5">
        <v>-5.113621627014431</v>
      </c>
      <c r="I256" s="5">
        <v>-7.3632834358822254</v>
      </c>
      <c r="J256" s="5">
        <v>-7.038617564481811</v>
      </c>
      <c r="K256" s="5">
        <v>1.720435706769008</v>
      </c>
      <c r="L256" s="9" t="b">
        <v>0</v>
      </c>
    </row>
    <row r="257" ht="15.75" customHeight="1">
      <c r="A257" s="5">
        <v>4.0</v>
      </c>
      <c r="B257" s="5">
        <v>20102.0</v>
      </c>
      <c r="C257" s="5">
        <v>5277.712226390752</v>
      </c>
      <c r="D257" s="5">
        <v>5336.33150067397</v>
      </c>
      <c r="E257" s="5">
        <v>-10.410588586135594</v>
      </c>
      <c r="F257" s="5">
        <v>-12.423432312194757</v>
      </c>
      <c r="G257" s="5">
        <v>1.3616589686210077</v>
      </c>
      <c r="H257" s="5">
        <v>-2.7482685189294087</v>
      </c>
      <c r="I257" s="5">
        <v>-5.853060214229825</v>
      </c>
      <c r="J257" s="5">
        <v>-0.6089115338439379</v>
      </c>
      <c r="K257" s="5">
        <v>-1.098493867478334</v>
      </c>
      <c r="L257" s="9" t="b">
        <v>0</v>
      </c>
    </row>
    <row r="258" ht="15.75" customHeight="1">
      <c r="A258" s="5">
        <v>4.0</v>
      </c>
      <c r="B258" s="5">
        <v>20103.0</v>
      </c>
      <c r="C258" s="5">
        <v>5460.652439078644</v>
      </c>
      <c r="D258" s="5">
        <v>5394.698454831484</v>
      </c>
      <c r="E258" s="5">
        <v>-0.7875646969722983</v>
      </c>
      <c r="F258" s="5">
        <v>-8.176045028116945</v>
      </c>
      <c r="G258" s="5">
        <v>8.174352619281656</v>
      </c>
      <c r="H258" s="5">
        <v>1.1257199712964905</v>
      </c>
      <c r="I258" s="5">
        <v>-3.8326067510704553</v>
      </c>
      <c r="J258" s="5">
        <v>2.319235304861214</v>
      </c>
      <c r="K258" s="5">
        <v>1.222570358647057</v>
      </c>
      <c r="L258" s="9" t="b">
        <v>0</v>
      </c>
    </row>
    <row r="259" ht="15.75" customHeight="1">
      <c r="A259" s="5">
        <v>4.0</v>
      </c>
      <c r="B259" s="5">
        <v>20104.0</v>
      </c>
      <c r="C259" s="5">
        <v>5617.0</v>
      </c>
      <c r="D259" s="5">
        <v>5329.890342583165</v>
      </c>
      <c r="E259" s="5">
        <v>-2.719085555940426</v>
      </c>
      <c r="F259" s="5">
        <v>-6.46703195594917</v>
      </c>
      <c r="G259" s="5">
        <v>8.56634628335615</v>
      </c>
      <c r="H259" s="5">
        <v>0.023247293415695758</v>
      </c>
      <c r="I259" s="5">
        <v>-1.6782307203079134</v>
      </c>
      <c r="J259" s="5">
        <v>5.868110427037786</v>
      </c>
      <c r="K259" s="5">
        <v>5.386783572693266</v>
      </c>
      <c r="L259" s="9" t="b">
        <v>0</v>
      </c>
    </row>
    <row r="260" ht="15.75" customHeight="1">
      <c r="A260" s="5">
        <v>4.0</v>
      </c>
      <c r="B260" s="5">
        <v>20111.0</v>
      </c>
      <c r="C260" s="5">
        <v>6004.0</v>
      </c>
      <c r="D260" s="5">
        <v>5305.874653256638</v>
      </c>
      <c r="E260" s="5">
        <v>9.260082851836726</v>
      </c>
      <c r="F260" s="5">
        <v>-1.164288996802898</v>
      </c>
      <c r="G260" s="5">
        <v>13.227171713316277</v>
      </c>
      <c r="H260" s="5">
        <v>-1.7831413508648253</v>
      </c>
      <c r="I260" s="5">
        <v>-0.8456106512705119</v>
      </c>
      <c r="J260" s="5">
        <v>6.5176727846117135</v>
      </c>
      <c r="K260" s="5">
        <v>13.15759214769363</v>
      </c>
      <c r="L260" s="9" t="b">
        <v>0</v>
      </c>
    </row>
    <row r="261" ht="15.75" customHeight="1">
      <c r="A261" s="5">
        <v>4.0</v>
      </c>
      <c r="B261" s="5">
        <v>20112.0</v>
      </c>
      <c r="C261" s="5">
        <v>6205.0</v>
      </c>
      <c r="D261" s="5">
        <v>5311.283048062636</v>
      </c>
      <c r="E261" s="5">
        <v>17.56988130145527</v>
      </c>
      <c r="F261" s="5">
        <v>5.830828475094817</v>
      </c>
      <c r="G261" s="5">
        <v>18.254260787289574</v>
      </c>
      <c r="H261" s="5">
        <v>-0.46939461328762144</v>
      </c>
      <c r="I261" s="5">
        <v>-0.2758921748600651</v>
      </c>
      <c r="J261" s="5">
        <v>5.57716803936976</v>
      </c>
      <c r="K261" s="5">
        <v>16.826761892559272</v>
      </c>
      <c r="L261" s="9" t="b">
        <v>0</v>
      </c>
    </row>
    <row r="262" ht="15.75" customHeight="1">
      <c r="A262" s="5">
        <v>4.0</v>
      </c>
      <c r="B262" s="5">
        <v>20113.0</v>
      </c>
      <c r="C262" s="5">
        <v>6430.0</v>
      </c>
      <c r="D262" s="5">
        <v>5254.676567377446</v>
      </c>
      <c r="E262" s="5">
        <v>17.751497128517315</v>
      </c>
      <c r="F262" s="5">
        <v>10.46559393146722</v>
      </c>
      <c r="G262" s="5">
        <v>18.641638959584164</v>
      </c>
      <c r="H262" s="5">
        <v>-2.595546138980842</v>
      </c>
      <c r="I262" s="5">
        <v>-1.2062087024293984</v>
      </c>
      <c r="J262" s="5">
        <v>2.626398048641057</v>
      </c>
      <c r="K262" s="5">
        <v>22.367188875511435</v>
      </c>
      <c r="L262" s="9" t="b">
        <v>0</v>
      </c>
    </row>
    <row r="263" ht="15.75" customHeight="1">
      <c r="A263" s="5">
        <v>4.0</v>
      </c>
      <c r="B263" s="5">
        <v>20114.0</v>
      </c>
      <c r="C263" s="5">
        <v>6313.129299102956</v>
      </c>
      <c r="D263" s="5">
        <v>5353.494374491725</v>
      </c>
      <c r="E263" s="5">
        <v>12.39325795091608</v>
      </c>
      <c r="F263" s="5">
        <v>14.243679808181348</v>
      </c>
      <c r="G263" s="5">
        <v>20.71071176413052</v>
      </c>
      <c r="H263" s="5">
        <v>0.44286149228953686</v>
      </c>
      <c r="I263" s="5">
        <v>-1.101305152710938</v>
      </c>
      <c r="J263" s="5">
        <v>0.5769255675969753</v>
      </c>
      <c r="K263" s="5">
        <v>17.92539335025156</v>
      </c>
      <c r="L263" s="9" t="b">
        <v>0</v>
      </c>
    </row>
    <row r="264" ht="15.75" customHeight="1">
      <c r="A264" s="5">
        <v>4.0</v>
      </c>
      <c r="B264" s="5">
        <v>20121.0</v>
      </c>
      <c r="C264" s="5">
        <v>6106.0</v>
      </c>
      <c r="D264" s="5">
        <v>5232.707460450001</v>
      </c>
      <c r="E264" s="5">
        <v>1.6988674217188526</v>
      </c>
      <c r="F264" s="5">
        <v>12.353375950651879</v>
      </c>
      <c r="G264" s="5">
        <v>13.517664947454776</v>
      </c>
      <c r="H264" s="5">
        <v>-1.3789845706537518</v>
      </c>
      <c r="I264" s="5">
        <v>-1.0002659576581696</v>
      </c>
      <c r="J264" s="5">
        <v>-0.15465530638765768</v>
      </c>
      <c r="K264" s="5">
        <v>16.68911450048647</v>
      </c>
      <c r="L264" s="9" t="b">
        <v>0</v>
      </c>
    </row>
    <row r="265" ht="15.75" customHeight="1">
      <c r="A265" s="5">
        <v>4.0</v>
      </c>
      <c r="B265" s="5">
        <v>20122.0</v>
      </c>
      <c r="C265" s="5">
        <v>6603.655004970263</v>
      </c>
      <c r="D265" s="5">
        <v>5091.539057335276</v>
      </c>
      <c r="E265" s="5">
        <v>6.424738194524782</v>
      </c>
      <c r="F265" s="5">
        <v>9.567090173919258</v>
      </c>
      <c r="G265" s="5">
        <v>3.736261698824441</v>
      </c>
      <c r="H265" s="5">
        <v>-4.137305218698795</v>
      </c>
      <c r="I265" s="5">
        <v>-1.917243609010963</v>
      </c>
      <c r="J265" s="5">
        <v>-1.641351434150898</v>
      </c>
      <c r="K265" s="5">
        <v>29.698602536624218</v>
      </c>
      <c r="L265" s="9" t="b">
        <v>0</v>
      </c>
    </row>
    <row r="266" ht="15.75" customHeight="1">
      <c r="A266" s="5">
        <v>4.0</v>
      </c>
      <c r="B266" s="5">
        <v>20123.0</v>
      </c>
      <c r="C266" s="5">
        <v>6439.3558772210845</v>
      </c>
      <c r="D266" s="5">
        <v>5001.386530438809</v>
      </c>
      <c r="E266" s="5">
        <v>0.14550353376492353</v>
      </c>
      <c r="F266" s="5">
        <v>5.165591775231159</v>
      </c>
      <c r="G266" s="5">
        <v>-5.300002156236061</v>
      </c>
      <c r="H266" s="5">
        <v>-4.820278349977524</v>
      </c>
      <c r="I266" s="5">
        <v>-2.4734266617601337</v>
      </c>
      <c r="J266" s="5">
        <v>-1.2672179593307353</v>
      </c>
      <c r="K266" s="5">
        <v>28.751413993513353</v>
      </c>
      <c r="L266" s="9" t="b">
        <v>0</v>
      </c>
    </row>
    <row r="267" ht="15.75" customHeight="1">
      <c r="A267" s="5">
        <v>4.0</v>
      </c>
      <c r="B267" s="5">
        <v>20124.0</v>
      </c>
      <c r="C267" s="5">
        <v>6002.137066435154</v>
      </c>
      <c r="D267" s="5">
        <v>4947.132700508414</v>
      </c>
      <c r="E267" s="5">
        <v>-4.926118536998613</v>
      </c>
      <c r="F267" s="5">
        <v>0.8357476532524861</v>
      </c>
      <c r="G267" s="5">
        <v>-13.407932154928861</v>
      </c>
      <c r="H267" s="5">
        <v>-7.5905874846817545</v>
      </c>
      <c r="I267" s="5">
        <v>-4.481788906002956</v>
      </c>
      <c r="J267" s="5">
        <v>-3.380483753292018</v>
      </c>
      <c r="K267" s="5">
        <v>21.325572403148165</v>
      </c>
      <c r="L267" s="9" t="b">
        <v>0</v>
      </c>
    </row>
    <row r="268" ht="15.75" customHeight="1">
      <c r="A268" s="5">
        <v>4.0</v>
      </c>
      <c r="B268" s="5">
        <v>20131.0</v>
      </c>
      <c r="C268" s="5">
        <v>5732.083530317076</v>
      </c>
      <c r="D268" s="5">
        <v>4834.413566029334</v>
      </c>
      <c r="E268" s="5">
        <v>-6.123754826120598</v>
      </c>
      <c r="F268" s="5">
        <v>-1.1199079087073764</v>
      </c>
      <c r="G268" s="5">
        <v>-13.473283859359256</v>
      </c>
      <c r="H268" s="5">
        <v>-7.6116216591709644</v>
      </c>
      <c r="I268" s="5">
        <v>-6.039948178132259</v>
      </c>
      <c r="J268" s="5">
        <v>-5.03968222047409</v>
      </c>
      <c r="K268" s="5">
        <v>18.568332064007276</v>
      </c>
      <c r="L268" s="9" t="b">
        <v>0</v>
      </c>
    </row>
    <row r="269" ht="15.75" customHeight="1">
      <c r="A269" s="5">
        <v>4.0</v>
      </c>
      <c r="B269" s="5">
        <v>20132.0</v>
      </c>
      <c r="C269" s="5">
        <v>6082.715250012961</v>
      </c>
      <c r="D269" s="5">
        <v>4925.124066788202</v>
      </c>
      <c r="E269" s="5">
        <v>-7.888657941173705</v>
      </c>
      <c r="F269" s="5">
        <v>-4.698256942631998</v>
      </c>
      <c r="G269" s="5">
        <v>-14.265347116551256</v>
      </c>
      <c r="H269" s="5">
        <v>-3.268461435198522</v>
      </c>
      <c r="I269" s="5">
        <v>-5.82273723225719</v>
      </c>
      <c r="J269" s="5">
        <v>-3.9054936232462274</v>
      </c>
      <c r="K269" s="5">
        <v>23.50379741762838</v>
      </c>
      <c r="L269" s="9" t="b">
        <v>0</v>
      </c>
    </row>
    <row r="270" ht="15.75" customHeight="1">
      <c r="A270" s="5">
        <v>4.0</v>
      </c>
      <c r="B270" s="5">
        <v>20133.0</v>
      </c>
      <c r="C270" s="5">
        <v>6646.396466235868</v>
      </c>
      <c r="D270" s="5">
        <v>4750.632420903368</v>
      </c>
      <c r="E270" s="5">
        <v>3.2152375635454478</v>
      </c>
      <c r="F270" s="5">
        <v>-3.930823435186867</v>
      </c>
      <c r="G270" s="5">
        <v>-9.096415210418026</v>
      </c>
      <c r="H270" s="5">
        <v>-5.013691863432923</v>
      </c>
      <c r="I270" s="5">
        <v>-5.8710906106210405</v>
      </c>
      <c r="J270" s="5">
        <v>-3.397663948860907</v>
      </c>
      <c r="K270" s="5">
        <v>39.905508937944845</v>
      </c>
      <c r="L270" s="9" t="b">
        <v>0</v>
      </c>
    </row>
    <row r="271" ht="15.75" customHeight="1">
      <c r="A271" s="5">
        <v>4.0</v>
      </c>
      <c r="B271" s="5">
        <v>20134.0</v>
      </c>
      <c r="C271" s="5">
        <v>6003.47578888847</v>
      </c>
      <c r="D271" s="5">
        <v>4852.588755093389</v>
      </c>
      <c r="E271" s="5">
        <v>0.02230409666585942</v>
      </c>
      <c r="F271" s="5">
        <v>-2.6937177767707485</v>
      </c>
      <c r="G271" s="5">
        <v>-3.529465430023235</v>
      </c>
      <c r="H271" s="5">
        <v>-1.9110856962722744</v>
      </c>
      <c r="I271" s="5">
        <v>-4.451215163518671</v>
      </c>
      <c r="J271" s="5">
        <v>0.030573742484285127</v>
      </c>
      <c r="K271" s="5">
        <v>23.716970299349647</v>
      </c>
      <c r="L271" s="9" t="b">
        <v>0</v>
      </c>
    </row>
    <row r="272" ht="15.75" customHeight="1">
      <c r="A272" s="5">
        <v>4.0</v>
      </c>
      <c r="B272" s="5">
        <v>20141.0</v>
      </c>
      <c r="C272" s="5">
        <v>6071.846156468422</v>
      </c>
      <c r="D272" s="5">
        <v>4850.270647929787</v>
      </c>
      <c r="E272" s="5">
        <v>5.927384420592197</v>
      </c>
      <c r="F272" s="5">
        <v>0.3190670349074498</v>
      </c>
      <c r="G272" s="5">
        <v>1.4389749436148263</v>
      </c>
      <c r="H272" s="5">
        <v>0.3280042487857848</v>
      </c>
      <c r="I272" s="5">
        <v>-2.4663086865294837</v>
      </c>
      <c r="J272" s="5">
        <v>3.5736394916027754</v>
      </c>
      <c r="K272" s="5">
        <v>25.185718431197923</v>
      </c>
      <c r="L272" s="9" t="b">
        <v>0</v>
      </c>
    </row>
    <row r="273" ht="15.75" customHeight="1">
      <c r="A273" s="5">
        <v>4.0</v>
      </c>
      <c r="B273" s="5">
        <v>20142.0</v>
      </c>
      <c r="C273" s="5">
        <v>5648.444865298366</v>
      </c>
      <c r="D273" s="5">
        <v>5027.8991093460745</v>
      </c>
      <c r="E273" s="5">
        <v>-7.139416639857843</v>
      </c>
      <c r="F273" s="5">
        <v>0.5063773602364152</v>
      </c>
      <c r="G273" s="5">
        <v>5.204634302868413</v>
      </c>
      <c r="H273" s="5">
        <v>2.0867503267769427</v>
      </c>
      <c r="I273" s="5">
        <v>-1.1275057460356173</v>
      </c>
      <c r="J273" s="5">
        <v>4.695231486221573</v>
      </c>
      <c r="K273" s="5">
        <v>12.34204868587745</v>
      </c>
      <c r="L273" s="9" t="b">
        <v>0</v>
      </c>
    </row>
    <row r="274" ht="15.75" customHeight="1">
      <c r="A274" s="5">
        <v>4.0</v>
      </c>
      <c r="B274" s="5">
        <v>20143.0</v>
      </c>
      <c r="C274" s="5">
        <v>6036.681098812597</v>
      </c>
      <c r="D274" s="5">
        <v>4929.607419847107</v>
      </c>
      <c r="E274" s="5">
        <v>-9.17362318845505</v>
      </c>
      <c r="F274" s="5">
        <v>-2.590837827763709</v>
      </c>
      <c r="G274" s="5">
        <v>1.339985607423158</v>
      </c>
      <c r="H274" s="5">
        <v>3.7673931192029553</v>
      </c>
      <c r="I274" s="5">
        <v>1.0677654996233523</v>
      </c>
      <c r="J274" s="5">
        <v>6.938856110244393</v>
      </c>
      <c r="K274" s="5">
        <v>22.4576438786646</v>
      </c>
      <c r="L274" s="9" t="b">
        <v>0</v>
      </c>
    </row>
    <row r="275" ht="15.75" customHeight="1">
      <c r="A275" s="5">
        <v>4.0</v>
      </c>
      <c r="B275" s="5">
        <v>20144.0</v>
      </c>
      <c r="C275" s="5">
        <v>5877.140700166314</v>
      </c>
      <c r="D275" s="5">
        <v>4860.424804981209</v>
      </c>
      <c r="E275" s="5">
        <v>-2.104365756850113</v>
      </c>
      <c r="F275" s="5">
        <v>-3.1225052911427023</v>
      </c>
      <c r="G275" s="5">
        <v>-0.4287875143719537</v>
      </c>
      <c r="H275" s="5">
        <v>0.1614818457384093</v>
      </c>
      <c r="I275" s="5">
        <v>1.5859073851260233</v>
      </c>
      <c r="J275" s="5">
        <v>6.037122548644694</v>
      </c>
      <c r="K275" s="5">
        <v>20.918251716251703</v>
      </c>
      <c r="L275" s="9" t="b">
        <v>0</v>
      </c>
    </row>
    <row r="276" ht="15.75" customHeight="1">
      <c r="A276" s="5">
        <v>4.0</v>
      </c>
      <c r="B276" s="5">
        <v>20151.0</v>
      </c>
      <c r="C276" s="5">
        <v>5777.734001098061</v>
      </c>
      <c r="D276" s="5">
        <v>4968.819640851429</v>
      </c>
      <c r="E276" s="5">
        <v>-4.843867051161032</v>
      </c>
      <c r="F276" s="5">
        <v>-5.815318159081009</v>
      </c>
      <c r="G276" s="5">
        <v>-6.134385193988459</v>
      </c>
      <c r="H276" s="5">
        <v>2.4441727385304146</v>
      </c>
      <c r="I276" s="5">
        <v>2.114949507562181</v>
      </c>
      <c r="J276" s="5">
        <v>4.581258194091665</v>
      </c>
      <c r="K276" s="5">
        <v>16.279809264882505</v>
      </c>
      <c r="L276" s="9" t="b">
        <v>0</v>
      </c>
    </row>
    <row r="277" ht="15.75" customHeight="1">
      <c r="A277" s="5">
        <v>4.0</v>
      </c>
      <c r="B277" s="5">
        <v>20152.0</v>
      </c>
      <c r="C277" s="5">
        <v>6162.270702094648</v>
      </c>
      <c r="D277" s="5">
        <v>5065.335228382146</v>
      </c>
      <c r="E277" s="5">
        <v>9.096766438369785</v>
      </c>
      <c r="F277" s="5">
        <v>-1.7562723895241028</v>
      </c>
      <c r="G277" s="5">
        <v>-2.2626497497605182</v>
      </c>
      <c r="H277" s="5">
        <v>0.7445678248890086</v>
      </c>
      <c r="I277" s="5">
        <v>1.7794038820901972</v>
      </c>
      <c r="J277" s="5">
        <v>2.906909628125814</v>
      </c>
      <c r="K277" s="5">
        <v>21.655733021698943</v>
      </c>
      <c r="L277" s="9" t="b">
        <v>0</v>
      </c>
    </row>
    <row r="278" ht="15.75" customHeight="1">
      <c r="A278" s="5">
        <v>4.0</v>
      </c>
      <c r="B278" s="5">
        <v>20153.0</v>
      </c>
      <c r="C278" s="5">
        <v>6710.13146564361</v>
      </c>
      <c r="D278" s="5">
        <v>4972.388134779839</v>
      </c>
      <c r="E278" s="5">
        <v>11.155970570707785</v>
      </c>
      <c r="F278" s="5">
        <v>3.3261260502666063</v>
      </c>
      <c r="G278" s="5">
        <v>5.916963878030316</v>
      </c>
      <c r="H278" s="5">
        <v>0.8678320865976419</v>
      </c>
      <c r="I278" s="5">
        <v>1.0545136239388688</v>
      </c>
      <c r="J278" s="5">
        <v>-0.013251875684483494</v>
      </c>
      <c r="K278" s="5">
        <v>34.94786174693325</v>
      </c>
      <c r="L278" s="9" t="b">
        <v>0</v>
      </c>
    </row>
    <row r="279" ht="15.75" customHeight="1">
      <c r="A279" s="5">
        <v>4.0</v>
      </c>
      <c r="B279" s="5">
        <v>20154.0</v>
      </c>
      <c r="C279" s="5">
        <v>6333.692413744348</v>
      </c>
      <c r="D279" s="5">
        <v>4973.918199813618</v>
      </c>
      <c r="E279" s="5">
        <v>7.7682624403583755</v>
      </c>
      <c r="F279" s="5">
        <v>5.7942830995687284</v>
      </c>
      <c r="G279" s="5">
        <v>8.916788390711432</v>
      </c>
      <c r="H279" s="5">
        <v>2.335050934562255</v>
      </c>
      <c r="I279" s="5">
        <v>1.5979058961448303</v>
      </c>
      <c r="J279" s="5">
        <v>0.011998511018807001</v>
      </c>
      <c r="K279" s="5">
        <v>27.338089596682224</v>
      </c>
      <c r="L279" s="9" t="b">
        <v>0</v>
      </c>
    </row>
    <row r="280" ht="15.75" customHeight="1">
      <c r="A280" s="5">
        <v>4.0</v>
      </c>
      <c r="B280" s="5">
        <v>20161.0</v>
      </c>
      <c r="C280" s="5">
        <v>6208.749621965491</v>
      </c>
      <c r="D280" s="5">
        <v>4958.93596409637</v>
      </c>
      <c r="E280" s="5">
        <v>7.459942267773423</v>
      </c>
      <c r="F280" s="5">
        <v>8.870235429302342</v>
      </c>
      <c r="G280" s="5">
        <v>14.685553588383351</v>
      </c>
      <c r="H280" s="5">
        <v>-0.1989139769493553</v>
      </c>
      <c r="I280" s="5">
        <v>0.9371342172748878</v>
      </c>
      <c r="J280" s="5">
        <v>-1.1778152902872931</v>
      </c>
      <c r="K280" s="5">
        <v>25.2032626942152</v>
      </c>
      <c r="L280" s="9" t="b">
        <v>0</v>
      </c>
    </row>
    <row r="281" ht="15.75" customHeight="1">
      <c r="A281" s="5">
        <v>4.0</v>
      </c>
      <c r="B281" s="5">
        <v>20162.0</v>
      </c>
      <c r="C281" s="5">
        <v>6391.451832712259</v>
      </c>
      <c r="D281" s="5">
        <v>5169.192565311052</v>
      </c>
      <c r="E281" s="5">
        <v>3.7191019625234745</v>
      </c>
      <c r="F281" s="5">
        <v>7.525819310340765</v>
      </c>
      <c r="G281" s="5">
        <v>9.282091699864868</v>
      </c>
      <c r="H281" s="5">
        <v>2.050354660575504</v>
      </c>
      <c r="I281" s="5">
        <v>1.2635809261965116</v>
      </c>
      <c r="J281" s="5">
        <v>-0.5158229558936855</v>
      </c>
      <c r="K281" s="5">
        <v>23.645071294179164</v>
      </c>
      <c r="L281" s="9" t="b">
        <v>0</v>
      </c>
    </row>
    <row r="282" ht="15.75" customHeight="1">
      <c r="A282" s="5">
        <v>4.0</v>
      </c>
      <c r="B282" s="5">
        <v>20163.0</v>
      </c>
      <c r="C282" s="5">
        <v>6630.784715714512</v>
      </c>
      <c r="D282" s="5">
        <v>5287.9786530807405</v>
      </c>
      <c r="E282" s="5">
        <v>-1.1824917341092256</v>
      </c>
      <c r="F282" s="5">
        <v>4.441203734136511</v>
      </c>
      <c r="G282" s="5">
        <v>1.115077683869905</v>
      </c>
      <c r="H282" s="5">
        <v>6.346860095121576</v>
      </c>
      <c r="I282" s="5">
        <v>2.633337928327495</v>
      </c>
      <c r="J282" s="5">
        <v>1.578824304388626</v>
      </c>
      <c r="K282" s="5">
        <v>25.393560578227014</v>
      </c>
      <c r="L282" s="9" t="b">
        <v>0</v>
      </c>
    </row>
    <row r="283" ht="15.75" customHeight="1">
      <c r="A283" s="5">
        <v>4.0</v>
      </c>
      <c r="B283" s="5">
        <v>20164.0</v>
      </c>
      <c r="C283" s="5">
        <v>6975.271902347601</v>
      </c>
      <c r="D283" s="5">
        <v>5360.995381192889</v>
      </c>
      <c r="E283" s="5">
        <v>10.129628133046076</v>
      </c>
      <c r="F283" s="5">
        <v>5.031545157308437</v>
      </c>
      <c r="G283" s="5">
        <v>-0.7627379422602916</v>
      </c>
      <c r="H283" s="5">
        <v>7.782138061574373</v>
      </c>
      <c r="I283" s="5">
        <v>3.995109710080525</v>
      </c>
      <c r="J283" s="5">
        <v>2.3972038139356946</v>
      </c>
      <c r="K283" s="5">
        <v>30.111507404349137</v>
      </c>
      <c r="L283" s="9" t="b">
        <v>0</v>
      </c>
    </row>
    <row r="284" ht="15.75" customHeight="1">
      <c r="A284" s="5">
        <v>4.0</v>
      </c>
      <c r="B284" s="5">
        <v>20171.0</v>
      </c>
      <c r="C284" s="5">
        <v>6710.381667971612</v>
      </c>
      <c r="D284" s="5">
        <v>5520.1842546752505</v>
      </c>
      <c r="E284" s="5">
        <v>8.079437512368548</v>
      </c>
      <c r="F284" s="5">
        <v>5.186418968457218</v>
      </c>
      <c r="G284" s="5">
        <v>-3.683816460845124</v>
      </c>
      <c r="H284" s="5">
        <v>11.31791768723016</v>
      </c>
      <c r="I284" s="5">
        <v>6.8743176261254035</v>
      </c>
      <c r="J284" s="5">
        <v>5.937183408850515</v>
      </c>
      <c r="K284" s="5">
        <v>21.560827653322235</v>
      </c>
      <c r="L284" s="9" t="b">
        <v>0</v>
      </c>
    </row>
    <row r="285" ht="15.75" customHeight="1">
      <c r="A285" s="5">
        <v>4.0</v>
      </c>
      <c r="B285" s="5">
        <v>20172.0</v>
      </c>
      <c r="C285" s="5">
        <v>6732.012446191167</v>
      </c>
      <c r="D285" s="5">
        <v>5695.498707430324</v>
      </c>
      <c r="E285" s="5">
        <v>5.328376437664395</v>
      </c>
      <c r="F285" s="5">
        <v>5.5887375872424485</v>
      </c>
      <c r="G285" s="5">
        <v>-1.9370817230983164</v>
      </c>
      <c r="H285" s="5">
        <v>10.1815928787633</v>
      </c>
      <c r="I285" s="5">
        <v>8.907127180672353</v>
      </c>
      <c r="J285" s="5">
        <v>7.643546254475841</v>
      </c>
      <c r="K285" s="5">
        <v>18.198823176074306</v>
      </c>
      <c r="L285" s="9" t="b">
        <v>0</v>
      </c>
    </row>
    <row r="286" ht="15.75" customHeight="1">
      <c r="A286" s="5">
        <v>4.0</v>
      </c>
      <c r="B286" s="5">
        <v>20173.0</v>
      </c>
      <c r="C286" s="5">
        <v>7174.5304626487405</v>
      </c>
      <c r="D286" s="5">
        <v>5832.974686679748</v>
      </c>
      <c r="E286" s="5">
        <v>8.200322740769849</v>
      </c>
      <c r="F286" s="5">
        <v>7.934441205962218</v>
      </c>
      <c r="G286" s="5">
        <v>3.493237471825706</v>
      </c>
      <c r="H286" s="5">
        <v>10.306320606674468</v>
      </c>
      <c r="I286" s="5">
        <v>9.896992308560575</v>
      </c>
      <c r="J286" s="5">
        <v>7.26365438023308</v>
      </c>
      <c r="K286" s="5">
        <v>22.999513079194145</v>
      </c>
      <c r="L286" s="9" t="b">
        <v>0</v>
      </c>
    </row>
    <row r="287" ht="15.75" customHeight="1">
      <c r="A287" s="5">
        <v>4.0</v>
      </c>
      <c r="B287" s="5">
        <v>20174.0</v>
      </c>
      <c r="C287" s="5">
        <v>6901.968756937644</v>
      </c>
      <c r="D287" s="5">
        <v>5928.73184376691</v>
      </c>
      <c r="E287" s="5">
        <v>-1.0509001862032963</v>
      </c>
      <c r="F287" s="5">
        <v>5.1393091261498745</v>
      </c>
      <c r="G287" s="5">
        <v>0.10776396884143757</v>
      </c>
      <c r="H287" s="5">
        <v>10.590131537246217</v>
      </c>
      <c r="I287" s="5">
        <v>10.598990677478536</v>
      </c>
      <c r="J287" s="5">
        <v>6.603880967398011</v>
      </c>
      <c r="K287" s="5">
        <v>16.4156001454836</v>
      </c>
      <c r="L287" s="9" t="b">
        <v>0</v>
      </c>
    </row>
    <row r="288" ht="15.75" customHeight="1">
      <c r="A288" s="5">
        <v>4.0</v>
      </c>
      <c r="B288" s="5">
        <v>20181.0</v>
      </c>
      <c r="C288" s="5">
        <v>6851.479349697545</v>
      </c>
      <c r="D288" s="5">
        <v>6076.693878516351</v>
      </c>
      <c r="E288" s="5">
        <v>2.102677443809009</v>
      </c>
      <c r="F288" s="5">
        <v>3.6451191090099893</v>
      </c>
      <c r="G288" s="5">
        <v>-1.541299859447229</v>
      </c>
      <c r="H288" s="5">
        <v>10.081359573636917</v>
      </c>
      <c r="I288" s="5">
        <v>10.289851149080226</v>
      </c>
      <c r="J288" s="5">
        <v>3.4155335229548225</v>
      </c>
      <c r="K288" s="5">
        <v>12.75011522170606</v>
      </c>
      <c r="L288" s="9" t="b">
        <v>0</v>
      </c>
    </row>
    <row r="289" ht="15.75" customHeight="1">
      <c r="A289" s="5">
        <v>4.0</v>
      </c>
      <c r="B289" s="5">
        <v>20182.0</v>
      </c>
      <c r="C289" s="5">
        <v>7080.415417255621</v>
      </c>
      <c r="D289" s="5">
        <v>6366.4289082256</v>
      </c>
      <c r="E289" s="5">
        <v>5.175316799385499</v>
      </c>
      <c r="F289" s="5">
        <v>3.6068541994402654</v>
      </c>
      <c r="G289" s="5">
        <v>-1.981883387802183</v>
      </c>
      <c r="H289" s="5">
        <v>11.780007954702597</v>
      </c>
      <c r="I289" s="5">
        <v>10.68945491806505</v>
      </c>
      <c r="J289" s="5">
        <v>1.7823277373926967</v>
      </c>
      <c r="K289" s="5">
        <v>11.21486659668076</v>
      </c>
      <c r="L289" s="9" t="b">
        <v>0</v>
      </c>
    </row>
    <row r="290" ht="15.75" customHeight="1">
      <c r="A290" s="5">
        <v>4.0</v>
      </c>
      <c r="B290" s="5">
        <v>20183.0</v>
      </c>
      <c r="C290" s="5">
        <v>7417.874125210048</v>
      </c>
      <c r="D290" s="5">
        <v>6467.392240561226</v>
      </c>
      <c r="E290" s="5">
        <v>3.391771264031518</v>
      </c>
      <c r="F290" s="5">
        <v>2.404716330255683</v>
      </c>
      <c r="G290" s="5">
        <v>-5.529724875706535</v>
      </c>
      <c r="H290" s="5">
        <v>10.8763982009084</v>
      </c>
      <c r="I290" s="5">
        <v>10.831974316623533</v>
      </c>
      <c r="J290" s="5">
        <v>0.9349820080629581</v>
      </c>
      <c r="K290" s="5">
        <v>14.696524492325235</v>
      </c>
      <c r="L290" s="9" t="b">
        <v>0</v>
      </c>
    </row>
    <row r="291" ht="15.75" customHeight="1">
      <c r="A291" s="5">
        <v>4.0</v>
      </c>
      <c r="B291" s="5">
        <v>20184.0</v>
      </c>
      <c r="C291" s="5">
        <v>7803.314460598126</v>
      </c>
      <c r="D291" s="5">
        <v>6634.247738837845</v>
      </c>
      <c r="E291" s="5">
        <v>13.059255053197361</v>
      </c>
      <c r="F291" s="5">
        <v>5.932255140105847</v>
      </c>
      <c r="G291" s="5">
        <v>0.792946013955973</v>
      </c>
      <c r="H291" s="5">
        <v>11.899946121069194</v>
      </c>
      <c r="I291" s="5">
        <v>11.159427962579278</v>
      </c>
      <c r="J291" s="5">
        <v>0.5604372851007415</v>
      </c>
      <c r="K291" s="5">
        <v>17.621692281950764</v>
      </c>
      <c r="L291" s="9" t="b">
        <v>0</v>
      </c>
    </row>
    <row r="292" ht="15.75" customHeight="1">
      <c r="A292" s="5">
        <v>4.0</v>
      </c>
      <c r="B292" s="5">
        <v>20191.0</v>
      </c>
      <c r="C292" s="5">
        <v>7990.141021611874</v>
      </c>
      <c r="D292" s="5">
        <v>6738.276577721916</v>
      </c>
      <c r="E292" s="5">
        <v>16.619208988268987</v>
      </c>
      <c r="F292" s="5">
        <v>9.561388026220841</v>
      </c>
      <c r="G292" s="5">
        <v>5.916268917210852</v>
      </c>
      <c r="H292" s="5">
        <v>10.887214535267864</v>
      </c>
      <c r="I292" s="5">
        <v>11.360891702987015</v>
      </c>
      <c r="J292" s="5">
        <v>1.0710405539067889</v>
      </c>
      <c r="K292" s="5">
        <v>18.57840694798536</v>
      </c>
      <c r="L292" s="9" t="b">
        <v>0</v>
      </c>
    </row>
    <row r="293" ht="15.75" customHeight="1">
      <c r="A293" s="5">
        <v>4.0</v>
      </c>
      <c r="B293" s="5">
        <v>20192.0</v>
      </c>
      <c r="C293" s="5">
        <v>8180.609053120141</v>
      </c>
      <c r="D293" s="5">
        <v>7000.782601978333</v>
      </c>
      <c r="E293" s="5">
        <v>15.538546413297261</v>
      </c>
      <c r="F293" s="5">
        <v>12.152195429698782</v>
      </c>
      <c r="G293" s="5">
        <v>8.545341230258517</v>
      </c>
      <c r="H293" s="5">
        <v>9.964042682281903</v>
      </c>
      <c r="I293" s="5">
        <v>10.90690038488184</v>
      </c>
      <c r="J293" s="5">
        <v>0.2174454668167911</v>
      </c>
      <c r="K293" s="5">
        <v>16.852779442235555</v>
      </c>
      <c r="L293" s="9" t="b">
        <v>0</v>
      </c>
    </row>
    <row r="294" ht="15.75" customHeight="1">
      <c r="A294" s="5">
        <v>4.0</v>
      </c>
      <c r="B294" s="5">
        <v>20193.0</v>
      </c>
      <c r="C294" s="5">
        <v>8321.185776224313</v>
      </c>
      <c r="D294" s="5">
        <v>7222.888805086445</v>
      </c>
      <c r="E294" s="5">
        <v>12.177500396566598</v>
      </c>
      <c r="F294" s="5">
        <v>14.348627712832553</v>
      </c>
      <c r="G294" s="5">
        <v>11.94391138257687</v>
      </c>
      <c r="H294" s="5">
        <v>11.681625861301704</v>
      </c>
      <c r="I294" s="5">
        <v>11.108207299980167</v>
      </c>
      <c r="J294" s="5">
        <v>0.2762329833566337</v>
      </c>
      <c r="K294" s="5">
        <v>15.205785396619053</v>
      </c>
      <c r="L294" s="9" t="b">
        <v>0</v>
      </c>
    </row>
    <row r="295" ht="15.75" customHeight="1">
      <c r="A295" s="5">
        <v>4.0</v>
      </c>
      <c r="B295" s="5">
        <v>20194.0</v>
      </c>
      <c r="C295" s="5">
        <v>8027.319991535855</v>
      </c>
      <c r="D295" s="5">
        <v>7254.508804760362</v>
      </c>
      <c r="E295" s="5">
        <v>2.8706459552388486</v>
      </c>
      <c r="F295" s="5">
        <v>11.801475438342925</v>
      </c>
      <c r="G295" s="5">
        <v>5.869220298237077</v>
      </c>
      <c r="H295" s="5">
        <v>9.349380522699203</v>
      </c>
      <c r="I295" s="5">
        <v>10.470565900387669</v>
      </c>
      <c r="J295" s="5">
        <v>-0.6888620621916086</v>
      </c>
      <c r="K295" s="5">
        <v>10.65283960050305</v>
      </c>
      <c r="L295" s="9" t="b">
        <v>0</v>
      </c>
    </row>
    <row r="296" ht="15.75" customHeight="1">
      <c r="A296" s="5">
        <v>4.0</v>
      </c>
      <c r="B296" s="5">
        <v>20201.0</v>
      </c>
      <c r="C296" s="5">
        <v>8251.15986529306</v>
      </c>
      <c r="D296" s="5">
        <v>7475.880483816565</v>
      </c>
      <c r="E296" s="5">
        <v>3.2667614122851907</v>
      </c>
      <c r="F296" s="5">
        <v>8.463363544346976</v>
      </c>
      <c r="G296" s="5">
        <v>-1.0980244818738658</v>
      </c>
      <c r="H296" s="5">
        <v>10.946477153124224</v>
      </c>
      <c r="I296" s="5">
        <v>10.48538155485176</v>
      </c>
      <c r="J296" s="5">
        <v>-0.8755101481352554</v>
      </c>
      <c r="K296" s="5">
        <v>10.370408986002166</v>
      </c>
      <c r="L296" s="9" t="b">
        <v>0</v>
      </c>
    </row>
    <row r="297" ht="15.75" customHeight="1">
      <c r="A297" s="5">
        <v>4.0</v>
      </c>
      <c r="B297" s="5">
        <v>20202.0</v>
      </c>
      <c r="C297" s="5">
        <v>7974.345800120185</v>
      </c>
      <c r="D297" s="5">
        <v>7614.147095037039</v>
      </c>
      <c r="E297" s="5">
        <v>-2.521367928238616</v>
      </c>
      <c r="F297" s="5">
        <v>3.9483849589630062</v>
      </c>
      <c r="G297" s="5">
        <v>-8.203810470735776</v>
      </c>
      <c r="H297" s="5">
        <v>8.761370377154364</v>
      </c>
      <c r="I297" s="5">
        <v>10.184713478569874</v>
      </c>
      <c r="J297" s="5">
        <v>-0.7221869063119666</v>
      </c>
      <c r="K297" s="5">
        <v>4.73065072932366</v>
      </c>
      <c r="L297" s="9" t="b">
        <v>0</v>
      </c>
    </row>
    <row r="298" ht="15.75" customHeight="1">
      <c r="A298" s="5">
        <v>4.0</v>
      </c>
      <c r="B298" s="5">
        <v>20203.0</v>
      </c>
      <c r="C298" s="5">
        <v>8240.475973805938</v>
      </c>
      <c r="D298" s="5">
        <v>7751.145430437699</v>
      </c>
      <c r="E298" s="5">
        <v>-0.9699315048220858</v>
      </c>
      <c r="F298" s="5">
        <v>0.6615269836158353</v>
      </c>
      <c r="G298" s="5">
        <v>-13.687100729216716</v>
      </c>
      <c r="H298" s="5">
        <v>7.31364748380523</v>
      </c>
      <c r="I298" s="5">
        <v>9.092718884195754</v>
      </c>
      <c r="J298" s="5">
        <v>-2.0154884157844126</v>
      </c>
      <c r="K298" s="5">
        <v>6.313009448212692</v>
      </c>
      <c r="L298" s="9" t="b">
        <v>0</v>
      </c>
    </row>
    <row r="299" ht="15.75" customHeight="1">
      <c r="A299" s="5">
        <v>4.0</v>
      </c>
      <c r="B299" s="5">
        <v>20204.0</v>
      </c>
      <c r="C299" s="5">
        <v>8132.838695025837</v>
      </c>
      <c r="D299" s="5">
        <v>7626.68761733532</v>
      </c>
      <c r="E299" s="5">
        <v>1.3144947952896224</v>
      </c>
      <c r="F299" s="5">
        <v>0.27248919362852875</v>
      </c>
      <c r="G299" s="5">
        <v>-11.528986244714396</v>
      </c>
      <c r="H299" s="5">
        <v>5.130310302066721</v>
      </c>
      <c r="I299" s="5">
        <v>8.037951329037634</v>
      </c>
      <c r="J299" s="5">
        <v>-2.432614571350035</v>
      </c>
      <c r="K299" s="5">
        <v>6.636578067522336</v>
      </c>
      <c r="L299" s="9" t="b">
        <v>0</v>
      </c>
    </row>
    <row r="300" ht="15.75" customHeight="1">
      <c r="A300" s="5">
        <v>4.0</v>
      </c>
      <c r="B300" s="5">
        <v>20211.0</v>
      </c>
      <c r="C300" s="5">
        <v>9324.88566627111</v>
      </c>
      <c r="D300" s="5">
        <v>7840.018951151853</v>
      </c>
      <c r="E300" s="5">
        <v>13.013028695450114</v>
      </c>
      <c r="F300" s="5">
        <v>2.7090560144197595</v>
      </c>
      <c r="G300" s="5">
        <v>-5.754307529927216</v>
      </c>
      <c r="H300" s="5">
        <v>4.870843884189391</v>
      </c>
      <c r="I300" s="5">
        <v>6.519043011803927</v>
      </c>
      <c r="J300" s="5">
        <v>-3.966338543047833</v>
      </c>
      <c r="K300" s="5">
        <v>18.939580686869384</v>
      </c>
      <c r="L300" s="9" t="b">
        <v>0</v>
      </c>
    </row>
    <row r="301" ht="15.75" customHeight="1">
      <c r="A301" s="5">
        <v>4.0</v>
      </c>
      <c r="B301" s="5">
        <v>20212.0</v>
      </c>
      <c r="C301" s="5">
        <v>9824.39893248688</v>
      </c>
      <c r="D301" s="5">
        <v>8291.616961560432</v>
      </c>
      <c r="E301" s="5">
        <v>23.200061531552983</v>
      </c>
      <c r="F301" s="5">
        <v>9.13941337936766</v>
      </c>
      <c r="G301" s="5">
        <v>5.191028420404654</v>
      </c>
      <c r="H301" s="5">
        <v>8.897514824279828</v>
      </c>
      <c r="I301" s="5">
        <v>6.5530791235852925</v>
      </c>
      <c r="J301" s="5">
        <v>-3.6316343549845813</v>
      </c>
      <c r="K301" s="5">
        <v>18.485923530143246</v>
      </c>
      <c r="L301" s="9" t="b">
        <v>0</v>
      </c>
    </row>
    <row r="302" ht="15.75" customHeight="1">
      <c r="A302" s="5">
        <v>4.0</v>
      </c>
      <c r="B302" s="5">
        <v>20213.0</v>
      </c>
      <c r="C302" s="5">
        <v>9738.883118212558</v>
      </c>
      <c r="D302" s="5">
        <v>8434.630567707924</v>
      </c>
      <c r="E302" s="5">
        <v>18.183502374979522</v>
      </c>
      <c r="F302" s="5">
        <v>13.927771849318061</v>
      </c>
      <c r="G302" s="5">
        <v>13.266244865702227</v>
      </c>
      <c r="H302" s="5">
        <v>8.817859804129991</v>
      </c>
      <c r="I302" s="5">
        <v>6.929132203666483</v>
      </c>
      <c r="J302" s="5">
        <v>-2.1635866805292716</v>
      </c>
      <c r="K302" s="5">
        <v>15.463066699067763</v>
      </c>
      <c r="L302" s="9" t="b">
        <v>1</v>
      </c>
      <c r="M302" s="5" t="s">
        <v>291</v>
      </c>
    </row>
    <row r="303" ht="15.75" customHeight="1">
      <c r="A303" s="5">
        <v>4.0</v>
      </c>
      <c r="B303" s="5">
        <v>20214.0</v>
      </c>
      <c r="C303" s="5">
        <v>9927.325311384651</v>
      </c>
      <c r="D303" s="5">
        <v>8701.050508600214</v>
      </c>
      <c r="E303" s="5">
        <v>22.06470192820065</v>
      </c>
      <c r="F303" s="5">
        <v>19.115323632545817</v>
      </c>
      <c r="G303" s="5">
        <v>18.842834438917286</v>
      </c>
      <c r="H303" s="5">
        <v>14.086887324752716</v>
      </c>
      <c r="I303" s="5">
        <v>9.168276459337982</v>
      </c>
      <c r="J303" s="5">
        <v>1.1303251303003474</v>
      </c>
      <c r="K303" s="5">
        <v>14.09341092288079</v>
      </c>
      <c r="L303" s="9" t="b">
        <v>0</v>
      </c>
    </row>
    <row r="304" ht="15.75" customHeight="1">
      <c r="A304" s="5">
        <v>4.0</v>
      </c>
      <c r="B304" s="5">
        <v>20221.0</v>
      </c>
      <c r="C304" s="5">
        <v>9830.2439914623</v>
      </c>
      <c r="D304" s="5">
        <v>8915.708884871452</v>
      </c>
      <c r="E304" s="5">
        <v>5.419458675178324</v>
      </c>
      <c r="F304" s="5">
        <v>17.21693112747787</v>
      </c>
      <c r="G304" s="5">
        <v>14.50787511305811</v>
      </c>
      <c r="H304" s="5">
        <v>13.720501703143961</v>
      </c>
      <c r="I304" s="5">
        <v>11.380690914076624</v>
      </c>
      <c r="J304" s="5">
        <v>4.861647902272697</v>
      </c>
      <c r="K304" s="5">
        <v>10.257570299795994</v>
      </c>
      <c r="L304" s="9" t="b">
        <v>0</v>
      </c>
    </row>
    <row r="305" ht="15.75" customHeight="1">
      <c r="A305" s="5">
        <v>4.0</v>
      </c>
      <c r="B305" s="5">
        <v>20222.0</v>
      </c>
      <c r="C305" s="5">
        <v>10131.111048564662</v>
      </c>
      <c r="D305" s="5">
        <v>9471.548243910804</v>
      </c>
      <c r="E305" s="5">
        <v>3.1219428097892132</v>
      </c>
      <c r="F305" s="5">
        <v>12.197401447036928</v>
      </c>
      <c r="G305" s="5">
        <v>3.0579880676692675</v>
      </c>
      <c r="H305" s="5">
        <v>14.230412328746977</v>
      </c>
      <c r="I305" s="5">
        <v>12.713915290193412</v>
      </c>
      <c r="J305" s="5">
        <v>6.16083616660812</v>
      </c>
      <c r="K305" s="5">
        <v>6.96362186697288</v>
      </c>
      <c r="L305" s="9" t="b">
        <v>0</v>
      </c>
    </row>
    <row r="306" ht="15.75" customHeight="1">
      <c r="A306" s="5">
        <v>4.0</v>
      </c>
      <c r="B306" s="5">
        <v>20223.0</v>
      </c>
      <c r="C306" s="5">
        <v>10330.628952399522</v>
      </c>
      <c r="D306" s="5">
        <v>9673.353056457974</v>
      </c>
      <c r="E306" s="5">
        <v>6.076115987883135</v>
      </c>
      <c r="F306" s="5">
        <v>9.170554850262832</v>
      </c>
      <c r="G306" s="5">
        <v>-4.757216999055229</v>
      </c>
      <c r="H306" s="5">
        <v>14.686149900773525</v>
      </c>
      <c r="I306" s="5">
        <v>14.180987814354296</v>
      </c>
      <c r="J306" s="5">
        <v>7.251855610687813</v>
      </c>
      <c r="K306" s="5">
        <v>6.794705952583291</v>
      </c>
      <c r="L306" s="9" t="b">
        <v>0</v>
      </c>
    </row>
    <row r="307" ht="15.75" customHeight="1">
      <c r="A307" s="5">
        <v>4.0</v>
      </c>
      <c r="B307" s="5">
        <v>20224.0</v>
      </c>
      <c r="C307" s="5">
        <v>10829.744784641298</v>
      </c>
      <c r="D307" s="5">
        <v>9199.073379310485</v>
      </c>
      <c r="E307" s="5">
        <v>9.090257898789233</v>
      </c>
      <c r="F307" s="5">
        <v>5.926943842909977</v>
      </c>
      <c r="G307" s="5">
        <v>-13.188379789635839</v>
      </c>
      <c r="H307" s="5">
        <v>5.723709685606582</v>
      </c>
      <c r="I307" s="5">
        <v>12.090193404567762</v>
      </c>
      <c r="J307" s="5">
        <v>2.92191694522978</v>
      </c>
      <c r="K307" s="5">
        <v>17.726474592520745</v>
      </c>
      <c r="L307" s="9" t="b">
        <v>0</v>
      </c>
    </row>
    <row r="308" ht="15.75" customHeight="1">
      <c r="A308" s="5">
        <v>4.0</v>
      </c>
      <c r="B308" s="5">
        <v>20231.0</v>
      </c>
      <c r="C308" s="5">
        <v>10842.91478296</v>
      </c>
      <c r="D308" s="5">
        <v>9221.990797352026</v>
      </c>
      <c r="E308" s="5">
        <v>10.30158348436947</v>
      </c>
      <c r="F308" s="5">
        <v>7.147475045207764</v>
      </c>
      <c r="G308" s="5">
        <v>-10.069456082270108</v>
      </c>
      <c r="H308" s="5">
        <v>3.4353063389080063</v>
      </c>
      <c r="I308" s="5">
        <v>9.518894563508773</v>
      </c>
      <c r="J308" s="5">
        <v>-1.8617963505678503</v>
      </c>
      <c r="K308" s="5">
        <v>17.57672525625813</v>
      </c>
      <c r="L308" s="9" t="b">
        <v>0</v>
      </c>
    </row>
    <row r="309" ht="15.75" customHeight="1">
      <c r="A309" s="5">
        <v>4.0</v>
      </c>
      <c r="B309" s="5">
        <v>20232.0</v>
      </c>
      <c r="C309" s="5">
        <v>10673.05081912</v>
      </c>
      <c r="D309" s="5">
        <v>9920.234606351203</v>
      </c>
      <c r="E309" s="5">
        <v>5.349262958006151</v>
      </c>
      <c r="F309" s="5">
        <v>7.704305082261998</v>
      </c>
      <c r="G309" s="5">
        <v>-4.49309636477493</v>
      </c>
      <c r="H309" s="5">
        <v>4.73720189018576</v>
      </c>
      <c r="I309" s="5">
        <v>7.145591953868468</v>
      </c>
      <c r="J309" s="5">
        <v>-5.568323336324944</v>
      </c>
      <c r="K309" s="5">
        <v>7.58869364124537</v>
      </c>
      <c r="L309" s="9" t="b">
        <v>0</v>
      </c>
    </row>
    <row r="310" ht="15.75" customHeight="1">
      <c r="A310" s="5">
        <v>4.0</v>
      </c>
      <c r="B310" s="5">
        <v>20233.0</v>
      </c>
      <c r="C310" s="5">
        <v>11276.78957928</v>
      </c>
      <c r="D310" s="5">
        <v>10032.386681200758</v>
      </c>
      <c r="E310" s="5">
        <v>9.158790149565021</v>
      </c>
      <c r="F310" s="5">
        <v>8.47497362268247</v>
      </c>
      <c r="G310" s="5">
        <v>-0.6955812275803623</v>
      </c>
      <c r="H310" s="5">
        <v>3.711573666827883</v>
      </c>
      <c r="I310" s="5">
        <v>4.401947895382058</v>
      </c>
      <c r="J310" s="5">
        <v>-9.779039918972238</v>
      </c>
      <c r="K310" s="5">
        <v>12.403857004545827</v>
      </c>
      <c r="L310" s="9" t="b">
        <v>0</v>
      </c>
    </row>
    <row r="311" ht="15.75" customHeight="1">
      <c r="A311" s="5">
        <v>4.0</v>
      </c>
      <c r="B311" s="5">
        <v>20234.0</v>
      </c>
      <c r="C311" s="5">
        <v>11108.75425048</v>
      </c>
      <c r="D311" s="5">
        <v>10251.283403369587</v>
      </c>
      <c r="E311" s="5">
        <v>2.5763254018173365</v>
      </c>
      <c r="F311" s="5">
        <v>6.846490498439495</v>
      </c>
      <c r="G311" s="5">
        <v>0.9195466555295182</v>
      </c>
      <c r="H311" s="5">
        <v>11.438217532057248</v>
      </c>
      <c r="I311" s="5">
        <v>5.830574856994724</v>
      </c>
      <c r="J311" s="5">
        <v>-6.259618547573037</v>
      </c>
      <c r="K311" s="5">
        <v>8.364521917602662</v>
      </c>
      <c r="L311" s="9" t="b">
        <v>0</v>
      </c>
    </row>
    <row r="312" ht="15.75" customHeight="1">
      <c r="A312" s="5">
        <v>4.0</v>
      </c>
      <c r="B312" s="5">
        <v>20241.0</v>
      </c>
      <c r="C312" s="5">
        <v>12762.72457233379</v>
      </c>
      <c r="D312" s="5">
        <v>10558.355552288447</v>
      </c>
      <c r="E312" s="5">
        <v>17.70566151078521</v>
      </c>
      <c r="F312" s="5">
        <v>8.69751000504343</v>
      </c>
      <c r="G312" s="5">
        <v>1.5500349598356662</v>
      </c>
      <c r="H312" s="5">
        <v>14.49106580457813</v>
      </c>
      <c r="I312" s="5">
        <v>8.594514723412255</v>
      </c>
      <c r="J312" s="5">
        <v>-0.9243798400965186</v>
      </c>
      <c r="K312" s="5">
        <v>20.877957832813856</v>
      </c>
      <c r="L312" s="9" t="b">
        <v>0</v>
      </c>
    </row>
    <row r="313" ht="15.75" customHeight="1">
      <c r="A313" s="5">
        <v>4.0</v>
      </c>
      <c r="B313" s="5">
        <v>20242.0</v>
      </c>
      <c r="C313" s="5">
        <v>12435.61987643296</v>
      </c>
      <c r="D313" s="5">
        <v>11412.535612155936</v>
      </c>
      <c r="E313" s="5">
        <v>16.51420092702496</v>
      </c>
      <c r="F313" s="5">
        <v>11.488744497298132</v>
      </c>
      <c r="G313" s="5">
        <v>3.7844394150361342</v>
      </c>
      <c r="H313" s="5">
        <v>15.043001148877288</v>
      </c>
      <c r="I313" s="5">
        <v>11.170964538085137</v>
      </c>
      <c r="J313" s="5">
        <v>4.025372584216669</v>
      </c>
      <c r="K313" s="5">
        <v>8.96456579892111</v>
      </c>
      <c r="L313" s="9" t="b">
        <v>0</v>
      </c>
    </row>
    <row r="314" ht="15.75" customHeight="1">
      <c r="A314" s="5">
        <v>4.0</v>
      </c>
      <c r="B314" s="5">
        <v>20243.0</v>
      </c>
      <c r="C314" s="5">
        <v>13374.472831284924</v>
      </c>
      <c r="D314" s="5">
        <v>11669.024619488204</v>
      </c>
      <c r="E314" s="5">
        <v>18.601777015146315</v>
      </c>
      <c r="F314" s="5">
        <v>13.849491213693454</v>
      </c>
      <c r="G314" s="5">
        <v>5.374517591010985</v>
      </c>
      <c r="H314" s="5">
        <v>16.313545224031966</v>
      </c>
      <c r="I314" s="5">
        <v>14.321457427386159</v>
      </c>
      <c r="J314" s="5">
        <v>9.919509532004101</v>
      </c>
      <c r="K314" s="5">
        <v>14.615173653404456</v>
      </c>
      <c r="L314" s="9" t="b">
        <v>0</v>
      </c>
    </row>
    <row r="315" ht="15.75" customHeight="1">
      <c r="A315" s="5">
        <v>4.0</v>
      </c>
      <c r="B315" s="5">
        <v>20244.0</v>
      </c>
      <c r="C315" s="5">
        <v>12414.31657511806</v>
      </c>
      <c r="D315" s="5">
        <v>11984.550814390732</v>
      </c>
      <c r="E315" s="5">
        <v>11.752553843574741</v>
      </c>
      <c r="F315" s="5">
        <v>16.14354832413281</v>
      </c>
      <c r="G315" s="5">
        <v>9.297057825693313</v>
      </c>
      <c r="H315" s="5">
        <v>16.907808932990974</v>
      </c>
      <c r="I315" s="5">
        <v>15.68885527761959</v>
      </c>
      <c r="J315" s="5">
        <v>9.858280420624865</v>
      </c>
      <c r="K315" s="5">
        <v>3.5859980685406745</v>
      </c>
      <c r="L315" s="9" t="b">
        <v>0</v>
      </c>
    </row>
    <row r="316" ht="15.75" customHeight="1">
      <c r="A316" s="5">
        <v>4.0</v>
      </c>
      <c r="B316" s="5">
        <v>20251.0</v>
      </c>
      <c r="C316" s="5">
        <v>12906.711629710146</v>
      </c>
      <c r="D316" s="5">
        <v>11840.34994012722</v>
      </c>
      <c r="E316" s="5">
        <v>1.128184319580816</v>
      </c>
      <c r="F316" s="5">
        <v>11.99917902633171</v>
      </c>
      <c r="G316" s="5">
        <v>3.30166902128828</v>
      </c>
      <c r="H316" s="5">
        <v>12.141989171418931</v>
      </c>
      <c r="I316" s="5">
        <v>15.101586119329792</v>
      </c>
      <c r="J316" s="5">
        <v>6.507071395917537</v>
      </c>
      <c r="K316" s="5">
        <v>9.006167004988598</v>
      </c>
      <c r="L316" s="9" t="b">
        <v>0</v>
      </c>
    </row>
    <row r="317" ht="15.75" customHeight="1">
      <c r="A317" s="5">
        <v>4.0</v>
      </c>
      <c r="B317" s="5">
        <v>20252.0</v>
      </c>
      <c r="C317" s="5">
        <v>13000.24061245408</v>
      </c>
      <c r="D317" s="5">
        <v>11807.335727122909</v>
      </c>
      <c r="E317" s="5">
        <v>4.5403505545481115</v>
      </c>
      <c r="F317" s="5">
        <v>9.005716433212497</v>
      </c>
      <c r="G317" s="5">
        <v>-2.4830280640856355</v>
      </c>
      <c r="H317" s="5">
        <v>3.4593549442812233</v>
      </c>
      <c r="I317" s="5">
        <v>12.205674568180775</v>
      </c>
      <c r="J317" s="5">
        <v>1.0347100300956384</v>
      </c>
      <c r="K317" s="5">
        <v>10.103082633543824</v>
      </c>
      <c r="L317" s="9" t="b">
        <v>0</v>
      </c>
    </row>
    <row r="318" ht="15.75" customHeight="1">
      <c r="A318" s="5">
        <v>4.0</v>
      </c>
      <c r="B318" s="5">
        <v>20253.0</v>
      </c>
      <c r="C318" s="5">
        <v>13510.01638769764</v>
      </c>
      <c r="D318" s="5">
        <v>11823.966036992157</v>
      </c>
      <c r="E318" s="5">
        <v>1.013449712168546</v>
      </c>
      <c r="F318" s="5">
        <v>4.608634607468055</v>
      </c>
      <c r="G318" s="5">
        <v>-9.2408566062254</v>
      </c>
      <c r="H318" s="5">
        <v>1.3278009307237992</v>
      </c>
      <c r="I318" s="5">
        <v>8.459238494853732</v>
      </c>
      <c r="J318" s="5">
        <v>-5.862218932532427</v>
      </c>
      <c r="K318" s="5">
        <v>14.259600758582614</v>
      </c>
      <c r="L318" s="9" t="b">
        <v>0</v>
      </c>
    </row>
    <row r="319" ht="15.75" customHeight="1">
      <c r="A319" s="5">
        <v>4.0</v>
      </c>
      <c r="B319" s="5">
        <v>20254.0</v>
      </c>
      <c r="C319" s="5">
        <v>13570.538425147872</v>
      </c>
      <c r="D319" s="5">
        <v>11665.062690090976</v>
      </c>
      <c r="E319" s="5">
        <v>9.31361660574388</v>
      </c>
      <c r="F319" s="5">
        <v>3.998900298010339</v>
      </c>
      <c r="G319" s="5">
        <v>-12.14464802612247</v>
      </c>
      <c r="H319" s="5">
        <v>-2.6658331150477776</v>
      </c>
      <c r="I319" s="5">
        <v>3.565827982844044</v>
      </c>
      <c r="J319" s="5">
        <v>-12.123027294775547</v>
      </c>
      <c r="K319" s="5">
        <v>16.334894939531907</v>
      </c>
      <c r="L319" s="9" t="b">
        <v>0</v>
      </c>
    </row>
    <row r="320" ht="15.75" customHeight="1">
      <c r="A320" s="5">
        <v>4.0</v>
      </c>
      <c r="B320" s="5">
        <v>20261.0</v>
      </c>
      <c r="C320" s="5">
        <v>13324.64036738066</v>
      </c>
      <c r="D320" s="5">
        <v>12245.468393199357</v>
      </c>
      <c r="E320" s="5">
        <v>3.238072947322057</v>
      </c>
      <c r="F320" s="5">
        <v>4.526372454945649</v>
      </c>
      <c r="G320" s="5">
        <v>-7.4728065713860605</v>
      </c>
      <c r="H320" s="5">
        <v>3.421507431120596</v>
      </c>
      <c r="I320" s="5">
        <v>1.3857075477694603</v>
      </c>
      <c r="J320" s="5">
        <v>-13.715878571560332</v>
      </c>
      <c r="K320" s="5">
        <v>8.81282723967205</v>
      </c>
      <c r="L320" s="9" t="b">
        <v>0</v>
      </c>
    </row>
    <row r="321" ht="15.75" customHeight="1">
      <c r="A321" s="5">
        <v>4.0</v>
      </c>
      <c r="B321" s="5">
        <v>20262.0</v>
      </c>
      <c r="C321" s="5">
        <v>12886.98208212585</v>
      </c>
      <c r="D321" s="5">
        <v>12266.795259976028</v>
      </c>
      <c r="E321" s="5">
        <v>-0.8712033392653362</v>
      </c>
      <c r="F321" s="5">
        <v>3.173483981492287</v>
      </c>
      <c r="G321" s="5">
        <v>-5.832232451720209</v>
      </c>
      <c r="H321" s="5">
        <v>3.891305739682527</v>
      </c>
      <c r="I321" s="5">
        <v>1.4936952466197861</v>
      </c>
      <c r="J321" s="5">
        <v>-10.711979321560989</v>
      </c>
      <c r="K321" s="5">
        <v>5.0558178318452995</v>
      </c>
      <c r="L321" s="9" t="b">
        <v>0</v>
      </c>
    </row>
    <row r="322" ht="15.75" customHeight="1">
      <c r="A322" s="5">
        <v>5.0</v>
      </c>
      <c r="B322" s="5">
        <v>20063.0</v>
      </c>
      <c r="C322" s="5">
        <v>3522.59</v>
      </c>
      <c r="D322" s="5">
        <v>1907.3622319337749</v>
      </c>
      <c r="K322" s="5">
        <v>84.68384982272772</v>
      </c>
      <c r="L322" s="9" t="b">
        <v>0</v>
      </c>
    </row>
    <row r="323" ht="15.75" customHeight="1">
      <c r="A323" s="5">
        <v>5.0</v>
      </c>
      <c r="B323" s="5">
        <v>20064.0</v>
      </c>
      <c r="C323" s="5">
        <v>3734.72</v>
      </c>
      <c r="D323" s="5">
        <v>2101.5049221011905</v>
      </c>
      <c r="K323" s="5">
        <v>77.71645265840436</v>
      </c>
      <c r="L323" s="9" t="b">
        <v>0</v>
      </c>
    </row>
    <row r="324" ht="15.75" customHeight="1">
      <c r="A324" s="5">
        <v>5.0</v>
      </c>
      <c r="B324" s="5">
        <v>20071.0</v>
      </c>
      <c r="C324" s="5">
        <v>3805.67</v>
      </c>
      <c r="D324" s="5">
        <v>2508.2062239589545</v>
      </c>
      <c r="K324" s="5">
        <v>51.72875195218709</v>
      </c>
      <c r="L324" s="9" t="b">
        <v>0</v>
      </c>
    </row>
    <row r="325" ht="15.75" customHeight="1">
      <c r="A325" s="5">
        <v>5.0</v>
      </c>
      <c r="B325" s="5">
        <v>20072.0</v>
      </c>
      <c r="C325" s="5">
        <v>5093.57</v>
      </c>
      <c r="D325" s="5">
        <v>3056.5319897323425</v>
      </c>
      <c r="K325" s="5">
        <v>66.64540129501601</v>
      </c>
      <c r="L325" s="9" t="b">
        <v>0</v>
      </c>
    </row>
    <row r="326" ht="15.75" customHeight="1">
      <c r="A326" s="5">
        <v>5.0</v>
      </c>
      <c r="B326" s="5">
        <v>20073.0</v>
      </c>
      <c r="C326" s="5">
        <v>5697.62</v>
      </c>
      <c r="D326" s="5">
        <v>3632.3755532985074</v>
      </c>
      <c r="E326" s="5">
        <v>61.74519316752729</v>
      </c>
      <c r="H326" s="5">
        <v>90.43973360088144</v>
      </c>
      <c r="K326" s="5">
        <v>56.85657819236434</v>
      </c>
      <c r="L326" s="9" t="b">
        <v>0</v>
      </c>
    </row>
    <row r="327" ht="15.75" customHeight="1">
      <c r="A327" s="5">
        <v>5.0</v>
      </c>
      <c r="B327" s="5">
        <v>20074.0</v>
      </c>
      <c r="C327" s="5">
        <v>5717.63</v>
      </c>
      <c r="D327" s="5">
        <v>3607.8002265781815</v>
      </c>
      <c r="E327" s="5">
        <v>53.09394010795992</v>
      </c>
      <c r="H327" s="5">
        <v>71.67698198731418</v>
      </c>
      <c r="K327" s="5">
        <v>58.47967295636229</v>
      </c>
      <c r="L327" s="9" t="b">
        <v>0</v>
      </c>
    </row>
    <row r="328" ht="15.75" customHeight="1">
      <c r="A328" s="5">
        <v>5.0</v>
      </c>
      <c r="B328" s="5">
        <v>20081.0</v>
      </c>
      <c r="C328" s="5">
        <v>5791.06</v>
      </c>
      <c r="D328" s="5">
        <v>3676.241682938548</v>
      </c>
      <c r="E328" s="5">
        <v>52.16926323091597</v>
      </c>
      <c r="H328" s="5">
        <v>46.56855755408999</v>
      </c>
      <c r="K328" s="5">
        <v>57.52663996157632</v>
      </c>
      <c r="L328" s="9" t="b">
        <v>0</v>
      </c>
    </row>
    <row r="329" ht="15.75" customHeight="1">
      <c r="A329" s="5">
        <v>5.0</v>
      </c>
      <c r="B329" s="5">
        <v>20082.0</v>
      </c>
      <c r="C329" s="5">
        <v>5113.46</v>
      </c>
      <c r="D329" s="5">
        <v>3758.653388219178</v>
      </c>
      <c r="E329" s="5">
        <v>0.39049232660002264</v>
      </c>
      <c r="F329" s="5">
        <v>41.8497222082508</v>
      </c>
      <c r="H329" s="5">
        <v>22.971177820007682</v>
      </c>
      <c r="I329" s="5">
        <v>57.91411274057332</v>
      </c>
      <c r="K329" s="5">
        <v>36.044999946715485</v>
      </c>
      <c r="L329" s="9" t="b">
        <v>0</v>
      </c>
    </row>
    <row r="330" ht="15.75" customHeight="1">
      <c r="A330" s="5">
        <v>5.0</v>
      </c>
      <c r="B330" s="5">
        <v>20083.0</v>
      </c>
      <c r="C330" s="5">
        <v>5153.52</v>
      </c>
      <c r="D330" s="5">
        <v>3719.658747557693</v>
      </c>
      <c r="E330" s="5">
        <v>-9.549601412519603</v>
      </c>
      <c r="F330" s="5">
        <v>24.02602356323908</v>
      </c>
      <c r="H330" s="5">
        <v>2.40292318287203</v>
      </c>
      <c r="I330" s="5">
        <v>35.90491013607097</v>
      </c>
      <c r="K330" s="5">
        <v>38.54819352403691</v>
      </c>
      <c r="L330" s="9" t="b">
        <v>0</v>
      </c>
    </row>
    <row r="331" ht="15.75" customHeight="1">
      <c r="A331" s="5">
        <v>5.0</v>
      </c>
      <c r="B331" s="5">
        <v>20084.0</v>
      </c>
      <c r="C331" s="5">
        <v>5772.17</v>
      </c>
      <c r="D331" s="5">
        <v>3699.364973570896</v>
      </c>
      <c r="E331" s="5">
        <v>0.9538917348621778</v>
      </c>
      <c r="F331" s="5">
        <v>10.991011469964642</v>
      </c>
      <c r="H331" s="5">
        <v>2.537966107939371</v>
      </c>
      <c r="I331" s="5">
        <v>18.620156166227268</v>
      </c>
      <c r="K331" s="5">
        <v>56.03137406656802</v>
      </c>
      <c r="L331" s="9" t="b">
        <v>0</v>
      </c>
    </row>
    <row r="332" ht="15.75" customHeight="1">
      <c r="A332" s="5">
        <v>5.0</v>
      </c>
      <c r="B332" s="5">
        <v>20091.0</v>
      </c>
      <c r="C332" s="5">
        <v>4994.94</v>
      </c>
      <c r="D332" s="5">
        <v>3590.1653812558134</v>
      </c>
      <c r="E332" s="5">
        <v>-13.747396849626847</v>
      </c>
      <c r="F332" s="5">
        <v>-5.488153550171063</v>
      </c>
      <c r="H332" s="5">
        <v>-2.3414211878999946</v>
      </c>
      <c r="I332" s="5">
        <v>6.392661480729772</v>
      </c>
      <c r="K332" s="5">
        <v>39.12840968492672</v>
      </c>
      <c r="L332" s="9" t="b">
        <v>0</v>
      </c>
    </row>
    <row r="333" ht="15.75" customHeight="1">
      <c r="A333" s="5">
        <v>5.0</v>
      </c>
      <c r="B333" s="5">
        <v>20092.0</v>
      </c>
      <c r="C333" s="5">
        <v>5410.83</v>
      </c>
      <c r="D333" s="5">
        <v>3489.4316331717555</v>
      </c>
      <c r="E333" s="5">
        <v>5.815436123485851</v>
      </c>
      <c r="F333" s="5">
        <v>-4.131917600949606</v>
      </c>
      <c r="G333" s="5">
        <v>-45.98163980920041</v>
      </c>
      <c r="H333" s="5">
        <v>-7.16271832596348</v>
      </c>
      <c r="I333" s="5">
        <v>-1.1408125557630184</v>
      </c>
      <c r="J333" s="5">
        <v>-59.05492529633634</v>
      </c>
      <c r="K333" s="5">
        <v>55.063361854198845</v>
      </c>
      <c r="L333" s="9" t="b">
        <v>0</v>
      </c>
    </row>
    <row r="334" ht="15.75" customHeight="1">
      <c r="A334" s="5">
        <v>5.0</v>
      </c>
      <c r="B334" s="5">
        <v>20093.0</v>
      </c>
      <c r="C334" s="5">
        <v>4524.0</v>
      </c>
      <c r="D334" s="5">
        <v>3459.814932670103</v>
      </c>
      <c r="E334" s="5">
        <v>-12.21534019466307</v>
      </c>
      <c r="F334" s="5">
        <v>-4.798352296485472</v>
      </c>
      <c r="G334" s="5">
        <v>-28.82437585972455</v>
      </c>
      <c r="H334" s="5">
        <v>-6.985689616237023</v>
      </c>
      <c r="I334" s="5">
        <v>-3.487965755540282</v>
      </c>
      <c r="J334" s="5">
        <v>-39.39287589161125</v>
      </c>
      <c r="K334" s="5">
        <v>30.75843905062907</v>
      </c>
      <c r="L334" s="9" t="b">
        <v>0</v>
      </c>
    </row>
    <row r="335" ht="15.75" customHeight="1">
      <c r="A335" s="5">
        <v>5.0</v>
      </c>
      <c r="B335" s="5">
        <v>20094.0</v>
      </c>
      <c r="C335" s="5">
        <v>4866.0</v>
      </c>
      <c r="D335" s="5">
        <v>3370.835340904624</v>
      </c>
      <c r="E335" s="5">
        <v>-15.69894857566565</v>
      </c>
      <c r="F335" s="5">
        <v>-8.96156237411743</v>
      </c>
      <c r="G335" s="5">
        <v>-19.95257384408207</v>
      </c>
      <c r="H335" s="5">
        <v>-8.880703445411909</v>
      </c>
      <c r="I335" s="5">
        <v>-6.342633143878102</v>
      </c>
      <c r="J335" s="5">
        <v>-24.96278931010537</v>
      </c>
      <c r="K335" s="5">
        <v>44.35590908140063</v>
      </c>
      <c r="L335" s="9" t="b">
        <v>0</v>
      </c>
    </row>
    <row r="336" ht="15.75" customHeight="1">
      <c r="A336" s="5">
        <v>5.0</v>
      </c>
      <c r="B336" s="5">
        <v>20101.0</v>
      </c>
      <c r="C336" s="5">
        <v>5303.0</v>
      </c>
      <c r="D336" s="5">
        <v>3619.129149241573</v>
      </c>
      <c r="E336" s="5">
        <v>6.167441450748168</v>
      </c>
      <c r="F336" s="5">
        <v>-3.9828527990236755</v>
      </c>
      <c r="G336" s="5">
        <v>1.5053007511473875</v>
      </c>
      <c r="H336" s="5">
        <v>0.8067530297344749</v>
      </c>
      <c r="I336" s="5">
        <v>-5.555589589469484</v>
      </c>
      <c r="J336" s="5">
        <v>-11.948251070199255</v>
      </c>
      <c r="K336" s="5">
        <v>46.52696218678187</v>
      </c>
      <c r="L336" s="9" t="b">
        <v>0</v>
      </c>
    </row>
    <row r="337" ht="15.75" customHeight="1">
      <c r="A337" s="5">
        <v>5.0</v>
      </c>
      <c r="B337" s="5">
        <v>20102.0</v>
      </c>
      <c r="C337" s="5">
        <v>4511.0</v>
      </c>
      <c r="D337" s="5">
        <v>3518.7418099363204</v>
      </c>
      <c r="E337" s="5">
        <v>-16.630165797114305</v>
      </c>
      <c r="F337" s="5">
        <v>-9.594253279173714</v>
      </c>
      <c r="G337" s="5">
        <v>-5.4623356782241075</v>
      </c>
      <c r="H337" s="5">
        <v>0.8399699391136384</v>
      </c>
      <c r="I337" s="5">
        <v>-3.5549175232002046</v>
      </c>
      <c r="J337" s="5">
        <v>-2.4141049674371864</v>
      </c>
      <c r="K337" s="5">
        <v>28.199232670658404</v>
      </c>
      <c r="L337" s="9" t="b">
        <v>0</v>
      </c>
    </row>
    <row r="338" ht="15.75" customHeight="1">
      <c r="A338" s="5">
        <v>5.0</v>
      </c>
      <c r="B338" s="5">
        <v>20103.0</v>
      </c>
      <c r="C338" s="5">
        <v>5071.0</v>
      </c>
      <c r="D338" s="5">
        <v>3647.961723532688</v>
      </c>
      <c r="E338" s="5">
        <v>12.09106984969055</v>
      </c>
      <c r="F338" s="5">
        <v>-3.5176507680853093</v>
      </c>
      <c r="G338" s="5">
        <v>1.2807015284001628</v>
      </c>
      <c r="H338" s="5">
        <v>5.438059391153138</v>
      </c>
      <c r="I338" s="5">
        <v>-0.44898027135266405</v>
      </c>
      <c r="J338" s="5">
        <v>3.038985484187618</v>
      </c>
      <c r="K338" s="5">
        <v>39.00913398535444</v>
      </c>
      <c r="L338" s="9" t="b">
        <v>0</v>
      </c>
    </row>
    <row r="339" ht="15.75" customHeight="1">
      <c r="A339" s="5">
        <v>5.0</v>
      </c>
      <c r="B339" s="5">
        <v>20104.0</v>
      </c>
      <c r="C339" s="5">
        <v>4914.0</v>
      </c>
      <c r="D339" s="5">
        <v>3529.515142714623</v>
      </c>
      <c r="E339" s="5">
        <v>0.9864364981504226</v>
      </c>
      <c r="F339" s="5">
        <v>0.6536955003687088</v>
      </c>
      <c r="G339" s="5">
        <v>9.615257874486138</v>
      </c>
      <c r="H339" s="5">
        <v>4.70743260237132</v>
      </c>
      <c r="I339" s="5">
        <v>2.948053740593143</v>
      </c>
      <c r="J339" s="5">
        <v>9.290686884471246</v>
      </c>
      <c r="K339" s="5">
        <v>39.225922012068246</v>
      </c>
      <c r="L339" s="9" t="b">
        <v>0</v>
      </c>
    </row>
    <row r="340" ht="15.75" customHeight="1">
      <c r="A340" s="5">
        <v>5.0</v>
      </c>
      <c r="B340" s="5">
        <v>20111.0</v>
      </c>
      <c r="C340" s="5">
        <v>5329.0</v>
      </c>
      <c r="D340" s="5">
        <v>3551.5449374987343</v>
      </c>
      <c r="E340" s="5">
        <v>0.4902885159343784</v>
      </c>
      <c r="F340" s="5">
        <v>-0.7655927333347385</v>
      </c>
      <c r="G340" s="5">
        <v>3.217260065688937</v>
      </c>
      <c r="H340" s="5">
        <v>-1.8674164130617399</v>
      </c>
      <c r="I340" s="5">
        <v>2.2795113798940894</v>
      </c>
      <c r="J340" s="5">
        <v>7.835100969363573</v>
      </c>
      <c r="K340" s="5">
        <v>50.047376389191456</v>
      </c>
      <c r="L340" s="9" t="b">
        <v>0</v>
      </c>
    </row>
    <row r="341" ht="15.75" customHeight="1">
      <c r="A341" s="5">
        <v>5.0</v>
      </c>
      <c r="B341" s="5">
        <v>20112.0</v>
      </c>
      <c r="C341" s="5">
        <v>4417.0</v>
      </c>
      <c r="D341" s="5">
        <v>3485.7234883232927</v>
      </c>
      <c r="E341" s="5">
        <v>-2.0837951673686517</v>
      </c>
      <c r="F341" s="5">
        <v>2.8709999241016746</v>
      </c>
      <c r="G341" s="5">
        <v>12.465253203275388</v>
      </c>
      <c r="H341" s="5">
        <v>-0.9383559066422409</v>
      </c>
      <c r="I341" s="5">
        <v>1.8349299184551195</v>
      </c>
      <c r="J341" s="5">
        <v>5.389847441655324</v>
      </c>
      <c r="K341" s="5">
        <v>26.71687857044194</v>
      </c>
      <c r="L341" s="9" t="b">
        <v>0</v>
      </c>
    </row>
    <row r="342" ht="15.75" customHeight="1">
      <c r="A342" s="5">
        <v>5.0</v>
      </c>
      <c r="B342" s="5">
        <v>20113.0</v>
      </c>
      <c r="C342" s="5">
        <v>4697.0</v>
      </c>
      <c r="D342" s="5">
        <v>3460.2995916163363</v>
      </c>
      <c r="E342" s="5">
        <v>-7.375271149674623</v>
      </c>
      <c r="F342" s="5">
        <v>-1.9955853257396183</v>
      </c>
      <c r="G342" s="5">
        <v>1.522065442345691</v>
      </c>
      <c r="H342" s="5">
        <v>-5.1443010135155625</v>
      </c>
      <c r="I342" s="5">
        <v>-0.8106601827120556</v>
      </c>
      <c r="J342" s="5">
        <v>-0.3616799113593916</v>
      </c>
      <c r="K342" s="5">
        <v>35.73969177061891</v>
      </c>
      <c r="L342" s="9" t="b">
        <v>0</v>
      </c>
    </row>
    <row r="343" ht="15.75" customHeight="1">
      <c r="A343" s="5">
        <v>5.0</v>
      </c>
      <c r="B343" s="5">
        <v>20114.0</v>
      </c>
      <c r="C343" s="5">
        <v>4603.599667922021</v>
      </c>
      <c r="D343" s="5">
        <v>3446.729856013158</v>
      </c>
      <c r="E343" s="5">
        <v>-6.316653074439948</v>
      </c>
      <c r="F343" s="5">
        <v>-3.821357718887211</v>
      </c>
      <c r="G343" s="5">
        <v>-4.47505321925592</v>
      </c>
      <c r="H343" s="5">
        <v>-2.345514422068551</v>
      </c>
      <c r="I343" s="5">
        <v>-2.573896938822023</v>
      </c>
      <c r="J343" s="5">
        <v>-5.521950679415166</v>
      </c>
      <c r="K343" s="5">
        <v>33.564272810373865</v>
      </c>
      <c r="L343" s="9" t="b">
        <v>0</v>
      </c>
    </row>
    <row r="344" ht="15.75" customHeight="1">
      <c r="A344" s="5">
        <v>5.0</v>
      </c>
      <c r="B344" s="5">
        <v>20121.0</v>
      </c>
      <c r="C344" s="5">
        <v>4678.7928097797285</v>
      </c>
      <c r="D344" s="5">
        <v>3367.57104401415</v>
      </c>
      <c r="E344" s="5">
        <v>-12.201298371556978</v>
      </c>
      <c r="F344" s="5">
        <v>-6.99425444076005</v>
      </c>
      <c r="G344" s="5">
        <v>-6.228661707425312</v>
      </c>
      <c r="H344" s="5">
        <v>-5.1801088462124945</v>
      </c>
      <c r="I344" s="5">
        <v>-3.402070047109712</v>
      </c>
      <c r="J344" s="5">
        <v>-5.681581427003801</v>
      </c>
      <c r="K344" s="5">
        <v>38.93672170914617</v>
      </c>
      <c r="L344" s="9" t="b">
        <v>0</v>
      </c>
    </row>
    <row r="345" ht="15.75" customHeight="1">
      <c r="A345" s="5">
        <v>5.0</v>
      </c>
      <c r="B345" s="5">
        <v>20122.0</v>
      </c>
      <c r="C345" s="5">
        <v>4443.222453656398</v>
      </c>
      <c r="D345" s="5">
        <v>3402.879862251852</v>
      </c>
      <c r="E345" s="5">
        <v>0.5936711264749484</v>
      </c>
      <c r="F345" s="5">
        <v>-6.32488786729915</v>
      </c>
      <c r="G345" s="5">
        <v>-9.195887791400825</v>
      </c>
      <c r="H345" s="5">
        <v>-2.3766551290989035</v>
      </c>
      <c r="I345" s="5">
        <v>-3.7616448527238777</v>
      </c>
      <c r="J345" s="5">
        <v>-5.5965747711789975</v>
      </c>
      <c r="K345" s="5">
        <v>30.572416115686796</v>
      </c>
      <c r="L345" s="9" t="b">
        <v>0</v>
      </c>
    </row>
    <row r="346" ht="15.75" customHeight="1">
      <c r="A346" s="5">
        <v>5.0</v>
      </c>
      <c r="B346" s="5">
        <v>20123.0</v>
      </c>
      <c r="C346" s="5">
        <v>5003.604828883622</v>
      </c>
      <c r="D346" s="5">
        <v>3372.627860471831</v>
      </c>
      <c r="E346" s="5">
        <v>6.527673597692618</v>
      </c>
      <c r="F346" s="5">
        <v>-2.8491516804573402</v>
      </c>
      <c r="G346" s="5">
        <v>-0.8535663547177219</v>
      </c>
      <c r="H346" s="5">
        <v>-2.5336456807646845</v>
      </c>
      <c r="I346" s="5">
        <v>-3.1089810195361585</v>
      </c>
      <c r="J346" s="5">
        <v>-2.298320836824103</v>
      </c>
      <c r="K346" s="5">
        <v>48.35923309320043</v>
      </c>
      <c r="L346" s="9" t="b">
        <v>0</v>
      </c>
    </row>
    <row r="347" ht="15.75" customHeight="1">
      <c r="A347" s="5">
        <v>5.0</v>
      </c>
      <c r="B347" s="5">
        <v>20124.0</v>
      </c>
      <c r="C347" s="5">
        <v>5685.230429520307</v>
      </c>
      <c r="D347" s="5">
        <v>3333.3933652144574</v>
      </c>
      <c r="E347" s="5">
        <v>23.49532625816948</v>
      </c>
      <c r="F347" s="5">
        <v>4.603843152695017</v>
      </c>
      <c r="G347" s="5">
        <v>8.425200871582227</v>
      </c>
      <c r="H347" s="5">
        <v>-3.2882324850894262</v>
      </c>
      <c r="I347" s="5">
        <v>-3.3446605352913767</v>
      </c>
      <c r="J347" s="5">
        <v>-0.7707635964693536</v>
      </c>
      <c r="K347" s="5">
        <v>70.55384128523161</v>
      </c>
      <c r="L347" s="9" t="b">
        <v>0</v>
      </c>
    </row>
    <row r="348" ht="15.75" customHeight="1">
      <c r="A348" s="5">
        <v>5.0</v>
      </c>
      <c r="B348" s="5">
        <v>20131.0</v>
      </c>
      <c r="C348" s="5">
        <v>5103.59986974834</v>
      </c>
      <c r="D348" s="5">
        <v>3235.308128827848</v>
      </c>
      <c r="E348" s="5">
        <v>9.079415935680446</v>
      </c>
      <c r="F348" s="5">
        <v>9.924021729504373</v>
      </c>
      <c r="G348" s="5">
        <v>16.918276170264424</v>
      </c>
      <c r="H348" s="5">
        <v>-3.9275463964271506</v>
      </c>
      <c r="I348" s="5">
        <v>-3.0315199228450407</v>
      </c>
      <c r="J348" s="5">
        <v>0.37055012426467115</v>
      </c>
      <c r="K348" s="5">
        <v>57.7469491784504</v>
      </c>
      <c r="L348" s="9" t="b">
        <v>0</v>
      </c>
    </row>
    <row r="349" ht="15.75" customHeight="1">
      <c r="A349" s="5">
        <v>5.0</v>
      </c>
      <c r="B349" s="5">
        <v>20132.0</v>
      </c>
      <c r="C349" s="5">
        <v>5232.116857938558</v>
      </c>
      <c r="D349" s="5">
        <v>3245.2516846282974</v>
      </c>
      <c r="E349" s="5">
        <v>17.755005798392244</v>
      </c>
      <c r="F349" s="5">
        <v>14.214355397483697</v>
      </c>
      <c r="G349" s="5">
        <v>20.539243264782847</v>
      </c>
      <c r="H349" s="5">
        <v>-4.63219931364971</v>
      </c>
      <c r="I349" s="5">
        <v>-3.5954059689827425</v>
      </c>
      <c r="J349" s="5">
        <v>0.16623888374113527</v>
      </c>
      <c r="K349" s="5">
        <v>61.22376217294316</v>
      </c>
      <c r="L349" s="9" t="b">
        <v>0</v>
      </c>
    </row>
    <row r="350" ht="15.75" customHeight="1">
      <c r="A350" s="5">
        <v>5.0</v>
      </c>
      <c r="B350" s="5">
        <v>20133.0</v>
      </c>
      <c r="C350" s="5">
        <v>4670.342903484908</v>
      </c>
      <c r="D350" s="5">
        <v>3298.628215349473</v>
      </c>
      <c r="E350" s="5">
        <v>-6.660436561155647</v>
      </c>
      <c r="F350" s="5">
        <v>10.91732785777163</v>
      </c>
      <c r="G350" s="5">
        <v>13.766479538228971</v>
      </c>
      <c r="H350" s="5">
        <v>-2.1941242314236664</v>
      </c>
      <c r="I350" s="5">
        <v>-3.5105256066474877</v>
      </c>
      <c r="J350" s="5">
        <v>-0.40154458711132923</v>
      </c>
      <c r="K350" s="5">
        <v>41.5843980765231</v>
      </c>
      <c r="L350" s="9" t="b">
        <v>0</v>
      </c>
    </row>
    <row r="351" ht="15.75" customHeight="1">
      <c r="A351" s="5">
        <v>5.0</v>
      </c>
      <c r="B351" s="5">
        <v>20134.0</v>
      </c>
      <c r="C351" s="5">
        <v>4529.311795638465</v>
      </c>
      <c r="D351" s="5">
        <v>3304.128839650223</v>
      </c>
      <c r="E351" s="5">
        <v>-20.33195748548353</v>
      </c>
      <c r="F351" s="5">
        <v>-0.039493078141621396</v>
      </c>
      <c r="G351" s="5">
        <v>-4.643336230836638</v>
      </c>
      <c r="H351" s="5">
        <v>-0.877919955971096</v>
      </c>
      <c r="I351" s="5">
        <v>-2.9079474743679055</v>
      </c>
      <c r="J351" s="5">
        <v>0.4367130609234713</v>
      </c>
      <c r="K351" s="5">
        <v>37.080362644634036</v>
      </c>
      <c r="L351" s="9" t="b">
        <v>0</v>
      </c>
    </row>
    <row r="352" ht="15.75" customHeight="1">
      <c r="A352" s="5">
        <v>5.0</v>
      </c>
      <c r="B352" s="5">
        <v>20141.0</v>
      </c>
      <c r="C352" s="5">
        <v>4531.850262386592</v>
      </c>
      <c r="D352" s="5">
        <v>3433.1012585598087</v>
      </c>
      <c r="E352" s="5">
        <v>-11.202868993527538</v>
      </c>
      <c r="F352" s="5">
        <v>-5.110064310443617</v>
      </c>
      <c r="G352" s="5">
        <v>-15.03408603994799</v>
      </c>
      <c r="H352" s="5">
        <v>6.113579351825793</v>
      </c>
      <c r="I352" s="5">
        <v>-0.39766603730466965</v>
      </c>
      <c r="J352" s="5">
        <v>2.633853885540371</v>
      </c>
      <c r="K352" s="5">
        <v>32.00456150506059</v>
      </c>
      <c r="L352" s="9" t="b">
        <v>0</v>
      </c>
    </row>
    <row r="353" ht="15.75" customHeight="1">
      <c r="A353" s="5">
        <v>5.0</v>
      </c>
      <c r="B353" s="5">
        <v>20142.0</v>
      </c>
      <c r="C353" s="5">
        <v>4973.863138176352</v>
      </c>
      <c r="D353" s="5">
        <v>3330.757365179227</v>
      </c>
      <c r="E353" s="5">
        <v>-4.935931799198334</v>
      </c>
      <c r="F353" s="5">
        <v>-10.782798709841261</v>
      </c>
      <c r="G353" s="5">
        <v>-24.99715410732496</v>
      </c>
      <c r="H353" s="5">
        <v>2.634793503257149</v>
      </c>
      <c r="I353" s="5">
        <v>1.4190821669220453</v>
      </c>
      <c r="J353" s="5">
        <v>5.014488135904788</v>
      </c>
      <c r="K353" s="5">
        <v>49.3312959441196</v>
      </c>
      <c r="L353" s="9" t="b">
        <v>0</v>
      </c>
    </row>
    <row r="354" ht="15.75" customHeight="1">
      <c r="A354" s="5">
        <v>5.0</v>
      </c>
      <c r="B354" s="5">
        <v>20143.0</v>
      </c>
      <c r="C354" s="5">
        <v>5015.422863445144</v>
      </c>
      <c r="D354" s="5">
        <v>3462.900722628755</v>
      </c>
      <c r="E354" s="5">
        <v>7.388749971715036</v>
      </c>
      <c r="F354" s="5">
        <v>-7.2705020766235915</v>
      </c>
      <c r="G354" s="5">
        <v>-18.18782993439522</v>
      </c>
      <c r="H354" s="5">
        <v>4.980024924144955</v>
      </c>
      <c r="I354" s="5">
        <v>3.2126194558142007</v>
      </c>
      <c r="J354" s="5">
        <v>6.723145062461688</v>
      </c>
      <c r="K354" s="5">
        <v>44.832995952533096</v>
      </c>
      <c r="L354" s="9" t="b">
        <v>0</v>
      </c>
    </row>
    <row r="355" ht="15.75" customHeight="1">
      <c r="A355" s="5">
        <v>5.0</v>
      </c>
      <c r="B355" s="5">
        <v>20144.0</v>
      </c>
      <c r="C355" s="5">
        <v>4906.688436823682</v>
      </c>
      <c r="D355" s="5">
        <v>3303.2556412637364</v>
      </c>
      <c r="E355" s="5">
        <v>8.331875971723024</v>
      </c>
      <c r="F355" s="5">
        <v>-0.1045437123219517</v>
      </c>
      <c r="G355" s="5">
        <v>-0.0650506341803303</v>
      </c>
      <c r="H355" s="5">
        <v>-0.026427492052016888</v>
      </c>
      <c r="I355" s="5">
        <v>3.4254925717939706</v>
      </c>
      <c r="J355" s="5">
        <v>6.333440046161876</v>
      </c>
      <c r="K355" s="5">
        <v>48.54098409853971</v>
      </c>
      <c r="L355" s="9" t="b">
        <v>0</v>
      </c>
    </row>
    <row r="356" ht="15.75" customHeight="1">
      <c r="A356" s="5">
        <v>5.0</v>
      </c>
      <c r="B356" s="5">
        <v>20151.0</v>
      </c>
      <c r="C356" s="5">
        <v>4794.636422402498</v>
      </c>
      <c r="D356" s="5">
        <v>3408.019370765625</v>
      </c>
      <c r="E356" s="5">
        <v>5.79865054670885</v>
      </c>
      <c r="F356" s="5">
        <v>4.1458361727371456</v>
      </c>
      <c r="G356" s="5">
        <v>9.255900483180763</v>
      </c>
      <c r="H356" s="5">
        <v>-0.730589805111248</v>
      </c>
      <c r="I356" s="5">
        <v>1.71445028255971</v>
      </c>
      <c r="J356" s="5">
        <v>2.1121163198643798</v>
      </c>
      <c r="K356" s="5">
        <v>40.68688879914919</v>
      </c>
      <c r="L356" s="9" t="b">
        <v>0</v>
      </c>
    </row>
    <row r="357" ht="15.75" customHeight="1">
      <c r="A357" s="5">
        <v>5.0</v>
      </c>
      <c r="B357" s="5">
        <v>20152.0</v>
      </c>
      <c r="C357" s="5">
        <v>4897.97562856406</v>
      </c>
      <c r="D357" s="5">
        <v>3395.1126511898747</v>
      </c>
      <c r="E357" s="5">
        <v>-1.5257257287564996</v>
      </c>
      <c r="F357" s="5">
        <v>4.998387690347603</v>
      </c>
      <c r="G357" s="5">
        <v>15.781186400188865</v>
      </c>
      <c r="H357" s="5">
        <v>1.9321517287160583</v>
      </c>
      <c r="I357" s="5">
        <v>1.5387898389244374</v>
      </c>
      <c r="J357" s="5">
        <v>0.11970767200239218</v>
      </c>
      <c r="K357" s="5">
        <v>44.26548193761646</v>
      </c>
      <c r="L357" s="9" t="b">
        <v>0</v>
      </c>
    </row>
    <row r="358" ht="15.75" customHeight="1">
      <c r="A358" s="5">
        <v>5.0</v>
      </c>
      <c r="B358" s="5">
        <v>20153.0</v>
      </c>
      <c r="C358" s="5">
        <v>5003.394397218573</v>
      </c>
      <c r="D358" s="5">
        <v>3408.5869199046647</v>
      </c>
      <c r="E358" s="5">
        <v>-0.23982955284268526</v>
      </c>
      <c r="F358" s="5">
        <v>3.0912428092081736</v>
      </c>
      <c r="G358" s="5">
        <v>10.361744885831765</v>
      </c>
      <c r="H358" s="5">
        <v>-1.5684481616573653</v>
      </c>
      <c r="I358" s="5">
        <v>-0.09832843252614254</v>
      </c>
      <c r="J358" s="5">
        <v>-3.310947888340343</v>
      </c>
      <c r="K358" s="5">
        <v>46.787936314633114</v>
      </c>
      <c r="L358" s="9" t="b">
        <v>0</v>
      </c>
    </row>
    <row r="359" ht="15.75" customHeight="1">
      <c r="A359" s="5">
        <v>5.0</v>
      </c>
      <c r="B359" s="5">
        <v>20154.0</v>
      </c>
      <c r="C359" s="5">
        <v>5048.501745306497</v>
      </c>
      <c r="D359" s="5">
        <v>3436.936866567164</v>
      </c>
      <c r="E359" s="5">
        <v>2.8902040614304125</v>
      </c>
      <c r="F359" s="5">
        <v>1.7308248316350208</v>
      </c>
      <c r="G359" s="5">
        <v>1.8353685439569725</v>
      </c>
      <c r="H359" s="5">
        <v>4.046953666967323</v>
      </c>
      <c r="I359" s="5">
        <v>0.9200168572286925</v>
      </c>
      <c r="J359" s="5">
        <v>-2.505475714565278</v>
      </c>
      <c r="K359" s="5">
        <v>46.889568860453764</v>
      </c>
      <c r="L359" s="9" t="b">
        <v>0</v>
      </c>
    </row>
    <row r="360" ht="15.75" customHeight="1">
      <c r="A360" s="5">
        <v>5.0</v>
      </c>
      <c r="B360" s="5">
        <v>20161.0</v>
      </c>
      <c r="C360" s="5">
        <v>5029.888686150566</v>
      </c>
      <c r="D360" s="5">
        <v>3518.8826472037035</v>
      </c>
      <c r="E360" s="5">
        <v>4.906571489943912</v>
      </c>
      <c r="F360" s="5">
        <v>1.5078050674437862</v>
      </c>
      <c r="G360" s="5">
        <v>-2.6380311052933596</v>
      </c>
      <c r="H360" s="5">
        <v>3.2530119220881337</v>
      </c>
      <c r="I360" s="5">
        <v>1.915917289028538</v>
      </c>
      <c r="J360" s="5">
        <v>0.20146700646882798</v>
      </c>
      <c r="K360" s="5">
        <v>42.939938339449625</v>
      </c>
      <c r="L360" s="9" t="b">
        <v>0</v>
      </c>
    </row>
    <row r="361" ht="15.75" customHeight="1">
      <c r="A361" s="5">
        <v>5.0</v>
      </c>
      <c r="B361" s="5">
        <v>20162.0</v>
      </c>
      <c r="C361" s="5">
        <v>4867.99458795279</v>
      </c>
      <c r="D361" s="5">
        <v>3434.0421656734693</v>
      </c>
      <c r="E361" s="5">
        <v>-0.6121108573187928</v>
      </c>
      <c r="F361" s="5">
        <v>1.7362087853032127</v>
      </c>
      <c r="G361" s="5">
        <v>-3.2621789050443906</v>
      </c>
      <c r="H361" s="5">
        <v>1.1466339554285776</v>
      </c>
      <c r="I361" s="5">
        <v>1.719537845706668</v>
      </c>
      <c r="J361" s="5">
        <v>0.18074800678223046</v>
      </c>
      <c r="K361" s="5">
        <v>41.75698355171771</v>
      </c>
      <c r="L361" s="9" t="b">
        <v>0</v>
      </c>
    </row>
    <row r="362" ht="15.75" customHeight="1">
      <c r="A362" s="5">
        <v>5.0</v>
      </c>
      <c r="B362" s="5">
        <v>20163.0</v>
      </c>
      <c r="C362" s="5">
        <v>5172.911056157298</v>
      </c>
      <c r="D362" s="5">
        <v>3534.949349534709</v>
      </c>
      <c r="E362" s="5">
        <v>3.38803311273963</v>
      </c>
      <c r="F362" s="5">
        <v>2.643174451698792</v>
      </c>
      <c r="G362" s="5">
        <v>-0.4480683575093818</v>
      </c>
      <c r="H362" s="5">
        <v>3.707179326780352</v>
      </c>
      <c r="I362" s="5">
        <v>3.0384447178160974</v>
      </c>
      <c r="J362" s="5">
        <v>3.13677315034224</v>
      </c>
      <c r="K362" s="5">
        <v>46.33621431770123</v>
      </c>
      <c r="L362" s="9" t="b">
        <v>0</v>
      </c>
    </row>
    <row r="363" ht="15.75" customHeight="1">
      <c r="A363" s="5">
        <v>5.0</v>
      </c>
      <c r="B363" s="5">
        <v>20164.0</v>
      </c>
      <c r="C363" s="5">
        <v>5037.853818716708</v>
      </c>
      <c r="D363" s="5">
        <v>3521.687117038603</v>
      </c>
      <c r="E363" s="5">
        <v>-0.21091260589714</v>
      </c>
      <c r="F363" s="5">
        <v>1.8678952848669037</v>
      </c>
      <c r="G363" s="5">
        <v>0.13707045323188294</v>
      </c>
      <c r="H363" s="5">
        <v>2.4658657915962223</v>
      </c>
      <c r="I363" s="5">
        <v>2.643172748973322</v>
      </c>
      <c r="J363" s="5">
        <v>1.7231558917446295</v>
      </c>
      <c r="K363" s="5">
        <v>43.05228293401186</v>
      </c>
      <c r="L363" s="9" t="b">
        <v>0</v>
      </c>
    </row>
    <row r="364" ht="15.75" customHeight="1">
      <c r="A364" s="5">
        <v>5.0</v>
      </c>
      <c r="B364" s="5">
        <v>20171.0</v>
      </c>
      <c r="C364" s="5">
        <v>5113.692783171926</v>
      </c>
      <c r="D364" s="5">
        <v>3491.9438924112005</v>
      </c>
      <c r="E364" s="5">
        <v>1.6661222991297686</v>
      </c>
      <c r="F364" s="5">
        <v>1.057782987163368</v>
      </c>
      <c r="G364" s="5">
        <v>-0.45002208028041824</v>
      </c>
      <c r="H364" s="5">
        <v>-0.7655485417767505</v>
      </c>
      <c r="I364" s="5">
        <v>1.6385326330071008</v>
      </c>
      <c r="J364" s="5">
        <v>-0.27738465602143725</v>
      </c>
      <c r="K364" s="5">
        <v>46.44258157426755</v>
      </c>
      <c r="L364" s="9" t="b">
        <v>0</v>
      </c>
    </row>
    <row r="365" ht="15.75" customHeight="1">
      <c r="A365" s="5">
        <v>5.0</v>
      </c>
      <c r="B365" s="5">
        <v>20172.0</v>
      </c>
      <c r="C365" s="5">
        <v>5095.3991997889325</v>
      </c>
      <c r="D365" s="5">
        <v>3493.7853113286383</v>
      </c>
      <c r="E365" s="5">
        <v>4.671422856527374</v>
      </c>
      <c r="F365" s="5">
        <v>2.3786664156249095</v>
      </c>
      <c r="G365" s="5">
        <v>0.6424576303216969</v>
      </c>
      <c r="H365" s="5">
        <v>1.7397324427859129</v>
      </c>
      <c r="I365" s="5">
        <v>1.7868072548464347</v>
      </c>
      <c r="J365" s="5">
        <v>0.06726940913976676</v>
      </c>
      <c r="K365" s="5">
        <v>45.84179466514566</v>
      </c>
      <c r="L365" s="9" t="b">
        <v>0</v>
      </c>
    </row>
    <row r="366" ht="15.75" customHeight="1">
      <c r="A366" s="5">
        <v>5.0</v>
      </c>
      <c r="B366" s="5">
        <v>20173.0</v>
      </c>
      <c r="C366" s="5">
        <v>5226.454830212642</v>
      </c>
      <c r="D366" s="5">
        <v>3720.815181696667</v>
      </c>
      <c r="E366" s="5">
        <v>1.0350801216968852</v>
      </c>
      <c r="F366" s="5">
        <v>1.790428167864223</v>
      </c>
      <c r="G366" s="5">
        <v>-0.8527462838345687</v>
      </c>
      <c r="H366" s="5">
        <v>5.257948948728863</v>
      </c>
      <c r="I366" s="5">
        <v>2.1744996603335625</v>
      </c>
      <c r="J366" s="5">
        <v>-0.8639450574825349</v>
      </c>
      <c r="K366" s="5">
        <v>40.46531673818352</v>
      </c>
      <c r="L366" s="9" t="b">
        <v>0</v>
      </c>
    </row>
    <row r="367" ht="15.75" customHeight="1">
      <c r="A367" s="5">
        <v>5.0</v>
      </c>
      <c r="B367" s="5">
        <v>20174.0</v>
      </c>
      <c r="C367" s="5">
        <v>5266.250418655079</v>
      </c>
      <c r="D367" s="5">
        <v>3726.06267281022</v>
      </c>
      <c r="E367" s="5">
        <v>4.53360911525118</v>
      </c>
      <c r="F367" s="5">
        <v>2.9765585981513034</v>
      </c>
      <c r="G367" s="5">
        <v>1.1086633132843997</v>
      </c>
      <c r="H367" s="5">
        <v>5.803342232840869</v>
      </c>
      <c r="I367" s="5">
        <v>3.008868770644724</v>
      </c>
      <c r="J367" s="5">
        <v>0.36569602167140225</v>
      </c>
      <c r="K367" s="5">
        <v>41.33552978278916</v>
      </c>
      <c r="L367" s="9" t="b">
        <v>0</v>
      </c>
    </row>
    <row r="368" ht="15.75" customHeight="1">
      <c r="A368" s="5">
        <v>5.0</v>
      </c>
      <c r="B368" s="5">
        <v>20181.0</v>
      </c>
      <c r="C368" s="5">
        <v>5217.34836858322</v>
      </c>
      <c r="D368" s="5">
        <v>3928.818018603517</v>
      </c>
      <c r="E368" s="5">
        <v>2.027020194729001</v>
      </c>
      <c r="F368" s="5">
        <v>3.066783072051112</v>
      </c>
      <c r="G368" s="5">
        <v>2.009000084887744</v>
      </c>
      <c r="H368" s="5">
        <v>12.510914827175345</v>
      </c>
      <c r="I368" s="5">
        <v>6.327984612882748</v>
      </c>
      <c r="J368" s="5">
        <v>4.689451979875647</v>
      </c>
      <c r="K368" s="5">
        <v>32.7968957553729</v>
      </c>
      <c r="L368" s="9" t="b">
        <v>0</v>
      </c>
    </row>
    <row r="369" ht="15.75" customHeight="1">
      <c r="A369" s="5">
        <v>5.0</v>
      </c>
      <c r="B369" s="5">
        <v>20182.0</v>
      </c>
      <c r="C369" s="5">
        <v>5464.118611490464</v>
      </c>
      <c r="D369" s="5">
        <v>3988.8842339910448</v>
      </c>
      <c r="E369" s="5">
        <v>7.2363203989356695</v>
      </c>
      <c r="F369" s="5">
        <v>3.708007457653185</v>
      </c>
      <c r="G369" s="5">
        <v>1.3293410420282754</v>
      </c>
      <c r="H369" s="5">
        <v>14.170845617131732</v>
      </c>
      <c r="I369" s="5">
        <v>9.435762906469202</v>
      </c>
      <c r="J369" s="5">
        <v>7.648955651622767</v>
      </c>
      <c r="K369" s="5">
        <v>36.983634795121276</v>
      </c>
      <c r="L369" s="9" t="b">
        <v>0</v>
      </c>
    </row>
    <row r="370" ht="15.75" customHeight="1">
      <c r="A370" s="5">
        <v>5.0</v>
      </c>
      <c r="B370" s="5">
        <v>20183.0</v>
      </c>
      <c r="C370" s="5">
        <v>5486.889904535283</v>
      </c>
      <c r="D370" s="5">
        <v>4200.576481412037</v>
      </c>
      <c r="E370" s="5">
        <v>4.983015883293196</v>
      </c>
      <c r="F370" s="5">
        <v>4.694991398052263</v>
      </c>
      <c r="G370" s="5">
        <v>2.9045632301880397</v>
      </c>
      <c r="H370" s="5">
        <v>12.893983610779669</v>
      </c>
      <c r="I370" s="5">
        <v>11.344771571981905</v>
      </c>
      <c r="J370" s="5">
        <v>9.170271911648342</v>
      </c>
      <c r="K370" s="5">
        <v>30.622306933710398</v>
      </c>
      <c r="L370" s="9" t="b">
        <v>0</v>
      </c>
    </row>
    <row r="371" ht="15.75" customHeight="1">
      <c r="A371" s="5">
        <v>5.0</v>
      </c>
      <c r="B371" s="5">
        <v>20184.0</v>
      </c>
      <c r="C371" s="5">
        <v>5845.74231948376</v>
      </c>
      <c r="D371" s="5">
        <v>4173.058066663266</v>
      </c>
      <c r="E371" s="5">
        <v>11.003880460676507</v>
      </c>
      <c r="F371" s="5">
        <v>6.312559234408594</v>
      </c>
      <c r="G371" s="5">
        <v>3.3360006362572907</v>
      </c>
      <c r="H371" s="5">
        <v>11.996453981165022</v>
      </c>
      <c r="I371" s="5">
        <v>12.893049509062942</v>
      </c>
      <c r="J371" s="5">
        <v>9.884180738418218</v>
      </c>
      <c r="K371" s="5">
        <v>40.08293740705015</v>
      </c>
      <c r="L371" s="9" t="b">
        <v>0</v>
      </c>
    </row>
    <row r="372" ht="15.75" customHeight="1">
      <c r="A372" s="5">
        <v>5.0</v>
      </c>
      <c r="B372" s="5">
        <v>20191.0</v>
      </c>
      <c r="C372" s="5">
        <v>6539.488813916424</v>
      </c>
      <c r="D372" s="5">
        <v>4430.012505142292</v>
      </c>
      <c r="E372" s="5">
        <v>25.341233744225413</v>
      </c>
      <c r="F372" s="5">
        <v>12.141112621782696</v>
      </c>
      <c r="G372" s="5">
        <v>9.074329549731583</v>
      </c>
      <c r="H372" s="5">
        <v>12.756877110763277</v>
      </c>
      <c r="I372" s="5">
        <v>12.954540079959925</v>
      </c>
      <c r="J372" s="5">
        <v>6.626555467077177</v>
      </c>
      <c r="K372" s="5">
        <v>47.61784095023398</v>
      </c>
      <c r="L372" s="9" t="b">
        <v>0</v>
      </c>
    </row>
    <row r="373" ht="15.75" customHeight="1">
      <c r="A373" s="5">
        <v>5.0</v>
      </c>
      <c r="B373" s="5">
        <v>20192.0</v>
      </c>
      <c r="C373" s="5">
        <v>6274.727063243533</v>
      </c>
      <c r="D373" s="5">
        <v>4528.955580661538</v>
      </c>
      <c r="E373" s="5">
        <v>14.835118147846305</v>
      </c>
      <c r="F373" s="5">
        <v>14.040812059010356</v>
      </c>
      <c r="G373" s="5">
        <v>10.332804601357171</v>
      </c>
      <c r="H373" s="5">
        <v>13.539408892048233</v>
      </c>
      <c r="I373" s="5">
        <v>12.79668089868905</v>
      </c>
      <c r="J373" s="5">
        <v>3.360917992219848</v>
      </c>
      <c r="K373" s="5">
        <v>38.546889045155794</v>
      </c>
      <c r="L373" s="9" t="b">
        <v>0</v>
      </c>
    </row>
    <row r="374" ht="15.75" customHeight="1">
      <c r="A374" s="5">
        <v>5.0</v>
      </c>
      <c r="B374" s="5">
        <v>20193.0</v>
      </c>
      <c r="C374" s="5">
        <v>6745.506031853577</v>
      </c>
      <c r="D374" s="5">
        <v>4709.768168385737</v>
      </c>
      <c r="E374" s="5">
        <v>22.938607284209645</v>
      </c>
      <c r="F374" s="5">
        <v>18.529709909239468</v>
      </c>
      <c r="G374" s="5">
        <v>13.834718511187205</v>
      </c>
      <c r="H374" s="5">
        <v>12.121947766620211</v>
      </c>
      <c r="I374" s="5">
        <v>12.603671937649185</v>
      </c>
      <c r="J374" s="5">
        <v>1.2589003656672801</v>
      </c>
      <c r="K374" s="5">
        <v>43.223738211419956</v>
      </c>
      <c r="L374" s="9" t="b">
        <v>0</v>
      </c>
    </row>
    <row r="375" ht="15.75" customHeight="1">
      <c r="A375" s="5">
        <v>5.0</v>
      </c>
      <c r="B375" s="5">
        <v>20194.0</v>
      </c>
      <c r="C375" s="5">
        <v>6879.938338527183</v>
      </c>
      <c r="D375" s="5">
        <v>4901.772070377328</v>
      </c>
      <c r="E375" s="5">
        <v>17.69144041119406</v>
      </c>
      <c r="F375" s="5">
        <v>20.201599896868856</v>
      </c>
      <c r="G375" s="5">
        <v>13.889040662460262</v>
      </c>
      <c r="H375" s="5">
        <v>17.462349961900593</v>
      </c>
      <c r="I375" s="5">
        <v>13.970145932833079</v>
      </c>
      <c r="J375" s="5">
        <v>1.0770964237701364</v>
      </c>
      <c r="K375" s="5">
        <v>40.35614548673985</v>
      </c>
      <c r="L375" s="9" t="b">
        <v>0</v>
      </c>
    </row>
    <row r="376" ht="15.75" customHeight="1">
      <c r="A376" s="5">
        <v>5.0</v>
      </c>
      <c r="B376" s="5">
        <v>20201.0</v>
      </c>
      <c r="C376" s="5">
        <v>6996.087408632216</v>
      </c>
      <c r="D376" s="5">
        <v>5099.655285524618</v>
      </c>
      <c r="E376" s="5">
        <v>6.982175636482824</v>
      </c>
      <c r="F376" s="5">
        <v>15.611835369933209</v>
      </c>
      <c r="G376" s="5">
        <v>3.4707227481505125</v>
      </c>
      <c r="H376" s="5">
        <v>15.116047180566984</v>
      </c>
      <c r="I376" s="5">
        <v>14.559938450284005</v>
      </c>
      <c r="J376" s="5">
        <v>1.60539837032408</v>
      </c>
      <c r="K376" s="5">
        <v>37.187457130497116</v>
      </c>
      <c r="L376" s="9" t="b">
        <v>0</v>
      </c>
    </row>
    <row r="377" ht="15.75" customHeight="1">
      <c r="A377" s="5">
        <v>5.0</v>
      </c>
      <c r="B377" s="5">
        <v>20202.0</v>
      </c>
      <c r="C377" s="5">
        <v>6829.162682801237</v>
      </c>
      <c r="D377" s="5">
        <v>5371.228617678069</v>
      </c>
      <c r="E377" s="5">
        <v>8.836011733570203</v>
      </c>
      <c r="F377" s="5">
        <v>14.112058766364182</v>
      </c>
      <c r="G377" s="5">
        <v>0.07124670735382566</v>
      </c>
      <c r="H377" s="5">
        <v>18.59751154577456</v>
      </c>
      <c r="I377" s="5">
        <v>15.824464113715589</v>
      </c>
      <c r="J377" s="5">
        <v>3.0277832150265382</v>
      </c>
      <c r="K377" s="5">
        <v>27.143399935067713</v>
      </c>
      <c r="L377" s="9" t="b">
        <v>0</v>
      </c>
    </row>
    <row r="378" ht="15.75" customHeight="1">
      <c r="A378" s="5">
        <v>5.0</v>
      </c>
      <c r="B378" s="5">
        <v>20203.0</v>
      </c>
      <c r="C378" s="5">
        <v>6884.881781446651</v>
      </c>
      <c r="D378" s="5">
        <v>5226.621073476366</v>
      </c>
      <c r="E378" s="5">
        <v>2.0662015412174384</v>
      </c>
      <c r="F378" s="5">
        <v>8.893957330616132</v>
      </c>
      <c r="G378" s="5">
        <v>-9.635752578623336</v>
      </c>
      <c r="H378" s="5">
        <v>10.974062557048935</v>
      </c>
      <c r="I378" s="5">
        <v>15.537492811322767</v>
      </c>
      <c r="J378" s="5">
        <v>2.9338208736735822</v>
      </c>
      <c r="K378" s="5">
        <v>31.727203572983175</v>
      </c>
      <c r="L378" s="9" t="b">
        <v>0</v>
      </c>
    </row>
    <row r="379" ht="15.75" customHeight="1">
      <c r="A379" s="5">
        <v>5.0</v>
      </c>
      <c r="B379" s="5">
        <v>20204.0</v>
      </c>
      <c r="C379" s="5">
        <v>7246.027228145523</v>
      </c>
      <c r="D379" s="5">
        <v>5353.397124802015</v>
      </c>
      <c r="E379" s="5">
        <v>5.321107132141978</v>
      </c>
      <c r="F379" s="5">
        <v>5.801374010853111</v>
      </c>
      <c r="G379" s="5">
        <v>-14.400225886015745</v>
      </c>
      <c r="H379" s="5">
        <v>9.213505808521226</v>
      </c>
      <c r="I379" s="5">
        <v>13.475281772977926</v>
      </c>
      <c r="J379" s="5">
        <v>-0.49486415985515286</v>
      </c>
      <c r="K379" s="5">
        <v>35.35381476885115</v>
      </c>
      <c r="L379" s="9" t="b">
        <v>0</v>
      </c>
    </row>
    <row r="380" ht="15.75" customHeight="1">
      <c r="A380" s="5">
        <v>5.0</v>
      </c>
      <c r="B380" s="5">
        <v>20211.0</v>
      </c>
      <c r="C380" s="5">
        <v>7371.154257574024</v>
      </c>
      <c r="D380" s="5">
        <v>5333.377635647516</v>
      </c>
      <c r="E380" s="5">
        <v>5.361094380825304</v>
      </c>
      <c r="F380" s="5">
        <v>5.396103696938733</v>
      </c>
      <c r="G380" s="5">
        <v>-10.215731672994476</v>
      </c>
      <c r="H380" s="5">
        <v>4.583100955594377</v>
      </c>
      <c r="I380" s="5">
        <v>10.842045216734775</v>
      </c>
      <c r="J380" s="5">
        <v>-3.71789323354923</v>
      </c>
      <c r="K380" s="5">
        <v>38.207994279390725</v>
      </c>
      <c r="L380" s="9" t="b">
        <v>0</v>
      </c>
    </row>
    <row r="381" ht="15.75" customHeight="1">
      <c r="A381" s="5">
        <v>5.0</v>
      </c>
      <c r="B381" s="5">
        <v>20212.0</v>
      </c>
      <c r="C381" s="5">
        <v>7838.916136139805</v>
      </c>
      <c r="D381" s="5">
        <v>5514.384752632813</v>
      </c>
      <c r="E381" s="5">
        <v>14.785904220462642</v>
      </c>
      <c r="F381" s="5">
        <v>6.883576818661842</v>
      </c>
      <c r="G381" s="5">
        <v>-7.22848194770234</v>
      </c>
      <c r="H381" s="5">
        <v>2.665240025039717</v>
      </c>
      <c r="I381" s="5">
        <v>6.858977336551064</v>
      </c>
      <c r="J381" s="5">
        <v>-8.965486777164525</v>
      </c>
      <c r="K381" s="5">
        <v>42.15395711003222</v>
      </c>
      <c r="L381" s="9" t="b">
        <v>0</v>
      </c>
    </row>
    <row r="382" ht="15.75" customHeight="1">
      <c r="A382" s="5">
        <v>5.0</v>
      </c>
      <c r="B382" s="5">
        <v>20213.0</v>
      </c>
      <c r="C382" s="5">
        <v>8340.278143525315</v>
      </c>
      <c r="D382" s="5">
        <v>5821.362556648477</v>
      </c>
      <c r="E382" s="5">
        <v>21.139017462880183</v>
      </c>
      <c r="F382" s="5">
        <v>11.651780799077528</v>
      </c>
      <c r="G382" s="5">
        <v>2.757823468461396</v>
      </c>
      <c r="H382" s="5">
        <v>11.3790817205069</v>
      </c>
      <c r="I382" s="5">
        <v>6.960232127415555</v>
      </c>
      <c r="J382" s="5">
        <v>-8.577260683907213</v>
      </c>
      <c r="K382" s="5">
        <v>43.27020628529703</v>
      </c>
      <c r="L382" s="9" t="b">
        <v>0</v>
      </c>
    </row>
    <row r="383" ht="15.75" customHeight="1">
      <c r="A383" s="5">
        <v>5.0</v>
      </c>
      <c r="B383" s="5">
        <v>20214.0</v>
      </c>
      <c r="C383" s="5">
        <v>8290.436337204876</v>
      </c>
      <c r="D383" s="5">
        <v>5962.353578832473</v>
      </c>
      <c r="E383" s="5">
        <v>14.413541050502632</v>
      </c>
      <c r="F383" s="5">
        <v>13.924889278667692</v>
      </c>
      <c r="G383" s="5">
        <v>8.12351526781458</v>
      </c>
      <c r="H383" s="5">
        <v>11.375140678601902</v>
      </c>
      <c r="I383" s="5">
        <v>7.500640844935724</v>
      </c>
      <c r="J383" s="5">
        <v>-5.974640928042202</v>
      </c>
      <c r="K383" s="5">
        <v>39.046372000438765</v>
      </c>
      <c r="L383" s="9" t="b">
        <v>0</v>
      </c>
    </row>
    <row r="384" ht="15.75" customHeight="1">
      <c r="A384" s="5">
        <v>5.0</v>
      </c>
      <c r="B384" s="5">
        <v>20221.0</v>
      </c>
      <c r="C384" s="5">
        <v>8928.042381464058</v>
      </c>
      <c r="D384" s="5">
        <v>6176.401741597544</v>
      </c>
      <c r="E384" s="5">
        <v>21.121361315838662</v>
      </c>
      <c r="F384" s="5">
        <v>17.864956012421032</v>
      </c>
      <c r="G384" s="5">
        <v>12.4688523154823</v>
      </c>
      <c r="H384" s="5">
        <v>15.80657068637663</v>
      </c>
      <c r="I384" s="5">
        <v>10.306508277631288</v>
      </c>
      <c r="J384" s="5">
        <v>-0.535536939103487</v>
      </c>
      <c r="K384" s="5">
        <v>44.55086885515309</v>
      </c>
      <c r="L384" s="9" t="b">
        <v>0</v>
      </c>
    </row>
    <row r="385" ht="15.75" customHeight="1">
      <c r="A385" s="5">
        <v>5.0</v>
      </c>
      <c r="B385" s="5">
        <v>20222.0</v>
      </c>
      <c r="C385" s="5">
        <v>9448.719129777304</v>
      </c>
      <c r="D385" s="5">
        <v>6379.989394626027</v>
      </c>
      <c r="E385" s="5">
        <v>20.53604051478257</v>
      </c>
      <c r="F385" s="5">
        <v>19.302490086001015</v>
      </c>
      <c r="G385" s="5">
        <v>12.418913267339173</v>
      </c>
      <c r="H385" s="5">
        <v>15.697211580674274</v>
      </c>
      <c r="I385" s="5">
        <v>13.564501166539927</v>
      </c>
      <c r="J385" s="5">
        <v>6.705523829988863</v>
      </c>
      <c r="K385" s="5">
        <v>48.09929210440569</v>
      </c>
      <c r="L385" s="9" t="b">
        <v>0</v>
      </c>
    </row>
    <row r="386" ht="15.75" customHeight="1">
      <c r="A386" s="5">
        <v>5.0</v>
      </c>
      <c r="B386" s="5">
        <v>20223.0</v>
      </c>
      <c r="C386" s="5">
        <v>9229.140791112915</v>
      </c>
      <c r="D386" s="5">
        <v>6298.330623050736</v>
      </c>
      <c r="E386" s="5">
        <v>10.657470078232812</v>
      </c>
      <c r="F386" s="5">
        <v>16.682103239839172</v>
      </c>
      <c r="G386" s="5">
        <v>5.030322440761644</v>
      </c>
      <c r="H386" s="5">
        <v>8.193409391028595</v>
      </c>
      <c r="I386" s="5">
        <v>12.76808308417035</v>
      </c>
      <c r="J386" s="5">
        <v>5.807850956754795</v>
      </c>
      <c r="K386" s="5">
        <v>46.533126688141</v>
      </c>
      <c r="L386" s="9" t="b">
        <v>0</v>
      </c>
    </row>
    <row r="387" ht="15.75" customHeight="1">
      <c r="A387" s="5">
        <v>5.0</v>
      </c>
      <c r="B387" s="5">
        <v>20224.0</v>
      </c>
      <c r="C387" s="5">
        <v>9662.555832401327</v>
      </c>
      <c r="D387" s="5">
        <v>6273.416753289007</v>
      </c>
      <c r="E387" s="5">
        <v>16.55063062288784</v>
      </c>
      <c r="F387" s="5">
        <v>17.216375632935474</v>
      </c>
      <c r="G387" s="5">
        <v>3.291486354267782</v>
      </c>
      <c r="H387" s="5">
        <v>5.2171205605932025</v>
      </c>
      <c r="I387" s="5">
        <v>11.228578054668176</v>
      </c>
      <c r="J387" s="5">
        <v>3.7279372097324526</v>
      </c>
      <c r="K387" s="5">
        <v>54.023815289100206</v>
      </c>
      <c r="L387" s="9" t="b">
        <v>0</v>
      </c>
    </row>
    <row r="388" ht="15.75" customHeight="1">
      <c r="A388" s="5">
        <v>5.0</v>
      </c>
      <c r="B388" s="5">
        <v>20231.0</v>
      </c>
      <c r="C388" s="5">
        <v>9593.99978233716</v>
      </c>
      <c r="D388" s="5">
        <v>6486.568015794231</v>
      </c>
      <c r="E388" s="5">
        <v>7.459164869733681</v>
      </c>
      <c r="F388" s="5">
        <v>13.800826521409228</v>
      </c>
      <c r="G388" s="5">
        <v>-4.064129491011805</v>
      </c>
      <c r="H388" s="5">
        <v>5.021795653410033</v>
      </c>
      <c r="I388" s="5">
        <v>8.532384296426526</v>
      </c>
      <c r="J388" s="5">
        <v>-1.7741239812047613</v>
      </c>
      <c r="K388" s="5">
        <v>47.90563760337674</v>
      </c>
      <c r="L388" s="9" t="b">
        <v>0</v>
      </c>
    </row>
    <row r="389" ht="15.75" customHeight="1">
      <c r="A389" s="5">
        <v>5.0</v>
      </c>
      <c r="B389" s="5">
        <v>20232.0</v>
      </c>
      <c r="C389" s="5">
        <v>9225.950699999215</v>
      </c>
      <c r="D389" s="5">
        <v>6757.374999229535</v>
      </c>
      <c r="E389" s="5">
        <v>-2.357657442436212</v>
      </c>
      <c r="F389" s="5">
        <v>8.077402032104532</v>
      </c>
      <c r="G389" s="5">
        <v>-11.225088053896483</v>
      </c>
      <c r="H389" s="5">
        <v>5.915144701045838</v>
      </c>
      <c r="I389" s="5">
        <v>6.086867576519417</v>
      </c>
      <c r="J389" s="5">
        <v>-7.47763359002051</v>
      </c>
      <c r="K389" s="5">
        <v>36.531577736194066</v>
      </c>
      <c r="L389" s="9" t="b">
        <v>0</v>
      </c>
    </row>
    <row r="390" ht="15.75" customHeight="1">
      <c r="A390" s="5">
        <v>5.0</v>
      </c>
      <c r="B390" s="5">
        <v>20233.0</v>
      </c>
      <c r="C390" s="5">
        <v>9702.540620258997</v>
      </c>
      <c r="D390" s="5">
        <v>6923.918599620566</v>
      </c>
      <c r="E390" s="5">
        <v>5.12940304911087</v>
      </c>
      <c r="F390" s="5">
        <v>6.695385274824047</v>
      </c>
      <c r="G390" s="5">
        <v>-9.986717965015124</v>
      </c>
      <c r="H390" s="5">
        <v>9.932599827012778</v>
      </c>
      <c r="I390" s="5">
        <v>6.521665185515463</v>
      </c>
      <c r="J390" s="5">
        <v>-6.246417898654887</v>
      </c>
      <c r="K390" s="5">
        <v>40.13077249046082</v>
      </c>
      <c r="L390" s="9" t="b">
        <v>0</v>
      </c>
    </row>
    <row r="391" ht="15.75" customHeight="1">
      <c r="A391" s="5">
        <v>5.0</v>
      </c>
      <c r="B391" s="5">
        <v>20234.0</v>
      </c>
      <c r="C391" s="5">
        <v>10347.839677656078</v>
      </c>
      <c r="D391" s="5">
        <v>7203.049150650307</v>
      </c>
      <c r="E391" s="5">
        <v>7.092159229308637</v>
      </c>
      <c r="F391" s="5">
        <v>4.3307674264292455</v>
      </c>
      <c r="G391" s="5">
        <v>-12.885608206506229</v>
      </c>
      <c r="H391" s="5">
        <v>14.818597805955026</v>
      </c>
      <c r="I391" s="5">
        <v>8.922034496855918</v>
      </c>
      <c r="J391" s="5">
        <v>-2.306543557812258</v>
      </c>
      <c r="K391" s="5">
        <v>43.65915685473078</v>
      </c>
      <c r="L391" s="9" t="b">
        <v>0</v>
      </c>
    </row>
    <row r="392" ht="15.75" customHeight="1">
      <c r="A392" s="5">
        <v>5.0</v>
      </c>
      <c r="B392" s="5">
        <v>20241.0</v>
      </c>
      <c r="C392" s="5">
        <v>10675.182052126063</v>
      </c>
      <c r="D392" s="5">
        <v>7570.647470300744</v>
      </c>
      <c r="E392" s="5">
        <v>11.269358915135609</v>
      </c>
      <c r="F392" s="5">
        <v>5.283315937779728</v>
      </c>
      <c r="G392" s="5">
        <v>-8.5175105836295</v>
      </c>
      <c r="H392" s="5">
        <v>16.71268152691645</v>
      </c>
      <c r="I392" s="5">
        <v>11.844755965232522</v>
      </c>
      <c r="J392" s="5">
        <v>3.312371668805996</v>
      </c>
      <c r="K392" s="5">
        <v>41.007517441595944</v>
      </c>
      <c r="L392" s="9" t="b">
        <v>0</v>
      </c>
    </row>
    <row r="393" ht="15.75" customHeight="1">
      <c r="A393" s="5">
        <v>5.0</v>
      </c>
      <c r="B393" s="5">
        <v>20242.0</v>
      </c>
      <c r="C393" s="5">
        <v>11508.088853364576</v>
      </c>
      <c r="D393" s="5">
        <v>7679.164386581321</v>
      </c>
      <c r="E393" s="5">
        <v>24.73607574518639</v>
      </c>
      <c r="F393" s="5">
        <v>12.056749234685377</v>
      </c>
      <c r="G393" s="5">
        <v>3.979347202580845</v>
      </c>
      <c r="H393" s="5">
        <v>13.64123476138126</v>
      </c>
      <c r="I393" s="5">
        <v>13.776278480316378</v>
      </c>
      <c r="J393" s="5">
        <v>7.689410903796961</v>
      </c>
      <c r="K393" s="5">
        <v>49.86121241881436</v>
      </c>
      <c r="L393" s="9" t="b">
        <v>0</v>
      </c>
    </row>
    <row r="394" ht="15.75" customHeight="1">
      <c r="A394" s="5">
        <v>5.0</v>
      </c>
      <c r="B394" s="5">
        <v>20243.0</v>
      </c>
      <c r="C394" s="5">
        <v>11844.275440270842</v>
      </c>
      <c r="D394" s="5">
        <v>7841.40812513844</v>
      </c>
      <c r="E394" s="5">
        <v>22.073958809715077</v>
      </c>
      <c r="F394" s="5">
        <v>16.292888174836428</v>
      </c>
      <c r="G394" s="5">
        <v>9.59750290001238</v>
      </c>
      <c r="H394" s="5">
        <v>13.251015480860119</v>
      </c>
      <c r="I394" s="5">
        <v>14.605882393778213</v>
      </c>
      <c r="J394" s="5">
        <v>8.08421720826275</v>
      </c>
      <c r="K394" s="5">
        <v>51.04781247515709</v>
      </c>
      <c r="L394" s="9" t="b">
        <v>0</v>
      </c>
    </row>
    <row r="395" ht="15.75" customHeight="1">
      <c r="A395" s="5">
        <v>5.0</v>
      </c>
      <c r="B395" s="5">
        <v>20244.0</v>
      </c>
      <c r="C395" s="5">
        <v>11931.322535507445</v>
      </c>
      <c r="D395" s="5">
        <v>8093.023341540731</v>
      </c>
      <c r="E395" s="5">
        <v>15.302545334854333</v>
      </c>
      <c r="F395" s="5">
        <v>18.345484701222855</v>
      </c>
      <c r="G395" s="5">
        <v>14.01471727479361</v>
      </c>
      <c r="H395" s="5">
        <v>12.355520173148825</v>
      </c>
      <c r="I395" s="5">
        <v>13.990112985576664</v>
      </c>
      <c r="J395" s="5">
        <v>5.0680784887207455</v>
      </c>
      <c r="K395" s="5">
        <v>47.4272596529542</v>
      </c>
      <c r="L395" s="9" t="b">
        <v>0</v>
      </c>
    </row>
    <row r="396" ht="15.75" customHeight="1">
      <c r="A396" s="5">
        <v>5.0</v>
      </c>
      <c r="B396" s="5">
        <v>20251.0</v>
      </c>
      <c r="C396" s="5">
        <v>12000.19309526647</v>
      </c>
      <c r="D396" s="5">
        <v>8063.281096998186</v>
      </c>
      <c r="E396" s="5">
        <v>12.41206975834681</v>
      </c>
      <c r="F396" s="5">
        <v>18.631162412025652</v>
      </c>
      <c r="G396" s="5">
        <v>13.347846474245925</v>
      </c>
      <c r="H396" s="5">
        <v>6.507153167942592</v>
      </c>
      <c r="I396" s="5">
        <v>11.4387308958332</v>
      </c>
      <c r="J396" s="5">
        <v>-0.40602506939932326</v>
      </c>
      <c r="K396" s="5">
        <v>48.8251860614648</v>
      </c>
      <c r="L396" s="9" t="b">
        <v>0</v>
      </c>
    </row>
    <row r="397" ht="15.75" customHeight="1">
      <c r="A397" s="5">
        <v>5.0</v>
      </c>
      <c r="B397" s="5">
        <v>20252.0</v>
      </c>
      <c r="C397" s="5">
        <v>11742.313063264795</v>
      </c>
      <c r="D397" s="5">
        <v>8154.269777892489</v>
      </c>
      <c r="E397" s="5">
        <v>2.035300673158602</v>
      </c>
      <c r="F397" s="5">
        <v>12.955968644018707</v>
      </c>
      <c r="G397" s="5">
        <v>0.8992194093333303</v>
      </c>
      <c r="H397" s="5">
        <v>6.186941278941416</v>
      </c>
      <c r="I397" s="5">
        <v>9.575157525223238</v>
      </c>
      <c r="J397" s="5">
        <v>-4.20112095509314</v>
      </c>
      <c r="K397" s="5">
        <v>44.002018367114324</v>
      </c>
      <c r="L397" s="9" t="b">
        <v>0</v>
      </c>
    </row>
    <row r="398" ht="15.75" customHeight="1">
      <c r="A398" s="5">
        <v>5.0</v>
      </c>
      <c r="B398" s="5">
        <v>20253.0</v>
      </c>
      <c r="C398" s="5">
        <v>11945.76874080896</v>
      </c>
      <c r="D398" s="5">
        <v>8223.851616455555</v>
      </c>
      <c r="E398" s="5">
        <v>0.8568975033545589</v>
      </c>
      <c r="F398" s="5">
        <v>7.651703317428578</v>
      </c>
      <c r="G398" s="5">
        <v>-8.64118485740785</v>
      </c>
      <c r="H398" s="5">
        <v>4.877229768095548</v>
      </c>
      <c r="I398" s="5">
        <v>7.481711097032095</v>
      </c>
      <c r="J398" s="5">
        <v>-7.124171296746118</v>
      </c>
      <c r="K398" s="5">
        <v>45.25759094322688</v>
      </c>
      <c r="L398" s="9" t="b">
        <v>0</v>
      </c>
    </row>
    <row r="399" ht="15.75" customHeight="1">
      <c r="A399" s="5">
        <v>5.0</v>
      </c>
      <c r="B399" s="5">
        <v>20254.0</v>
      </c>
      <c r="C399" s="5">
        <v>11853.59424151598</v>
      </c>
      <c r="D399" s="5">
        <v>8200.956735810241</v>
      </c>
      <c r="E399" s="5">
        <v>-0.6514641923403341</v>
      </c>
      <c r="F399" s="5">
        <v>3.663200935629911</v>
      </c>
      <c r="G399" s="5">
        <v>-14.682283765592944</v>
      </c>
      <c r="H399" s="5">
        <v>1.3336597426514052</v>
      </c>
      <c r="I399" s="5">
        <v>4.72624598940774</v>
      </c>
      <c r="J399" s="5">
        <v>-9.263866996168924</v>
      </c>
      <c r="K399" s="5">
        <v>44.539163214410806</v>
      </c>
      <c r="L399" s="9" t="b">
        <v>0</v>
      </c>
    </row>
    <row r="400" ht="15.75" customHeight="1">
      <c r="A400" s="5">
        <v>5.0</v>
      </c>
      <c r="B400" s="5">
        <v>20261.0</v>
      </c>
      <c r="C400" s="5">
        <v>12030.771273479164</v>
      </c>
      <c r="D400" s="5">
        <v>8069.426536730098</v>
      </c>
      <c r="E400" s="5">
        <v>0.2548140514901931</v>
      </c>
      <c r="F400" s="5">
        <v>0.6238870089157568</v>
      </c>
      <c r="G400" s="5">
        <v>-18.007275403109897</v>
      </c>
      <c r="H400" s="5">
        <v>0.07621512456263968</v>
      </c>
      <c r="I400" s="5">
        <v>3.118511478562752</v>
      </c>
      <c r="J400" s="5">
        <v>-8.320219417270447</v>
      </c>
      <c r="K400" s="5">
        <v>49.09078382110516</v>
      </c>
      <c r="L400" s="9" t="b">
        <v>0</v>
      </c>
    </row>
    <row r="401" ht="15.75" customHeight="1">
      <c r="A401" s="5">
        <v>5.0</v>
      </c>
      <c r="B401" s="5">
        <v>20262.0</v>
      </c>
      <c r="C401" s="5">
        <v>11840.14970595999</v>
      </c>
      <c r="D401" s="5">
        <v>8101.69612802429</v>
      </c>
      <c r="E401" s="5">
        <v>0.833197362121707</v>
      </c>
      <c r="F401" s="5">
        <v>0.323361181156533</v>
      </c>
      <c r="G401" s="5">
        <v>-12.632607462862174</v>
      </c>
      <c r="H401" s="5">
        <v>-0.6447376809966987</v>
      </c>
      <c r="I401" s="5">
        <v>1.4105917385782236</v>
      </c>
      <c r="J401" s="5">
        <v>-8.164565786645014</v>
      </c>
      <c r="K401" s="5">
        <v>46.14408537249561</v>
      </c>
      <c r="L401" s="9" t="b">
        <v>0</v>
      </c>
    </row>
    <row r="402" ht="15.75" customHeight="1">
      <c r="A402" s="5">
        <v>6.0</v>
      </c>
      <c r="B402" s="5">
        <v>20063.0</v>
      </c>
      <c r="C402" s="5">
        <v>2834.8393391977534</v>
      </c>
      <c r="D402" s="5">
        <v>2350.1142828430866</v>
      </c>
      <c r="K402" s="5">
        <v>20.625595099497176</v>
      </c>
      <c r="L402" s="9" t="b">
        <v>0</v>
      </c>
    </row>
    <row r="403" ht="15.75" customHeight="1">
      <c r="A403" s="5">
        <v>6.0</v>
      </c>
      <c r="B403" s="5">
        <v>20064.0</v>
      </c>
      <c r="C403" s="5">
        <v>3014.090525335802</v>
      </c>
      <c r="D403" s="5">
        <v>2662.080495771316</v>
      </c>
      <c r="K403" s="5">
        <v>13.22311741225144</v>
      </c>
      <c r="L403" s="9" t="b">
        <v>0</v>
      </c>
    </row>
    <row r="404" ht="15.75" customHeight="1">
      <c r="A404" s="5">
        <v>6.0</v>
      </c>
      <c r="B404" s="5">
        <v>20071.0</v>
      </c>
      <c r="C404" s="5">
        <v>3241.4152281047677</v>
      </c>
      <c r="D404" s="5">
        <v>2977.9126729697605</v>
      </c>
      <c r="K404" s="5">
        <v>8.848565558244736</v>
      </c>
      <c r="L404" s="9" t="b">
        <v>0</v>
      </c>
    </row>
    <row r="405" ht="15.75" customHeight="1">
      <c r="A405" s="5">
        <v>6.0</v>
      </c>
      <c r="B405" s="5">
        <v>20072.0</v>
      </c>
      <c r="C405" s="5">
        <v>3017.729301673899</v>
      </c>
      <c r="D405" s="5">
        <v>3659.280210653406</v>
      </c>
      <c r="K405" s="5">
        <v>-17.532161300786274</v>
      </c>
      <c r="L405" s="9" t="b">
        <v>0</v>
      </c>
    </row>
    <row r="406" ht="15.75" customHeight="1">
      <c r="A406" s="5">
        <v>6.0</v>
      </c>
      <c r="B406" s="5">
        <v>20073.0</v>
      </c>
      <c r="C406" s="5">
        <v>4765.978233106741</v>
      </c>
      <c r="D406" s="5">
        <v>3681.317571160407</v>
      </c>
      <c r="E406" s="5">
        <v>68.12163452111155</v>
      </c>
      <c r="H406" s="5">
        <v>56.644193775414074</v>
      </c>
      <c r="K406" s="5">
        <v>29.463925373991362</v>
      </c>
      <c r="L406" s="9" t="b">
        <v>0</v>
      </c>
    </row>
    <row r="407" ht="15.75" customHeight="1">
      <c r="A407" s="5">
        <v>6.0</v>
      </c>
      <c r="B407" s="5">
        <v>20074.0</v>
      </c>
      <c r="C407" s="5">
        <v>4629.101107606011</v>
      </c>
      <c r="D407" s="5">
        <v>3808.281464079699</v>
      </c>
      <c r="E407" s="5">
        <v>53.58201980646484</v>
      </c>
      <c r="H407" s="5">
        <v>43.05658563402235</v>
      </c>
      <c r="K407" s="5">
        <v>21.553544591396665</v>
      </c>
      <c r="L407" s="9" t="b">
        <v>0</v>
      </c>
    </row>
    <row r="408" ht="15.75" customHeight="1">
      <c r="A408" s="5">
        <v>6.0</v>
      </c>
      <c r="B408" s="5">
        <v>20081.0</v>
      </c>
      <c r="C408" s="5">
        <v>4407.7071046698375</v>
      </c>
      <c r="D408" s="5">
        <v>4048.29633939804</v>
      </c>
      <c r="E408" s="5">
        <v>35.98094642280656</v>
      </c>
      <c r="H408" s="5">
        <v>35.94409185145197</v>
      </c>
      <c r="K408" s="5">
        <v>8.87807450689837</v>
      </c>
      <c r="L408" s="9" t="b">
        <v>0</v>
      </c>
    </row>
    <row r="409" ht="15.75" customHeight="1">
      <c r="A409" s="5">
        <v>6.0</v>
      </c>
      <c r="B409" s="5">
        <v>20082.0</v>
      </c>
      <c r="C409" s="5">
        <v>4879.70469598569</v>
      </c>
      <c r="D409" s="5">
        <v>4103.3927227968425</v>
      </c>
      <c r="E409" s="5">
        <v>61.70120670793682</v>
      </c>
      <c r="F409" s="5">
        <v>54.84645186457994</v>
      </c>
      <c r="H409" s="5">
        <v>12.136608474269739</v>
      </c>
      <c r="I409" s="5">
        <v>36.945369933789536</v>
      </c>
      <c r="K409" s="5">
        <v>18.918783202883848</v>
      </c>
      <c r="L409" s="9" t="b">
        <v>0</v>
      </c>
    </row>
    <row r="410" ht="15.75" customHeight="1">
      <c r="A410" s="5">
        <v>6.0</v>
      </c>
      <c r="B410" s="5">
        <v>20083.0</v>
      </c>
      <c r="C410" s="5">
        <v>4917.532281885935</v>
      </c>
      <c r="D410" s="5">
        <v>4119.852624353711</v>
      </c>
      <c r="E410" s="5">
        <v>3.1799148331485894</v>
      </c>
      <c r="F410" s="5">
        <v>38.611021942589204</v>
      </c>
      <c r="H410" s="5">
        <v>11.912448320916535</v>
      </c>
      <c r="I410" s="5">
        <v>25.76243357016515</v>
      </c>
      <c r="K410" s="5">
        <v>19.361849324825254</v>
      </c>
      <c r="L410" s="9" t="b">
        <v>0</v>
      </c>
    </row>
    <row r="411" ht="15.75" customHeight="1">
      <c r="A411" s="5">
        <v>6.0</v>
      </c>
      <c r="B411" s="5">
        <v>20084.0</v>
      </c>
      <c r="C411" s="5">
        <v>4608.749918623949</v>
      </c>
      <c r="D411" s="5">
        <v>4019.974963227241</v>
      </c>
      <c r="E411" s="5">
        <v>-0.439635871176447</v>
      </c>
      <c r="F411" s="5">
        <v>25.10560802317888</v>
      </c>
      <c r="H411" s="5">
        <v>5.5587671537481675</v>
      </c>
      <c r="I411" s="5">
        <v>16.387978950096603</v>
      </c>
      <c r="K411" s="5">
        <v>14.64623438659527</v>
      </c>
      <c r="L411" s="9" t="b">
        <v>0</v>
      </c>
    </row>
    <row r="412" ht="15.75" customHeight="1">
      <c r="A412" s="5">
        <v>6.0</v>
      </c>
      <c r="B412" s="5">
        <v>20091.0</v>
      </c>
      <c r="C412" s="5">
        <v>4821.62401073878</v>
      </c>
      <c r="D412" s="5">
        <v>3888.425609425852</v>
      </c>
      <c r="E412" s="5">
        <v>9.3907534289293</v>
      </c>
      <c r="F412" s="5">
        <v>18.458059774709564</v>
      </c>
      <c r="H412" s="5">
        <v>-3.949086642109789</v>
      </c>
      <c r="I412" s="5">
        <v>6.414684326706163</v>
      </c>
      <c r="K412" s="5">
        <v>23.999389342843045</v>
      </c>
      <c r="L412" s="9" t="b">
        <v>0</v>
      </c>
    </row>
    <row r="413" ht="15.75" customHeight="1">
      <c r="A413" s="5">
        <v>6.0</v>
      </c>
      <c r="B413" s="5">
        <v>20092.0</v>
      </c>
      <c r="C413" s="5">
        <v>4715.515250347135</v>
      </c>
      <c r="D413" s="5">
        <v>3932.078441947145</v>
      </c>
      <c r="E413" s="5">
        <v>-3.3647414314564084</v>
      </c>
      <c r="F413" s="5">
        <v>2.1915727398612583</v>
      </c>
      <c r="G413" s="5">
        <v>-52.65487912471868</v>
      </c>
      <c r="H413" s="5">
        <v>-4.1749423567951975</v>
      </c>
      <c r="I413" s="5">
        <v>2.336796618939929</v>
      </c>
      <c r="J413" s="5">
        <v>-34.60857331484961</v>
      </c>
      <c r="K413" s="5">
        <v>19.924241593004343</v>
      </c>
      <c r="L413" s="9" t="b">
        <v>0</v>
      </c>
    </row>
    <row r="414" ht="15.75" customHeight="1">
      <c r="A414" s="5">
        <v>6.0</v>
      </c>
      <c r="B414" s="5">
        <v>20093.0</v>
      </c>
      <c r="C414" s="5">
        <v>4678.348467443536</v>
      </c>
      <c r="D414" s="5">
        <v>3915.738269566209</v>
      </c>
      <c r="E414" s="5">
        <v>-4.863899222857137</v>
      </c>
      <c r="F414" s="5">
        <v>0.1806192258598267</v>
      </c>
      <c r="G414" s="5">
        <v>-38.430402716729375</v>
      </c>
      <c r="H414" s="5">
        <v>-4.954409135436522</v>
      </c>
      <c r="I414" s="5">
        <v>-1.879917745148335</v>
      </c>
      <c r="J414" s="5">
        <v>-27.642351315313487</v>
      </c>
      <c r="K414" s="5">
        <v>19.475515097739414</v>
      </c>
      <c r="L414" s="9" t="b">
        <v>0</v>
      </c>
    </row>
    <row r="415" ht="15.75" customHeight="1">
      <c r="A415" s="5">
        <v>6.0</v>
      </c>
      <c r="B415" s="5">
        <v>20094.0</v>
      </c>
      <c r="C415" s="5">
        <v>4778.483236229924</v>
      </c>
      <c r="D415" s="5">
        <v>4114.873797806374</v>
      </c>
      <c r="E415" s="5">
        <v>3.682849375707775</v>
      </c>
      <c r="F415" s="5">
        <v>1.2112405375808821</v>
      </c>
      <c r="G415" s="5">
        <v>-23.894367485598</v>
      </c>
      <c r="H415" s="5">
        <v>2.36068222929795</v>
      </c>
      <c r="I415" s="5">
        <v>-2.6794389762608892</v>
      </c>
      <c r="J415" s="5">
        <v>-19.067417926357493</v>
      </c>
      <c r="K415" s="5">
        <v>16.12709091533544</v>
      </c>
      <c r="L415" s="9" t="b">
        <v>0</v>
      </c>
    </row>
    <row r="416" ht="15.75" customHeight="1">
      <c r="A416" s="5">
        <v>6.0</v>
      </c>
      <c r="B416" s="5">
        <v>20101.0</v>
      </c>
      <c r="C416" s="5">
        <v>4797.9706485254</v>
      </c>
      <c r="D416" s="5">
        <v>4023.666902203924</v>
      </c>
      <c r="E416" s="5">
        <v>-0.49056836785073</v>
      </c>
      <c r="F416" s="5">
        <v>-1.259089911614125</v>
      </c>
      <c r="G416" s="5">
        <v>-19.71714968632369</v>
      </c>
      <c r="H416" s="5">
        <v>3.4780475792113963</v>
      </c>
      <c r="I416" s="5">
        <v>-0.822655420930593</v>
      </c>
      <c r="J416" s="5">
        <v>-7.237339747636756</v>
      </c>
      <c r="K416" s="5">
        <v>19.243733766762826</v>
      </c>
      <c r="L416" s="9" t="b">
        <v>0</v>
      </c>
    </row>
    <row r="417" ht="15.75" customHeight="1">
      <c r="A417" s="5">
        <v>6.0</v>
      </c>
      <c r="B417" s="5">
        <v>20102.0</v>
      </c>
      <c r="C417" s="5">
        <v>4829.22686469692</v>
      </c>
      <c r="D417" s="5">
        <v>4201.276314605952</v>
      </c>
      <c r="E417" s="5">
        <v>2.41143561865087</v>
      </c>
      <c r="F417" s="5">
        <v>0.18495435091269452</v>
      </c>
      <c r="G417" s="5">
        <v>-2.0066183889485636</v>
      </c>
      <c r="H417" s="5">
        <v>6.846197923902597</v>
      </c>
      <c r="I417" s="5">
        <v>1.9326296492438557</v>
      </c>
      <c r="J417" s="5">
        <v>-0.40416696969607346</v>
      </c>
      <c r="K417" s="5">
        <v>14.946661515879466</v>
      </c>
      <c r="L417" s="9" t="b">
        <v>0</v>
      </c>
    </row>
    <row r="418" ht="15.75" customHeight="1">
      <c r="A418" s="5">
        <v>6.0</v>
      </c>
      <c r="B418" s="5">
        <v>20103.0</v>
      </c>
      <c r="C418" s="5">
        <v>4523.102074753757</v>
      </c>
      <c r="D418" s="5">
        <v>4094.8948233165206</v>
      </c>
      <c r="E418" s="5">
        <v>-3.318401649003555</v>
      </c>
      <c r="F418" s="5">
        <v>0.57132874437609</v>
      </c>
      <c r="G418" s="5">
        <v>0.39070951851626334</v>
      </c>
      <c r="H418" s="5">
        <v>4.575294399596297</v>
      </c>
      <c r="I418" s="5">
        <v>4.31505553300206</v>
      </c>
      <c r="J418" s="5">
        <v>6.194973278150395</v>
      </c>
      <c r="K418" s="5">
        <v>10.457100118884721</v>
      </c>
      <c r="L418" s="9" t="b">
        <v>0</v>
      </c>
    </row>
    <row r="419" ht="15.75" customHeight="1">
      <c r="A419" s="5">
        <v>6.0</v>
      </c>
      <c r="B419" s="5">
        <v>20104.0</v>
      </c>
      <c r="C419" s="5">
        <v>4803.276777721256</v>
      </c>
      <c r="D419" s="5">
        <v>4251.107611885303</v>
      </c>
      <c r="E419" s="5">
        <v>0.518857977848497</v>
      </c>
      <c r="F419" s="5">
        <v>-0.2196691050887295</v>
      </c>
      <c r="G419" s="5">
        <v>-1.4309096426696115</v>
      </c>
      <c r="H419" s="5">
        <v>3.310765305889962</v>
      </c>
      <c r="I419" s="5">
        <v>4.552576302150063</v>
      </c>
      <c r="J419" s="5">
        <v>7.232015278410953</v>
      </c>
      <c r="K419" s="5">
        <v>12.988830588343392</v>
      </c>
      <c r="L419" s="9" t="b">
        <v>0</v>
      </c>
    </row>
    <row r="420" ht="15.75" customHeight="1">
      <c r="A420" s="5">
        <v>6.0</v>
      </c>
      <c r="B420" s="5">
        <v>20111.0</v>
      </c>
      <c r="C420" s="5">
        <v>4790.077971048904</v>
      </c>
      <c r="D420" s="5">
        <v>4285.207912226044</v>
      </c>
      <c r="E420" s="5">
        <v>-0.16450032846536677</v>
      </c>
      <c r="F420" s="5">
        <v>-0.1381520952423887</v>
      </c>
      <c r="G420" s="5">
        <v>1.1209378163717363</v>
      </c>
      <c r="H420" s="5">
        <v>6.500066143120931</v>
      </c>
      <c r="I420" s="5">
        <v>5.308080943127447</v>
      </c>
      <c r="J420" s="5">
        <v>6.1307363640580395</v>
      </c>
      <c r="K420" s="5">
        <v>11.781693424545981</v>
      </c>
      <c r="L420" s="9" t="b">
        <v>0</v>
      </c>
    </row>
    <row r="421" ht="15.75" customHeight="1">
      <c r="A421" s="5">
        <v>6.0</v>
      </c>
      <c r="B421" s="5">
        <v>20112.0</v>
      </c>
      <c r="C421" s="5">
        <v>4966.786434991207</v>
      </c>
      <c r="D421" s="5">
        <v>4408.156259239441</v>
      </c>
      <c r="E421" s="5">
        <v>2.84848018426902</v>
      </c>
      <c r="F421" s="5">
        <v>-0.02889095383785123</v>
      </c>
      <c r="G421" s="5">
        <v>-0.21384530475054575</v>
      </c>
      <c r="H421" s="5">
        <v>4.924216574717066</v>
      </c>
      <c r="I421" s="5">
        <v>4.827585605831064</v>
      </c>
      <c r="J421" s="5">
        <v>2.894955956587209</v>
      </c>
      <c r="K421" s="5">
        <v>12.672649128099401</v>
      </c>
      <c r="L421" s="9" t="b">
        <v>0</v>
      </c>
    </row>
    <row r="422" ht="15.75" customHeight="1">
      <c r="A422" s="5">
        <v>6.0</v>
      </c>
      <c r="B422" s="5">
        <v>20113.0</v>
      </c>
      <c r="C422" s="5">
        <v>4803.884376262197</v>
      </c>
      <c r="D422" s="5">
        <v>4205.090096974148</v>
      </c>
      <c r="E422" s="5">
        <v>6.207737452481132</v>
      </c>
      <c r="F422" s="5">
        <v>2.3526438215333205</v>
      </c>
      <c r="G422" s="5">
        <v>1.7813150771572306</v>
      </c>
      <c r="H422" s="5">
        <v>2.6910403908342317</v>
      </c>
      <c r="I422" s="5">
        <v>4.356522103640548</v>
      </c>
      <c r="J422" s="5">
        <v>0.041466570638487354</v>
      </c>
      <c r="K422" s="5">
        <v>14.239749101188659</v>
      </c>
      <c r="L422" s="9" t="b">
        <v>0</v>
      </c>
    </row>
    <row r="423" ht="15.75" customHeight="1">
      <c r="A423" s="5">
        <v>6.0</v>
      </c>
      <c r="B423" s="5">
        <v>20114.0</v>
      </c>
      <c r="C423" s="5">
        <v>4768.498925532117</v>
      </c>
      <c r="D423" s="5">
        <v>4245.229844566561</v>
      </c>
      <c r="E423" s="5">
        <v>-0.7240443097188742</v>
      </c>
      <c r="F423" s="5">
        <v>2.041918249641478</v>
      </c>
      <c r="G423" s="5">
        <v>2.2615873547302074</v>
      </c>
      <c r="H423" s="5">
        <v>-0.13826437379070855</v>
      </c>
      <c r="I423" s="5">
        <v>3.49426468372038</v>
      </c>
      <c r="J423" s="5">
        <v>-1.0583116184296832</v>
      </c>
      <c r="K423" s="5">
        <v>12.326048297132463</v>
      </c>
      <c r="L423" s="9" t="b">
        <v>0</v>
      </c>
    </row>
    <row r="424" ht="15.75" customHeight="1">
      <c r="A424" s="5">
        <v>6.0</v>
      </c>
      <c r="B424" s="5">
        <v>20121.0</v>
      </c>
      <c r="C424" s="5">
        <v>4662.529862106962</v>
      </c>
      <c r="D424" s="5">
        <v>4175.487949598509</v>
      </c>
      <c r="E424" s="5">
        <v>-2.6627564251112235</v>
      </c>
      <c r="F424" s="5">
        <v>1.4173542254800138</v>
      </c>
      <c r="G424" s="5">
        <v>1.5555063207224025</v>
      </c>
      <c r="H424" s="5">
        <v>-2.5604349864681075</v>
      </c>
      <c r="I424" s="5">
        <v>1.2291394013231207</v>
      </c>
      <c r="J424" s="5">
        <v>-4.078941541804326</v>
      </c>
      <c r="K424" s="5">
        <v>11.664311294570616</v>
      </c>
      <c r="L424" s="9" t="b">
        <v>0</v>
      </c>
    </row>
    <row r="425" ht="15.75" customHeight="1">
      <c r="A425" s="5">
        <v>6.0</v>
      </c>
      <c r="B425" s="5">
        <v>20122.0</v>
      </c>
      <c r="C425" s="5">
        <v>4944.016351230474</v>
      </c>
      <c r="D425" s="5">
        <v>3943.06539400735</v>
      </c>
      <c r="E425" s="5">
        <v>-0.4584470071093971</v>
      </c>
      <c r="F425" s="5">
        <v>0.5906224276354095</v>
      </c>
      <c r="G425" s="5">
        <v>0.6195133814732607</v>
      </c>
      <c r="H425" s="5">
        <v>-10.550689174351902</v>
      </c>
      <c r="I425" s="5">
        <v>-2.639587035944121</v>
      </c>
      <c r="J425" s="5">
        <v>-7.467172641775186</v>
      </c>
      <c r="K425" s="5">
        <v>25.385096548090846</v>
      </c>
      <c r="L425" s="9" t="b">
        <v>0</v>
      </c>
    </row>
    <row r="426" ht="15.75" customHeight="1">
      <c r="A426" s="5">
        <v>6.0</v>
      </c>
      <c r="B426" s="5">
        <v>20123.0</v>
      </c>
      <c r="C426" s="5">
        <v>5160.697559005846</v>
      </c>
      <c r="D426" s="5">
        <v>3987.855477044948</v>
      </c>
      <c r="E426" s="5">
        <v>7.427597227501925</v>
      </c>
      <c r="F426" s="5">
        <v>0.8955873713906077</v>
      </c>
      <c r="G426" s="5">
        <v>-1.4570564501427128</v>
      </c>
      <c r="H426" s="5">
        <v>-5.1659920458188235</v>
      </c>
      <c r="I426" s="5">
        <v>-4.603845145107385</v>
      </c>
      <c r="J426" s="5">
        <v>-8.960367248747932</v>
      </c>
      <c r="K426" s="5">
        <v>29.410345703650954</v>
      </c>
      <c r="L426" s="9" t="b">
        <v>0</v>
      </c>
    </row>
    <row r="427" ht="15.75" customHeight="1">
      <c r="A427" s="5">
        <v>6.0</v>
      </c>
      <c r="B427" s="5">
        <v>20124.0</v>
      </c>
      <c r="C427" s="5">
        <v>4515.760471503128</v>
      </c>
      <c r="D427" s="5">
        <v>3689.757026286959</v>
      </c>
      <c r="E427" s="5">
        <v>-5.300167997852401</v>
      </c>
      <c r="F427" s="5">
        <v>-0.2484435506427738</v>
      </c>
      <c r="G427" s="5">
        <v>-2.290361800284252</v>
      </c>
      <c r="H427" s="5">
        <v>-13.084634722205857</v>
      </c>
      <c r="I427" s="5">
        <v>-7.840437732211172</v>
      </c>
      <c r="J427" s="5">
        <v>-11.334702415931552</v>
      </c>
      <c r="K427" s="5">
        <v>22.386391280820604</v>
      </c>
      <c r="L427" s="9" t="b">
        <v>0</v>
      </c>
    </row>
    <row r="428" ht="15.75" customHeight="1">
      <c r="A428" s="5">
        <v>6.0</v>
      </c>
      <c r="B428" s="5">
        <v>20131.0</v>
      </c>
      <c r="C428" s="5">
        <v>4647.241535894923</v>
      </c>
      <c r="D428" s="5">
        <v>3672.351404056517</v>
      </c>
      <c r="E428" s="5">
        <v>-0.3278976577992476</v>
      </c>
      <c r="F428" s="5">
        <v>0.33527114118522006</v>
      </c>
      <c r="G428" s="5">
        <v>-1.0820830842947937</v>
      </c>
      <c r="H428" s="5">
        <v>-12.049766437246468</v>
      </c>
      <c r="I428" s="5">
        <v>-10.212770594905763</v>
      </c>
      <c r="J428" s="5">
        <v>-11.441909996228883</v>
      </c>
      <c r="K428" s="5">
        <v>26.546755050770265</v>
      </c>
      <c r="L428" s="9" t="b">
        <v>0</v>
      </c>
    </row>
    <row r="429" ht="15.75" customHeight="1">
      <c r="A429" s="5">
        <v>6.0</v>
      </c>
      <c r="B429" s="5">
        <v>20132.0</v>
      </c>
      <c r="C429" s="5">
        <v>4646.013467266611</v>
      </c>
      <c r="D429" s="5">
        <v>3629.805370803083</v>
      </c>
      <c r="E429" s="5">
        <v>-6.027546488386837</v>
      </c>
      <c r="F429" s="5">
        <v>-1.0570037291341399</v>
      </c>
      <c r="G429" s="5">
        <v>-1.6476261567695494</v>
      </c>
      <c r="H429" s="5">
        <v>-7.94458097703269</v>
      </c>
      <c r="I429" s="5">
        <v>-9.561243545575959</v>
      </c>
      <c r="J429" s="5">
        <v>-6.921656509631838</v>
      </c>
      <c r="K429" s="5">
        <v>27.99621447027323</v>
      </c>
      <c r="L429" s="9" t="b">
        <v>0</v>
      </c>
    </row>
    <row r="430" ht="15.75" customHeight="1">
      <c r="A430" s="5">
        <v>6.0</v>
      </c>
      <c r="B430" s="5">
        <v>20133.0</v>
      </c>
      <c r="C430" s="5">
        <v>4717.680351386311</v>
      </c>
      <c r="D430" s="5">
        <v>3798.672811206787</v>
      </c>
      <c r="E430" s="5">
        <v>-8.584444303395266</v>
      </c>
      <c r="F430" s="5">
        <v>-5.060014111858438</v>
      </c>
      <c r="G430" s="5">
        <v>-5.955601483249046</v>
      </c>
      <c r="H430" s="5">
        <v>-4.743969958970218</v>
      </c>
      <c r="I430" s="5">
        <v>-9.455738023863807</v>
      </c>
      <c r="J430" s="5">
        <v>-4.851892878756422</v>
      </c>
      <c r="K430" s="5">
        <v>24.192858554921635</v>
      </c>
      <c r="L430" s="9" t="b">
        <v>0</v>
      </c>
    </row>
    <row r="431" ht="15.75" customHeight="1">
      <c r="A431" s="5">
        <v>6.0</v>
      </c>
      <c r="B431" s="5">
        <v>20134.0</v>
      </c>
      <c r="C431" s="5">
        <v>4651.074141414556</v>
      </c>
      <c r="D431" s="5">
        <v>3828.434163288956</v>
      </c>
      <c r="E431" s="5">
        <v>2.996475804359622</v>
      </c>
      <c r="F431" s="5">
        <v>-2.9858531613054318</v>
      </c>
      <c r="G431" s="5">
        <v>-2.7374096106626578</v>
      </c>
      <c r="H431" s="5">
        <v>3.758435474585964</v>
      </c>
      <c r="I431" s="5">
        <v>-5.244970474665853</v>
      </c>
      <c r="J431" s="5">
        <v>2.5954672575453195</v>
      </c>
      <c r="K431" s="5">
        <v>21.487635493746637</v>
      </c>
      <c r="L431" s="9" t="b">
        <v>0</v>
      </c>
    </row>
    <row r="432" ht="15.75" customHeight="1">
      <c r="A432" s="5">
        <v>6.0</v>
      </c>
      <c r="B432" s="5">
        <v>20141.0</v>
      </c>
      <c r="C432" s="5">
        <v>4587.361297451235</v>
      </c>
      <c r="D432" s="5">
        <v>3764.06529773444</v>
      </c>
      <c r="E432" s="5">
        <v>-1.2885114315917878</v>
      </c>
      <c r="F432" s="5">
        <v>-3.226006604753567</v>
      </c>
      <c r="G432" s="5">
        <v>-3.561277745938787</v>
      </c>
      <c r="H432" s="5">
        <v>2.4974160581858973</v>
      </c>
      <c r="I432" s="5">
        <v>-1.6081748508077611</v>
      </c>
      <c r="J432" s="5">
        <v>8.604595744098003</v>
      </c>
      <c r="K432" s="5">
        <v>21.872521717737747</v>
      </c>
      <c r="L432" s="9" t="b">
        <v>0</v>
      </c>
    </row>
    <row r="433" ht="15.75" customHeight="1">
      <c r="A433" s="5">
        <v>6.0</v>
      </c>
      <c r="B433" s="5">
        <v>20142.0</v>
      </c>
      <c r="C433" s="5">
        <v>4622.853785241579</v>
      </c>
      <c r="D433" s="5">
        <v>3635.39824499862</v>
      </c>
      <c r="E433" s="5">
        <v>-0.4984850385863604</v>
      </c>
      <c r="F433" s="5">
        <v>-1.843741242303448</v>
      </c>
      <c r="G433" s="5">
        <v>-0.7867375131693082</v>
      </c>
      <c r="H433" s="5">
        <v>0.15408193068764398</v>
      </c>
      <c r="I433" s="5">
        <v>0.4164908761223223</v>
      </c>
      <c r="J433" s="5">
        <v>9.977734421698282</v>
      </c>
      <c r="K433" s="5">
        <v>27.162238459058674</v>
      </c>
      <c r="L433" s="9" t="b">
        <v>0</v>
      </c>
    </row>
    <row r="434" ht="15.75" customHeight="1">
      <c r="A434" s="5">
        <v>6.0</v>
      </c>
      <c r="B434" s="5">
        <v>20143.0</v>
      </c>
      <c r="C434" s="5">
        <v>4577.564755146137</v>
      </c>
      <c r="D434" s="5">
        <v>3795.837259538965</v>
      </c>
      <c r="E434" s="5">
        <v>-2.9700103823057877</v>
      </c>
      <c r="F434" s="5">
        <v>-0.44013276203107854</v>
      </c>
      <c r="G434" s="5">
        <v>4.619881349827359</v>
      </c>
      <c r="H434" s="5">
        <v>-0.07464585155785297</v>
      </c>
      <c r="I434" s="5">
        <v>1.5838219029754135</v>
      </c>
      <c r="J434" s="5">
        <v>11.039559926839221</v>
      </c>
      <c r="K434" s="5">
        <v>20.594336431117675</v>
      </c>
      <c r="L434" s="9" t="b">
        <v>0</v>
      </c>
    </row>
    <row r="435" ht="15.75" customHeight="1">
      <c r="A435" s="5">
        <v>6.0</v>
      </c>
      <c r="B435" s="5">
        <v>20144.0</v>
      </c>
      <c r="C435" s="5">
        <v>4601.542914588442</v>
      </c>
      <c r="D435" s="5">
        <v>3667.2423059274897</v>
      </c>
      <c r="E435" s="5">
        <v>-1.0649416741193907</v>
      </c>
      <c r="F435" s="5">
        <v>-1.4554871316508318</v>
      </c>
      <c r="G435" s="5">
        <v>1.5303660296546</v>
      </c>
      <c r="H435" s="5">
        <v>-4.210386034769586</v>
      </c>
      <c r="I435" s="5">
        <v>-0.408383474363474</v>
      </c>
      <c r="J435" s="5">
        <v>4.836587000302378</v>
      </c>
      <c r="K435" s="5">
        <v>25.476926003793366</v>
      </c>
      <c r="L435" s="9" t="b">
        <v>0</v>
      </c>
    </row>
    <row r="436" ht="15.75" customHeight="1">
      <c r="A436" s="5">
        <v>6.0</v>
      </c>
      <c r="B436" s="5">
        <v>20151.0</v>
      </c>
      <c r="C436" s="5">
        <v>4736.142579621817</v>
      </c>
      <c r="D436" s="5">
        <v>3615.7284339765833</v>
      </c>
      <c r="E436" s="5">
        <v>3.243286772577636</v>
      </c>
      <c r="F436" s="5">
        <v>-0.3225375806084758</v>
      </c>
      <c r="G436" s="5">
        <v>2.9034690241450916</v>
      </c>
      <c r="H436" s="5">
        <v>-3.9408685031882773</v>
      </c>
      <c r="I436" s="5">
        <v>-2.0179546147070178</v>
      </c>
      <c r="J436" s="5">
        <v>-0.40977976389925663</v>
      </c>
      <c r="K436" s="5">
        <v>30.987231649280723</v>
      </c>
      <c r="L436" s="9" t="b">
        <v>0</v>
      </c>
    </row>
    <row r="437" ht="15.75" customHeight="1">
      <c r="A437" s="5">
        <v>6.0</v>
      </c>
      <c r="B437" s="5">
        <v>20152.0</v>
      </c>
      <c r="C437" s="5">
        <v>4506.621021306747</v>
      </c>
      <c r="D437" s="5">
        <v>3604.2337693720087</v>
      </c>
      <c r="E437" s="5">
        <v>-2.514307597309362</v>
      </c>
      <c r="F437" s="5">
        <v>-0.8264932202892261</v>
      </c>
      <c r="G437" s="5">
        <v>1.017248022014222</v>
      </c>
      <c r="H437" s="5">
        <v>-0.8572506648889422</v>
      </c>
      <c r="I437" s="5">
        <v>-2.270787763601164</v>
      </c>
      <c r="J437" s="5">
        <v>-2.6872786397234862</v>
      </c>
      <c r="K437" s="5">
        <v>25.036868019023295</v>
      </c>
      <c r="L437" s="9" t="b">
        <v>0</v>
      </c>
    </row>
    <row r="438" ht="15.75" customHeight="1">
      <c r="A438" s="5">
        <v>6.0</v>
      </c>
      <c r="B438" s="5">
        <v>20153.0</v>
      </c>
      <c r="C438" s="5">
        <v>4548.784498477527</v>
      </c>
      <c r="D438" s="5">
        <v>3603.878122064152</v>
      </c>
      <c r="E438" s="5">
        <v>-0.628724184322127</v>
      </c>
      <c r="F438" s="5">
        <v>-0.24117167079331092</v>
      </c>
      <c r="G438" s="5">
        <v>0.19896109123776762</v>
      </c>
      <c r="H438" s="5">
        <v>-5.057096085782343</v>
      </c>
      <c r="I438" s="5">
        <v>-3.5164003221572866</v>
      </c>
      <c r="J438" s="5">
        <v>-5.1002222251327005</v>
      </c>
      <c r="K438" s="5">
        <v>26.21915459982793</v>
      </c>
      <c r="L438" s="9" t="b">
        <v>0</v>
      </c>
    </row>
    <row r="439" ht="15.75" customHeight="1">
      <c r="A439" s="5">
        <v>6.0</v>
      </c>
      <c r="B439" s="5">
        <v>20154.0</v>
      </c>
      <c r="C439" s="5">
        <v>4619.943712765114</v>
      </c>
      <c r="D439" s="5">
        <v>3510.1509189254293</v>
      </c>
      <c r="E439" s="5">
        <v>0.39988322434927337</v>
      </c>
      <c r="F439" s="5">
        <v>0.1250345538238551</v>
      </c>
      <c r="G439" s="5">
        <v>1.5805216854746869</v>
      </c>
      <c r="H439" s="5">
        <v>-4.283638055444228</v>
      </c>
      <c r="I439" s="5">
        <v>-3.5347133273259472</v>
      </c>
      <c r="J439" s="5">
        <v>-3.1263298529624732</v>
      </c>
      <c r="K439" s="5">
        <v>31.6166688975136</v>
      </c>
      <c r="L439" s="9" t="b">
        <v>0</v>
      </c>
    </row>
    <row r="440" ht="15.75" customHeight="1">
      <c r="A440" s="5">
        <v>6.0</v>
      </c>
      <c r="B440" s="5">
        <v>20161.0</v>
      </c>
      <c r="C440" s="5">
        <v>4710.342171538008</v>
      </c>
      <c r="D440" s="5">
        <v>3530.1970781856385</v>
      </c>
      <c r="E440" s="5">
        <v>-0.5447557300073735</v>
      </c>
      <c r="F440" s="5">
        <v>-0.8219760718223973</v>
      </c>
      <c r="G440" s="5">
        <v>-0.4994384912139215</v>
      </c>
      <c r="H440" s="5">
        <v>-2.365535945322017</v>
      </c>
      <c r="I440" s="5">
        <v>-3.140880187859382</v>
      </c>
      <c r="J440" s="5">
        <v>-1.1229255731523642</v>
      </c>
      <c r="K440" s="5">
        <v>33.43000595193146</v>
      </c>
      <c r="L440" s="9" t="b">
        <v>0</v>
      </c>
    </row>
    <row r="441" ht="15.75" customHeight="1">
      <c r="A441" s="5">
        <v>6.0</v>
      </c>
      <c r="B441" s="5">
        <v>20162.0</v>
      </c>
      <c r="C441" s="5">
        <v>4685.483918153999</v>
      </c>
      <c r="D441" s="5">
        <v>3485.285776525336</v>
      </c>
      <c r="E441" s="5">
        <v>3.9688914599566028</v>
      </c>
      <c r="F441" s="5">
        <v>0.7988236924940939</v>
      </c>
      <c r="G441" s="5">
        <v>1.62531691278332</v>
      </c>
      <c r="H441" s="5">
        <v>-3.3002296870271453</v>
      </c>
      <c r="I441" s="5">
        <v>-3.7516249433939324</v>
      </c>
      <c r="J441" s="5">
        <v>-1.4808371797927684</v>
      </c>
      <c r="K441" s="5">
        <v>34.436147236832994</v>
      </c>
      <c r="L441" s="9" t="b">
        <v>0</v>
      </c>
    </row>
    <row r="442" ht="15.75" customHeight="1">
      <c r="A442" s="5">
        <v>6.0</v>
      </c>
      <c r="B442" s="5">
        <v>20163.0</v>
      </c>
      <c r="C442" s="5">
        <v>4581.252848346013</v>
      </c>
      <c r="D442" s="5">
        <v>3577.349734357761</v>
      </c>
      <c r="E442" s="5">
        <v>0.7137807886777869</v>
      </c>
      <c r="F442" s="5">
        <v>1.1344499357440725</v>
      </c>
      <c r="G442" s="5">
        <v>1.3756216065373834</v>
      </c>
      <c r="H442" s="5">
        <v>-0.7361066830749774</v>
      </c>
      <c r="I442" s="5">
        <v>-2.6713775927170915</v>
      </c>
      <c r="J442" s="5">
        <v>0.8450227294401951</v>
      </c>
      <c r="K442" s="5">
        <v>28.06276122087017</v>
      </c>
      <c r="L442" s="9" t="b">
        <v>0</v>
      </c>
    </row>
    <row r="443" ht="15.75" customHeight="1">
      <c r="A443" s="5">
        <v>6.0</v>
      </c>
      <c r="B443" s="5">
        <v>20164.0</v>
      </c>
      <c r="C443" s="5">
        <v>4558.990676757216</v>
      </c>
      <c r="D443" s="5">
        <v>3405.914480979464</v>
      </c>
      <c r="E443" s="5">
        <v>-1.3193458578181771</v>
      </c>
      <c r="F443" s="5">
        <v>0.7046426652022098</v>
      </c>
      <c r="G443" s="5">
        <v>0.5796081113783547</v>
      </c>
      <c r="H443" s="5">
        <v>-2.969571404578686</v>
      </c>
      <c r="I443" s="5">
        <v>-2.3428609300007057</v>
      </c>
      <c r="J443" s="5">
        <v>1.1918523973252415</v>
      </c>
      <c r="K443" s="5">
        <v>33.8551129870458</v>
      </c>
      <c r="L443" s="9" t="b">
        <v>0</v>
      </c>
    </row>
    <row r="444" ht="15.75" customHeight="1">
      <c r="A444" s="5">
        <v>6.0</v>
      </c>
      <c r="B444" s="5">
        <v>20171.0</v>
      </c>
      <c r="C444" s="5">
        <v>4614.109960566635</v>
      </c>
      <c r="D444" s="5">
        <v>3438.6874102848456</v>
      </c>
      <c r="E444" s="5">
        <v>-2.0429983102470017</v>
      </c>
      <c r="F444" s="5">
        <v>0.3300820201423027</v>
      </c>
      <c r="G444" s="5">
        <v>1.1520580919647</v>
      </c>
      <c r="H444" s="5">
        <v>-2.5921971457702475</v>
      </c>
      <c r="I444" s="5">
        <v>-2.3995262301127633</v>
      </c>
      <c r="J444" s="5">
        <v>0.7413539577466186</v>
      </c>
      <c r="K444" s="5">
        <v>34.18230301382419</v>
      </c>
      <c r="L444" s="9" t="b">
        <v>0</v>
      </c>
    </row>
    <row r="445" ht="15.75" customHeight="1">
      <c r="A445" s="5">
        <v>6.0</v>
      </c>
      <c r="B445" s="5">
        <v>20172.0</v>
      </c>
      <c r="C445" s="5">
        <v>4544.821226525441</v>
      </c>
      <c r="D445" s="5">
        <v>3587.7599813778465</v>
      </c>
      <c r="E445" s="5">
        <v>-3.0020952816326663</v>
      </c>
      <c r="F445" s="5">
        <v>-1.4126646652550146</v>
      </c>
      <c r="G445" s="5">
        <v>-2.2114883577491087</v>
      </c>
      <c r="H445" s="5">
        <v>2.940195192678652</v>
      </c>
      <c r="I445" s="5">
        <v>-0.8394200101863144</v>
      </c>
      <c r="J445" s="5">
        <v>2.912204933207618</v>
      </c>
      <c r="K445" s="5">
        <v>26.675732214952784</v>
      </c>
      <c r="L445" s="9" t="b">
        <v>0</v>
      </c>
    </row>
    <row r="446" ht="15.75" customHeight="1">
      <c r="A446" s="5">
        <v>6.0</v>
      </c>
      <c r="B446" s="5">
        <v>20173.0</v>
      </c>
      <c r="C446" s="5">
        <v>4546.8936279648215</v>
      </c>
      <c r="D446" s="5">
        <v>3606.960763378978</v>
      </c>
      <c r="E446" s="5">
        <v>-0.7499961586620585</v>
      </c>
      <c r="F446" s="5">
        <v>-1.7786089020899758</v>
      </c>
      <c r="G446" s="5">
        <v>-2.9130588378340483</v>
      </c>
      <c r="H446" s="5">
        <v>0.8277364870654225</v>
      </c>
      <c r="I446" s="5">
        <v>-0.4484592176512143</v>
      </c>
      <c r="J446" s="5">
        <v>2.222918375065877</v>
      </c>
      <c r="K446" s="5">
        <v>26.058860249572557</v>
      </c>
      <c r="L446" s="9" t="b">
        <v>0</v>
      </c>
    </row>
    <row r="447" ht="15.75" customHeight="1">
      <c r="A447" s="5">
        <v>6.0</v>
      </c>
      <c r="B447" s="5">
        <v>20174.0</v>
      </c>
      <c r="C447" s="5">
        <v>4689.069236474604</v>
      </c>
      <c r="D447" s="5">
        <v>3609.2764351483497</v>
      </c>
      <c r="E447" s="5">
        <v>2.8532315361064153</v>
      </c>
      <c r="F447" s="5">
        <v>-0.7354645536088277</v>
      </c>
      <c r="G447" s="5">
        <v>-1.4401072188110375</v>
      </c>
      <c r="H447" s="5">
        <v>5.97084733937312</v>
      </c>
      <c r="I447" s="5">
        <v>1.786645468336737</v>
      </c>
      <c r="J447" s="5">
        <v>4.129506398337442</v>
      </c>
      <c r="K447" s="5">
        <v>29.917154330736984</v>
      </c>
      <c r="L447" s="9" t="b">
        <v>0</v>
      </c>
    </row>
    <row r="448" ht="15.75" customHeight="1">
      <c r="A448" s="5">
        <v>6.0</v>
      </c>
      <c r="B448" s="5">
        <v>20181.0</v>
      </c>
      <c r="C448" s="5">
        <v>4591.489258892441</v>
      </c>
      <c r="D448" s="5">
        <v>3716.815710224697</v>
      </c>
      <c r="E448" s="5">
        <v>-0.49025059800299475</v>
      </c>
      <c r="F448" s="5">
        <v>-0.34727762554782604</v>
      </c>
      <c r="G448" s="5">
        <v>-0.6773596456901287</v>
      </c>
      <c r="H448" s="5">
        <v>8.08821119093266</v>
      </c>
      <c r="I448" s="5">
        <v>4.456747552512464</v>
      </c>
      <c r="J448" s="5">
        <v>6.856273782625228</v>
      </c>
      <c r="K448" s="5">
        <v>23.532873751625072</v>
      </c>
      <c r="L448" s="9" t="b">
        <v>0</v>
      </c>
    </row>
    <row r="449" ht="15.75" customHeight="1">
      <c r="A449" s="5">
        <v>6.0</v>
      </c>
      <c r="B449" s="5">
        <v>20182.0</v>
      </c>
      <c r="C449" s="5">
        <v>4798.0</v>
      </c>
      <c r="D449" s="5">
        <v>3768.3421926424458</v>
      </c>
      <c r="E449" s="5">
        <v>5.570709184266787</v>
      </c>
      <c r="F449" s="5">
        <v>1.7959234909270372</v>
      </c>
      <c r="G449" s="5">
        <v>3.208588156182052</v>
      </c>
      <c r="H449" s="5">
        <v>5.033285732655068</v>
      </c>
      <c r="I449" s="5">
        <v>4.980020187506568</v>
      </c>
      <c r="J449" s="5">
        <v>5.819440197692883</v>
      </c>
      <c r="K449" s="5">
        <v>27.323893497992955</v>
      </c>
      <c r="L449" s="9" t="b">
        <v>0</v>
      </c>
    </row>
    <row r="450" ht="15.75" customHeight="1">
      <c r="A450" s="5">
        <v>6.0</v>
      </c>
      <c r="B450" s="5">
        <v>20183.0</v>
      </c>
      <c r="C450" s="5">
        <v>4804.822879549007</v>
      </c>
      <c r="D450" s="5">
        <v>3831.243732461878</v>
      </c>
      <c r="E450" s="5">
        <v>5.672647585108215</v>
      </c>
      <c r="F450" s="5">
        <v>3.401584426869605</v>
      </c>
      <c r="G450" s="5">
        <v>5.1801933289595805</v>
      </c>
      <c r="H450" s="5">
        <v>6.218059574143897</v>
      </c>
      <c r="I450" s="5">
        <v>6.327600959276187</v>
      </c>
      <c r="J450" s="5">
        <v>6.776060176927401</v>
      </c>
      <c r="K450" s="5">
        <v>25.41156906406283</v>
      </c>
      <c r="L450" s="9" t="b">
        <v>0</v>
      </c>
    </row>
    <row r="451" ht="15.75" customHeight="1">
      <c r="A451" s="5">
        <v>6.0</v>
      </c>
      <c r="B451" s="5">
        <v>20184.0</v>
      </c>
      <c r="C451" s="5">
        <v>4967.077230850427</v>
      </c>
      <c r="D451" s="5">
        <v>3856.097144251904</v>
      </c>
      <c r="E451" s="5">
        <v>5.928852408774388</v>
      </c>
      <c r="F451" s="5">
        <v>4.170489645036598</v>
      </c>
      <c r="G451" s="5">
        <v>4.905954198645426</v>
      </c>
      <c r="H451" s="5">
        <v>6.838509422551597</v>
      </c>
      <c r="I451" s="5">
        <v>6.544516480070806</v>
      </c>
      <c r="J451" s="5">
        <v>4.7578710117340695</v>
      </c>
      <c r="K451" s="5">
        <v>28.810998401702804</v>
      </c>
      <c r="L451" s="9" t="b">
        <v>0</v>
      </c>
    </row>
    <row r="452" ht="15.75" customHeight="1">
      <c r="A452" s="5">
        <v>6.0</v>
      </c>
      <c r="B452" s="5">
        <v>20191.0</v>
      </c>
      <c r="C452" s="5">
        <v>4999.162510448252</v>
      </c>
      <c r="D452" s="5">
        <v>3955.061464892822</v>
      </c>
      <c r="E452" s="5">
        <v>8.878889366151954</v>
      </c>
      <c r="F452" s="5">
        <v>6.512774636075336</v>
      </c>
      <c r="G452" s="5">
        <v>6.860052261623162</v>
      </c>
      <c r="H452" s="5">
        <v>6.409942629459087</v>
      </c>
      <c r="I452" s="5">
        <v>6.124949339702413</v>
      </c>
      <c r="J452" s="5">
        <v>1.6682017871899486</v>
      </c>
      <c r="K452" s="5">
        <v>26.39911047712942</v>
      </c>
      <c r="L452" s="9" t="b">
        <v>0</v>
      </c>
    </row>
    <row r="453" ht="15.75" customHeight="1">
      <c r="A453" s="5">
        <v>6.0</v>
      </c>
      <c r="B453" s="5">
        <v>20192.0</v>
      </c>
      <c r="C453" s="5">
        <v>5020.152214901847</v>
      </c>
      <c r="D453" s="5">
        <v>4016.754764143668</v>
      </c>
      <c r="E453" s="5">
        <v>4.630100352268607</v>
      </c>
      <c r="F453" s="5">
        <v>6.277622428075791</v>
      </c>
      <c r="G453" s="5">
        <v>4.481698937148754</v>
      </c>
      <c r="H453" s="5">
        <v>6.592091662647803</v>
      </c>
      <c r="I453" s="5">
        <v>6.514650822200597</v>
      </c>
      <c r="J453" s="5">
        <v>1.5346306346940288</v>
      </c>
      <c r="K453" s="5">
        <v>24.980301503970303</v>
      </c>
      <c r="L453" s="9" t="b">
        <v>0</v>
      </c>
    </row>
    <row r="454" ht="15.75" customHeight="1">
      <c r="A454" s="5">
        <v>6.0</v>
      </c>
      <c r="B454" s="5">
        <v>20193.0</v>
      </c>
      <c r="C454" s="5">
        <v>5220.400743309056</v>
      </c>
      <c r="D454" s="5">
        <v>4346.888825020119</v>
      </c>
      <c r="E454" s="5">
        <v>8.649181752961033</v>
      </c>
      <c r="F454" s="5">
        <v>7.0217559700389955</v>
      </c>
      <c r="G454" s="5">
        <v>3.6201715431693904</v>
      </c>
      <c r="H454" s="5">
        <v>13.458947761250828</v>
      </c>
      <c r="I454" s="5">
        <v>8.32487286897733</v>
      </c>
      <c r="J454" s="5">
        <v>1.9972719097011433</v>
      </c>
      <c r="K454" s="5">
        <v>20.09510602758271</v>
      </c>
      <c r="L454" s="9" t="b">
        <v>0</v>
      </c>
    </row>
    <row r="455" ht="15.75" customHeight="1">
      <c r="A455" s="5">
        <v>6.0</v>
      </c>
      <c r="B455" s="5">
        <v>20194.0</v>
      </c>
      <c r="C455" s="5">
        <v>5295.153754284564</v>
      </c>
      <c r="D455" s="5">
        <v>4456.280781058055</v>
      </c>
      <c r="E455" s="5">
        <v>6.605021588882476</v>
      </c>
      <c r="F455" s="5">
        <v>7.190798265066018</v>
      </c>
      <c r="G455" s="5">
        <v>3.02030862002942</v>
      </c>
      <c r="H455" s="5">
        <v>15.564536222870217</v>
      </c>
      <c r="I455" s="5">
        <v>10.506379569056985</v>
      </c>
      <c r="J455" s="5">
        <v>3.9618630889861794</v>
      </c>
      <c r="K455" s="5">
        <v>18.824508922154017</v>
      </c>
      <c r="L455" s="9" t="b">
        <v>0</v>
      </c>
    </row>
    <row r="456" ht="15.75" customHeight="1">
      <c r="A456" s="5">
        <v>6.0</v>
      </c>
      <c r="B456" s="5">
        <v>20201.0</v>
      </c>
      <c r="C456" s="5">
        <v>5424.637738040608</v>
      </c>
      <c r="D456" s="5">
        <v>4587.968036384372</v>
      </c>
      <c r="E456" s="5">
        <v>8.510930114856507</v>
      </c>
      <c r="F456" s="5">
        <v>7.098808452242156</v>
      </c>
      <c r="G456" s="5">
        <v>0.5860338161668199</v>
      </c>
      <c r="H456" s="5">
        <v>16.002445906582153</v>
      </c>
      <c r="I456" s="5">
        <v>12.904505388337752</v>
      </c>
      <c r="J456" s="5">
        <v>6.779556048635339</v>
      </c>
      <c r="K456" s="5">
        <v>18.236171111505573</v>
      </c>
      <c r="L456" s="9" t="b">
        <v>0</v>
      </c>
    </row>
    <row r="457" ht="15.75" customHeight="1">
      <c r="A457" s="5">
        <v>6.0</v>
      </c>
      <c r="B457" s="5">
        <v>20202.0</v>
      </c>
      <c r="C457" s="5">
        <v>5573.063876814057</v>
      </c>
      <c r="D457" s="5">
        <v>4767.877758305341</v>
      </c>
      <c r="E457" s="5">
        <v>11.013842573755905</v>
      </c>
      <c r="F457" s="5">
        <v>8.69474400761398</v>
      </c>
      <c r="G457" s="5">
        <v>2.4171215795381897</v>
      </c>
      <c r="H457" s="5">
        <v>18.699747389776334</v>
      </c>
      <c r="I457" s="5">
        <v>15.931419320119884</v>
      </c>
      <c r="J457" s="5">
        <v>9.416768497919287</v>
      </c>
      <c r="K457" s="5">
        <v>16.88772572044519</v>
      </c>
      <c r="L457" s="9" t="b">
        <v>0</v>
      </c>
    </row>
    <row r="458" ht="15.75" customHeight="1">
      <c r="A458" s="5">
        <v>6.0</v>
      </c>
      <c r="B458" s="5">
        <v>20203.0</v>
      </c>
      <c r="C458" s="5">
        <v>5724.949637256607</v>
      </c>
      <c r="D458" s="5">
        <v>4782.503263332601</v>
      </c>
      <c r="E458" s="5">
        <v>9.664945638401946</v>
      </c>
      <c r="F458" s="5">
        <v>8.948684978974208</v>
      </c>
      <c r="G458" s="5">
        <v>1.926929008935213</v>
      </c>
      <c r="H458" s="5">
        <v>10.021292373643021</v>
      </c>
      <c r="I458" s="5">
        <v>15.072005473217933</v>
      </c>
      <c r="J458" s="5">
        <v>6.747132604240603</v>
      </c>
      <c r="K458" s="5">
        <v>19.706131329793998</v>
      </c>
      <c r="L458" s="9" t="b">
        <v>0</v>
      </c>
    </row>
    <row r="459" ht="15.75" customHeight="1">
      <c r="A459" s="5">
        <v>6.0</v>
      </c>
      <c r="B459" s="5">
        <v>20204.0</v>
      </c>
      <c r="C459" s="5">
        <v>5920.388304321694</v>
      </c>
      <c r="D459" s="5">
        <v>4869.184894648099</v>
      </c>
      <c r="E459" s="5">
        <v>11.807675075180256</v>
      </c>
      <c r="F459" s="5">
        <v>10.249348350548654</v>
      </c>
      <c r="G459" s="5">
        <v>3.0585500854826364</v>
      </c>
      <c r="H459" s="5">
        <v>9.265666457668932</v>
      </c>
      <c r="I459" s="5">
        <v>13.497288031917613</v>
      </c>
      <c r="J459" s="5">
        <v>2.9909084628606273</v>
      </c>
      <c r="K459" s="5">
        <v>21.588899013241658</v>
      </c>
      <c r="L459" s="9" t="b">
        <v>0</v>
      </c>
    </row>
    <row r="460" ht="15.75" customHeight="1">
      <c r="A460" s="5">
        <v>6.0</v>
      </c>
      <c r="B460" s="5">
        <v>20211.0</v>
      </c>
      <c r="C460" s="5">
        <v>5982.056423370471</v>
      </c>
      <c r="D460" s="5">
        <v>4926.95236694781</v>
      </c>
      <c r="E460" s="5">
        <v>10.27568498115421</v>
      </c>
      <c r="F460" s="5">
        <v>10.69053706712308</v>
      </c>
      <c r="G460" s="5">
        <v>3.5917286148809238</v>
      </c>
      <c r="H460" s="5">
        <v>7.388550396933047</v>
      </c>
      <c r="I460" s="5">
        <v>11.343814154505335</v>
      </c>
      <c r="J460" s="5">
        <v>-1.5606912338324168</v>
      </c>
      <c r="K460" s="5">
        <v>21.414943312640244</v>
      </c>
      <c r="L460" s="9" t="b">
        <v>0</v>
      </c>
    </row>
    <row r="461" ht="15.75" customHeight="1">
      <c r="A461" s="5">
        <v>6.0</v>
      </c>
      <c r="B461" s="5">
        <v>20212.0</v>
      </c>
      <c r="C461" s="5">
        <v>6297.292186042405</v>
      </c>
      <c r="D461" s="5">
        <v>5179.779263654768</v>
      </c>
      <c r="E461" s="5">
        <v>12.99515536223077</v>
      </c>
      <c r="F461" s="5">
        <v>11.185865264241796</v>
      </c>
      <c r="G461" s="5">
        <v>2.4911212566278156</v>
      </c>
      <c r="H461" s="5">
        <v>8.639095342407256</v>
      </c>
      <c r="I461" s="5">
        <v>8.828651142663066</v>
      </c>
      <c r="J461" s="5">
        <v>-7.102768177456818</v>
      </c>
      <c r="K461" s="5">
        <v>21.574527899846018</v>
      </c>
      <c r="L461" s="9" t="b">
        <v>0</v>
      </c>
    </row>
    <row r="462" ht="15.75" customHeight="1">
      <c r="A462" s="5">
        <v>6.0</v>
      </c>
      <c r="B462" s="5">
        <v>20213.0</v>
      </c>
      <c r="C462" s="5">
        <v>6530.053615854071</v>
      </c>
      <c r="D462" s="5">
        <v>5331.340957092814</v>
      </c>
      <c r="E462" s="5">
        <v>14.063075303895056</v>
      </c>
      <c r="F462" s="5">
        <v>12.285397680615073</v>
      </c>
      <c r="G462" s="5">
        <v>3.336712701640865</v>
      </c>
      <c r="H462" s="5">
        <v>11.47595021979695</v>
      </c>
      <c r="I462" s="5">
        <v>9.192315604201548</v>
      </c>
      <c r="J462" s="5">
        <v>-5.879689869016385</v>
      </c>
      <c r="K462" s="5">
        <v>22.484261809713924</v>
      </c>
      <c r="L462" s="9" t="b">
        <v>0</v>
      </c>
    </row>
    <row r="463" ht="15.75" customHeight="1">
      <c r="A463" s="5">
        <v>6.0</v>
      </c>
      <c r="B463" s="5">
        <v>20214.0</v>
      </c>
      <c r="C463" s="5">
        <v>6718.46186589984</v>
      </c>
      <c r="D463" s="5">
        <v>5629.131769166789</v>
      </c>
      <c r="E463" s="5">
        <v>13.480088138738777</v>
      </c>
      <c r="F463" s="5">
        <v>12.703500946504704</v>
      </c>
      <c r="G463" s="5">
        <v>2.4541525959560495</v>
      </c>
      <c r="H463" s="5">
        <v>15.60727084637874</v>
      </c>
      <c r="I463" s="5">
        <v>10.777716701379</v>
      </c>
      <c r="J463" s="5">
        <v>-2.7195713305386136</v>
      </c>
      <c r="K463" s="5">
        <v>19.35165388559186</v>
      </c>
      <c r="L463" s="9" t="b">
        <v>0</v>
      </c>
    </row>
    <row r="464" ht="15.75" customHeight="1">
      <c r="A464" s="5">
        <v>6.0</v>
      </c>
      <c r="B464" s="5">
        <v>20221.0</v>
      </c>
      <c r="C464" s="5">
        <v>6928.761642864786</v>
      </c>
      <c r="D464" s="5">
        <v>5903.27871332609</v>
      </c>
      <c r="E464" s="5">
        <v>15.825748747466895</v>
      </c>
      <c r="F464" s="5">
        <v>14.091016888082873</v>
      </c>
      <c r="G464" s="5">
        <v>3.4004798209597933</v>
      </c>
      <c r="H464" s="5">
        <v>19.816029741385588</v>
      </c>
      <c r="I464" s="5">
        <v>13.884586537492135</v>
      </c>
      <c r="J464" s="5">
        <v>2.5407723829868</v>
      </c>
      <c r="K464" s="5">
        <v>17.371413062774188</v>
      </c>
      <c r="L464" s="9" t="b">
        <v>0</v>
      </c>
    </row>
    <row r="465" ht="15.75" customHeight="1">
      <c r="A465" s="5">
        <v>6.0</v>
      </c>
      <c r="B465" s="5">
        <v>20222.0</v>
      </c>
      <c r="C465" s="5">
        <v>7108.4203148248525</v>
      </c>
      <c r="D465" s="5">
        <v>6139.440401463032</v>
      </c>
      <c r="E465" s="5">
        <v>12.88058589023815</v>
      </c>
      <c r="F465" s="5">
        <v>14.062374520084719</v>
      </c>
      <c r="G465" s="5">
        <v>2.8765092558429224</v>
      </c>
      <c r="H465" s="5">
        <v>18.52706628913645</v>
      </c>
      <c r="I465" s="5">
        <v>16.356579274174436</v>
      </c>
      <c r="J465" s="5">
        <v>7.52792813151137</v>
      </c>
      <c r="K465" s="5">
        <v>15.782870261773564</v>
      </c>
      <c r="L465" s="9" t="b">
        <v>0</v>
      </c>
    </row>
    <row r="466" ht="15.75" customHeight="1">
      <c r="A466" s="5">
        <v>6.0</v>
      </c>
      <c r="B466" s="5">
        <v>20223.0</v>
      </c>
      <c r="C466" s="5">
        <v>8043.377183984608</v>
      </c>
      <c r="D466" s="5">
        <v>6303.555923271642</v>
      </c>
      <c r="E466" s="5">
        <v>23.17474950674825</v>
      </c>
      <c r="F466" s="5">
        <v>16.34029307079802</v>
      </c>
      <c r="G466" s="5">
        <v>4.054895390182946</v>
      </c>
      <c r="H466" s="5">
        <v>18.23584298965899</v>
      </c>
      <c r="I466" s="5">
        <v>18.046552466639945</v>
      </c>
      <c r="J466" s="5">
        <v>8.854236862438396</v>
      </c>
      <c r="K466" s="5">
        <v>27.600631800375485</v>
      </c>
      <c r="L466" s="9" t="b">
        <v>0</v>
      </c>
    </row>
    <row r="467" ht="15.75" customHeight="1">
      <c r="A467" s="5">
        <v>6.0</v>
      </c>
      <c r="B467" s="5">
        <v>20224.0</v>
      </c>
      <c r="C467" s="5">
        <v>8282.20170163562</v>
      </c>
      <c r="D467" s="5">
        <v>6260.709326099063</v>
      </c>
      <c r="E467" s="5">
        <v>23.275265484093666</v>
      </c>
      <c r="F467" s="5">
        <v>18.78908740713674</v>
      </c>
      <c r="G467" s="5">
        <v>6.085586460632037</v>
      </c>
      <c r="H467" s="5">
        <v>11.21980409823944</v>
      </c>
      <c r="I467" s="5">
        <v>16.94968577960512</v>
      </c>
      <c r="J467" s="5">
        <v>6.17196907822612</v>
      </c>
      <c r="K467" s="5">
        <v>32.28855182765869</v>
      </c>
      <c r="L467" s="9" t="b">
        <v>0</v>
      </c>
    </row>
    <row r="468" ht="15.75" customHeight="1">
      <c r="A468" s="5">
        <v>6.0</v>
      </c>
      <c r="B468" s="5">
        <v>20231.0</v>
      </c>
      <c r="C468" s="5">
        <v>8200.709629491268</v>
      </c>
      <c r="D468" s="5">
        <v>6340.173575919621</v>
      </c>
      <c r="E468" s="5">
        <v>18.357508198255456</v>
      </c>
      <c r="F468" s="5">
        <v>19.42202726983388</v>
      </c>
      <c r="G468" s="5">
        <v>5.331010381751007</v>
      </c>
      <c r="H468" s="5">
        <v>7.400884894817561</v>
      </c>
      <c r="I468" s="5">
        <v>13.845899567963112</v>
      </c>
      <c r="J468" s="5">
        <v>-0.03868696952902262</v>
      </c>
      <c r="K468" s="5">
        <v>29.34519112596665</v>
      </c>
      <c r="L468" s="9" t="b">
        <v>0</v>
      </c>
    </row>
    <row r="469" ht="15.75" customHeight="1">
      <c r="A469" s="5">
        <v>6.0</v>
      </c>
      <c r="B469" s="5">
        <v>20232.0</v>
      </c>
      <c r="C469" s="5">
        <v>8431.934622959478</v>
      </c>
      <c r="D469" s="5">
        <v>6329.904957111454</v>
      </c>
      <c r="E469" s="5">
        <v>18.618965248500995</v>
      </c>
      <c r="F469" s="5">
        <v>20.85662210939959</v>
      </c>
      <c r="G469" s="5">
        <v>6.794247589314873</v>
      </c>
      <c r="H469" s="5">
        <v>3.1023113377407263</v>
      </c>
      <c r="I469" s="5">
        <v>9.98971083011418</v>
      </c>
      <c r="J469" s="5">
        <v>-6.366868444060255</v>
      </c>
      <c r="K469" s="5">
        <v>33.2079182877218</v>
      </c>
      <c r="L469" s="9" t="b">
        <v>0</v>
      </c>
    </row>
    <row r="470" ht="15.75" customHeight="1">
      <c r="A470" s="5">
        <v>6.0</v>
      </c>
      <c r="B470" s="5">
        <v>20233.0</v>
      </c>
      <c r="C470" s="5">
        <v>8491.840537609425</v>
      </c>
      <c r="D470" s="5">
        <v>6523.4675519517605</v>
      </c>
      <c r="E470" s="5">
        <v>5.575560406613356</v>
      </c>
      <c r="F470" s="5">
        <v>16.456824834365868</v>
      </c>
      <c r="G470" s="5">
        <v>0.11653176356784911</v>
      </c>
      <c r="H470" s="5">
        <v>3.488691642573394</v>
      </c>
      <c r="I470" s="5">
        <v>6.302922993342782</v>
      </c>
      <c r="J470" s="5">
        <v>-11.743629473297162</v>
      </c>
      <c r="K470" s="5">
        <v>30.173722333741757</v>
      </c>
      <c r="L470" s="9" t="b">
        <v>0</v>
      </c>
    </row>
    <row r="471" ht="15.75" customHeight="1">
      <c r="A471" s="5">
        <v>6.0</v>
      </c>
      <c r="B471" s="5">
        <v>20234.0</v>
      </c>
      <c r="C471" s="5">
        <v>8208.391228346125</v>
      </c>
      <c r="D471" s="5">
        <v>6983.580385109693</v>
      </c>
      <c r="E471" s="5">
        <v>-0.8911938630390859</v>
      </c>
      <c r="F471" s="5">
        <v>10.41520999758268</v>
      </c>
      <c r="G471" s="5">
        <v>-8.37387740955406</v>
      </c>
      <c r="H471" s="5">
        <v>11.546152701854284</v>
      </c>
      <c r="I471" s="5">
        <v>6.384510144246493</v>
      </c>
      <c r="J471" s="5">
        <v>-10.565175635358626</v>
      </c>
      <c r="K471" s="5">
        <v>17.53843695775248</v>
      </c>
      <c r="L471" s="9" t="b">
        <v>0</v>
      </c>
    </row>
    <row r="472" ht="15.75" customHeight="1">
      <c r="A472" s="5">
        <v>6.0</v>
      </c>
      <c r="B472" s="5">
        <v>20241.0</v>
      </c>
      <c r="C472" s="5">
        <v>8577.756452067853</v>
      </c>
      <c r="D472" s="5">
        <v>7351.362092195773</v>
      </c>
      <c r="E472" s="5">
        <v>4.597734093896655</v>
      </c>
      <c r="F472" s="5">
        <v>6.97526647149298</v>
      </c>
      <c r="G472" s="5">
        <v>-12.4467607983409</v>
      </c>
      <c r="H472" s="5">
        <v>15.948909034867897</v>
      </c>
      <c r="I472" s="5">
        <v>8.521516179259077</v>
      </c>
      <c r="J472" s="5">
        <v>-5.324383388704035</v>
      </c>
      <c r="K472" s="5">
        <v>16.68254596211529</v>
      </c>
      <c r="L472" s="9" t="b">
        <v>0</v>
      </c>
    </row>
    <row r="473" ht="15.75" customHeight="1">
      <c r="A473" s="5">
        <v>6.0</v>
      </c>
      <c r="B473" s="5">
        <v>20242.0</v>
      </c>
      <c r="C473" s="5">
        <v>9446.26963043983</v>
      </c>
      <c r="D473" s="5">
        <v>7958.822612109005</v>
      </c>
      <c r="E473" s="5">
        <v>12.02968301863252</v>
      </c>
      <c r="F473" s="5">
        <v>5.327945914025861</v>
      </c>
      <c r="G473" s="5">
        <v>-15.52867619537373</v>
      </c>
      <c r="H473" s="5">
        <v>25.733682670345814</v>
      </c>
      <c r="I473" s="5">
        <v>14.179359012410348</v>
      </c>
      <c r="J473" s="5">
        <v>4.1896481822961675</v>
      </c>
      <c r="K473" s="5">
        <v>18.689284719925013</v>
      </c>
      <c r="L473" s="9" t="b">
        <v>0</v>
      </c>
    </row>
    <row r="474" ht="15.75" customHeight="1">
      <c r="A474" s="5">
        <v>6.0</v>
      </c>
      <c r="B474" s="5">
        <v>20243.0</v>
      </c>
      <c r="C474" s="5">
        <v>9475.920215798224</v>
      </c>
      <c r="D474" s="5">
        <v>7933.630930447165</v>
      </c>
      <c r="E474" s="5">
        <v>11.588532236685545</v>
      </c>
      <c r="F474" s="5">
        <v>6.831188871543908</v>
      </c>
      <c r="G474" s="5">
        <v>-9.62563596282196</v>
      </c>
      <c r="H474" s="5">
        <v>21.61677615877</v>
      </c>
      <c r="I474" s="5">
        <v>18.7113801414595</v>
      </c>
      <c r="J474" s="5">
        <v>12.408457148116717</v>
      </c>
      <c r="K474" s="5">
        <v>19.439892010002158</v>
      </c>
      <c r="L474" s="9" t="b">
        <v>0</v>
      </c>
    </row>
    <row r="475" ht="15.75" customHeight="1">
      <c r="A475" s="5">
        <v>6.0</v>
      </c>
      <c r="B475" s="5">
        <v>20244.0</v>
      </c>
      <c r="C475" s="5">
        <v>10287.600969898887</v>
      </c>
      <c r="D475" s="5">
        <v>8128.390474347525</v>
      </c>
      <c r="E475" s="5">
        <v>25.330295349137423</v>
      </c>
      <c r="F475" s="5">
        <v>13.386561174588035</v>
      </c>
      <c r="G475" s="5">
        <v>2.9713511770053547</v>
      </c>
      <c r="H475" s="5">
        <v>16.39288196179114</v>
      </c>
      <c r="I475" s="5">
        <v>19.923062456443716</v>
      </c>
      <c r="J475" s="5">
        <v>13.538552312197224</v>
      </c>
      <c r="K475" s="5">
        <v>26.563813615569252</v>
      </c>
      <c r="L475" s="9" t="b">
        <v>0</v>
      </c>
    </row>
    <row r="476" ht="15.75" customHeight="1">
      <c r="A476" s="5">
        <v>6.0</v>
      </c>
      <c r="B476" s="5">
        <v>20251.0</v>
      </c>
      <c r="C476" s="5">
        <v>10073.949098525143</v>
      </c>
      <c r="D476" s="5">
        <v>8100.0069084470015</v>
      </c>
      <c r="E476" s="5">
        <v>17.44270375147572</v>
      </c>
      <c r="F476" s="5">
        <v>16.5978035889828</v>
      </c>
      <c r="G476" s="5">
        <v>9.62253711748982</v>
      </c>
      <c r="H476" s="5">
        <v>10.183756518346332</v>
      </c>
      <c r="I476" s="5">
        <v>18.481774327313325</v>
      </c>
      <c r="J476" s="5">
        <v>9.960258148054248</v>
      </c>
      <c r="K476" s="5">
        <v>24.36963588289831</v>
      </c>
      <c r="L476" s="9" t="b">
        <v>0</v>
      </c>
    </row>
    <row r="477" ht="15.75" customHeight="1">
      <c r="A477" s="5">
        <v>6.0</v>
      </c>
      <c r="B477" s="5">
        <v>20252.0</v>
      </c>
      <c r="C477" s="5">
        <v>9661.342981437108</v>
      </c>
      <c r="D477" s="5">
        <v>8013.998522512147</v>
      </c>
      <c r="E477" s="5">
        <v>2.276807241497969</v>
      </c>
      <c r="F477" s="5">
        <v>14.159584644699164</v>
      </c>
      <c r="G477" s="5">
        <v>8.831638730673303</v>
      </c>
      <c r="H477" s="5">
        <v>0.6932672468311418</v>
      </c>
      <c r="I477" s="5">
        <v>12.221670471434656</v>
      </c>
      <c r="J477" s="5">
        <v>-1.957688540975692</v>
      </c>
      <c r="K477" s="5">
        <v>20.555836818504524</v>
      </c>
      <c r="L477" s="9" t="b">
        <v>0</v>
      </c>
    </row>
    <row r="478" ht="15.75" customHeight="1">
      <c r="A478" s="5">
        <v>6.0</v>
      </c>
      <c r="B478" s="5">
        <v>20253.0</v>
      </c>
      <c r="C478" s="5">
        <v>9752.548521689734</v>
      </c>
      <c r="D478" s="5">
        <v>8247.264452744745</v>
      </c>
      <c r="E478" s="5">
        <v>2.9192764353409784</v>
      </c>
      <c r="F478" s="5">
        <v>11.992270694363022</v>
      </c>
      <c r="G478" s="5">
        <v>5.1610818228191135</v>
      </c>
      <c r="H478" s="5">
        <v>3.9532154324690927</v>
      </c>
      <c r="I478" s="5">
        <v>7.805780289859428</v>
      </c>
      <c r="J478" s="5">
        <v>-10.905599851600073</v>
      </c>
      <c r="K478" s="5">
        <v>18.251919500944602</v>
      </c>
      <c r="L478" s="9" t="b">
        <v>0</v>
      </c>
    </row>
    <row r="479" ht="15.75" customHeight="1">
      <c r="A479" s="5">
        <v>6.0</v>
      </c>
      <c r="B479" s="5">
        <v>20254.0</v>
      </c>
      <c r="C479" s="5">
        <v>10113.857882457029</v>
      </c>
      <c r="D479" s="5">
        <v>8085.794719222709</v>
      </c>
      <c r="E479" s="5">
        <v>-1.6888591222601224</v>
      </c>
      <c r="F479" s="5">
        <v>5.237482076513636</v>
      </c>
      <c r="G479" s="5">
        <v>-8.149079098074399</v>
      </c>
      <c r="H479" s="5">
        <v>-0.5240367728302942</v>
      </c>
      <c r="I479" s="5">
        <v>3.5765506062040697</v>
      </c>
      <c r="J479" s="5">
        <v>-16.346511850239647</v>
      </c>
      <c r="K479" s="5">
        <v>25.081803751620324</v>
      </c>
      <c r="L479" s="9" t="b">
        <v>0</v>
      </c>
    </row>
    <row r="480" ht="15.75" customHeight="1">
      <c r="A480" s="5">
        <v>6.0</v>
      </c>
      <c r="B480" s="5">
        <v>20261.0</v>
      </c>
      <c r="C480" s="5">
        <v>10539.357340966748</v>
      </c>
      <c r="D480" s="5">
        <v>8124.581127329559</v>
      </c>
      <c r="E480" s="5">
        <v>4.619918543262669</v>
      </c>
      <c r="F480" s="5">
        <v>2.0317857744603733</v>
      </c>
      <c r="G480" s="5">
        <v>-14.566017814522425</v>
      </c>
      <c r="H480" s="5">
        <v>0.3033851595475978</v>
      </c>
      <c r="I480" s="5">
        <v>1.1064577665043864</v>
      </c>
      <c r="J480" s="5">
        <v>-17.375316560808937</v>
      </c>
      <c r="K480" s="5">
        <v>29.721854896793843</v>
      </c>
      <c r="L480" s="9" t="b">
        <v>0</v>
      </c>
    </row>
    <row r="481" ht="15.75" customHeight="1">
      <c r="A481" s="5">
        <v>6.0</v>
      </c>
      <c r="B481" s="5">
        <v>20262.0</v>
      </c>
      <c r="C481" s="5">
        <v>10401.898854973932</v>
      </c>
      <c r="D481" s="5">
        <v>8192.64608455164</v>
      </c>
      <c r="E481" s="5">
        <v>7.665144224355713</v>
      </c>
      <c r="F481" s="5">
        <v>3.3788700201748094</v>
      </c>
      <c r="G481" s="5">
        <v>-10.780714624524354</v>
      </c>
      <c r="H481" s="5">
        <v>2.2291938479605644</v>
      </c>
      <c r="I481" s="5">
        <v>1.4904394167867419</v>
      </c>
      <c r="J481" s="5">
        <v>-10.731231054647914</v>
      </c>
      <c r="K481" s="5">
        <v>26.966290837195352</v>
      </c>
      <c r="L481" s="9" t="b">
        <v>0</v>
      </c>
    </row>
    <row r="482" ht="15.75" customHeight="1">
      <c r="A482" s="5">
        <v>7.0</v>
      </c>
      <c r="B482" s="5">
        <v>20063.0</v>
      </c>
      <c r="C482" s="5">
        <v>6816.0</v>
      </c>
      <c r="D482" s="5">
        <v>4928.245767985025</v>
      </c>
      <c r="K482" s="5">
        <v>38.30479080970848</v>
      </c>
      <c r="L482" s="9" t="b">
        <v>0</v>
      </c>
    </row>
    <row r="483" ht="15.75" customHeight="1">
      <c r="A483" s="5">
        <v>7.0</v>
      </c>
      <c r="B483" s="5">
        <v>20064.0</v>
      </c>
      <c r="C483" s="5">
        <v>7089.0</v>
      </c>
      <c r="D483" s="5">
        <v>5683.907089484757</v>
      </c>
      <c r="K483" s="5">
        <v>24.720546771685758</v>
      </c>
      <c r="L483" s="9" t="b">
        <v>0</v>
      </c>
    </row>
    <row r="484" ht="15.75" customHeight="1">
      <c r="A484" s="5">
        <v>7.0</v>
      </c>
      <c r="B484" s="5">
        <v>20071.0</v>
      </c>
      <c r="C484" s="5">
        <v>7192.0</v>
      </c>
      <c r="D484" s="5">
        <v>6407.726723592168</v>
      </c>
      <c r="K484" s="5">
        <v>12.239493196866057</v>
      </c>
      <c r="L484" s="9" t="b">
        <v>0</v>
      </c>
    </row>
    <row r="485" ht="15.75" customHeight="1">
      <c r="A485" s="5">
        <v>7.0</v>
      </c>
      <c r="B485" s="5">
        <v>20072.0</v>
      </c>
      <c r="C485" s="5">
        <v>7856.0</v>
      </c>
      <c r="D485" s="5">
        <v>6954.3354265923845</v>
      </c>
      <c r="K485" s="5">
        <v>12.965503072511853</v>
      </c>
      <c r="L485" s="9" t="b">
        <v>0</v>
      </c>
    </row>
    <row r="486" ht="15.75" customHeight="1">
      <c r="A486" s="5">
        <v>7.0</v>
      </c>
      <c r="B486" s="5">
        <v>20073.0</v>
      </c>
      <c r="C486" s="5">
        <v>8060.0</v>
      </c>
      <c r="D486" s="5">
        <v>7143.629475707823</v>
      </c>
      <c r="E486" s="5">
        <v>18.2511737089202</v>
      </c>
      <c r="H486" s="5">
        <v>44.95278466253492</v>
      </c>
      <c r="K486" s="5">
        <v>12.82780031366868</v>
      </c>
      <c r="L486" s="9" t="b">
        <v>0</v>
      </c>
    </row>
    <row r="487" ht="15.75" customHeight="1">
      <c r="A487" s="5">
        <v>7.0</v>
      </c>
      <c r="B487" s="5">
        <v>20074.0</v>
      </c>
      <c r="C487" s="5">
        <v>7985.0</v>
      </c>
      <c r="D487" s="5">
        <v>7081.162850170264</v>
      </c>
      <c r="E487" s="5">
        <v>12.639300324446335</v>
      </c>
      <c r="H487" s="5">
        <v>24.58266362711019</v>
      </c>
      <c r="K487" s="5">
        <v>12.763965028822955</v>
      </c>
      <c r="L487" s="9" t="b">
        <v>0</v>
      </c>
    </row>
    <row r="488" ht="15.75" customHeight="1">
      <c r="A488" s="5">
        <v>7.0</v>
      </c>
      <c r="B488" s="5">
        <v>20081.0</v>
      </c>
      <c r="C488" s="5">
        <v>8000.0</v>
      </c>
      <c r="D488" s="5">
        <v>6368.990059545883</v>
      </c>
      <c r="E488" s="5">
        <v>11.234705228031139</v>
      </c>
      <c r="H488" s="5">
        <v>-0.6045305256802469</v>
      </c>
      <c r="K488" s="5">
        <v>25.608611808233995</v>
      </c>
      <c r="L488" s="9" t="b">
        <v>0</v>
      </c>
    </row>
    <row r="489" ht="15.75" customHeight="1">
      <c r="A489" s="5">
        <v>7.0</v>
      </c>
      <c r="B489" s="5">
        <v>20082.0</v>
      </c>
      <c r="C489" s="5">
        <v>8027.0</v>
      </c>
      <c r="D489" s="5">
        <v>6605.626271422933</v>
      </c>
      <c r="E489" s="5">
        <v>2.1766802443991873</v>
      </c>
      <c r="F489" s="5">
        <v>11.075464876449216</v>
      </c>
      <c r="H489" s="5">
        <v>-5.0142700025086135</v>
      </c>
      <c r="I489" s="5">
        <v>15.979161940364062</v>
      </c>
      <c r="K489" s="5">
        <v>21.517622556489037</v>
      </c>
      <c r="L489" s="9" t="b">
        <v>0</v>
      </c>
    </row>
    <row r="490" ht="15.75" customHeight="1">
      <c r="A490" s="5">
        <v>7.0</v>
      </c>
      <c r="B490" s="5">
        <v>20083.0</v>
      </c>
      <c r="C490" s="5">
        <v>7814.0</v>
      </c>
      <c r="D490" s="5">
        <v>6570.544454004804</v>
      </c>
      <c r="E490" s="5">
        <v>-3.052109181141438</v>
      </c>
      <c r="F490" s="5">
        <v>5.749644153933806</v>
      </c>
      <c r="H490" s="5">
        <v>-8.022322877352694</v>
      </c>
      <c r="I490" s="5">
        <v>2.735385055392159</v>
      </c>
      <c r="K490" s="5">
        <v>18.924695734115303</v>
      </c>
      <c r="L490" s="9" t="b">
        <v>0</v>
      </c>
    </row>
    <row r="491" ht="15.75" customHeight="1">
      <c r="A491" s="5">
        <v>7.0</v>
      </c>
      <c r="B491" s="5">
        <v>20084.0</v>
      </c>
      <c r="C491" s="5">
        <v>7518.0</v>
      </c>
      <c r="D491" s="5">
        <v>6522.368785092646</v>
      </c>
      <c r="E491" s="5">
        <v>-5.848465873512831</v>
      </c>
      <c r="F491" s="5">
        <v>1.1277026044440142</v>
      </c>
      <c r="H491" s="5">
        <v>-7.891275443046508</v>
      </c>
      <c r="I491" s="5">
        <v>-5.383099712147016</v>
      </c>
      <c r="K491" s="5">
        <v>15.264871516970068</v>
      </c>
      <c r="L491" s="9" t="b">
        <v>0</v>
      </c>
    </row>
    <row r="492" ht="15.75" customHeight="1">
      <c r="A492" s="5">
        <v>7.0</v>
      </c>
      <c r="B492" s="5">
        <v>20091.0</v>
      </c>
      <c r="C492" s="5">
        <v>7373.0</v>
      </c>
      <c r="D492" s="5">
        <v>6318.365219324046</v>
      </c>
      <c r="E492" s="5">
        <v>-7.837499999999997</v>
      </c>
      <c r="F492" s="5">
        <v>-3.6403487025637697</v>
      </c>
      <c r="H492" s="5">
        <v>-0.7948644879098299</v>
      </c>
      <c r="I492" s="5">
        <v>-5.430683202704412</v>
      </c>
      <c r="K492" s="5">
        <v>16.691576761825445</v>
      </c>
      <c r="L492" s="9" t="b">
        <v>0</v>
      </c>
    </row>
    <row r="493" ht="15.75" customHeight="1">
      <c r="A493" s="5">
        <v>7.0</v>
      </c>
      <c r="B493" s="5">
        <v>20092.0</v>
      </c>
      <c r="C493" s="5">
        <v>7169.0</v>
      </c>
      <c r="D493" s="5">
        <v>6152.663023336323</v>
      </c>
      <c r="E493" s="5">
        <v>-10.688924878534944</v>
      </c>
      <c r="F493" s="5">
        <v>-6.856749983297303</v>
      </c>
      <c r="G493" s="5">
        <v>-17.93221485974652</v>
      </c>
      <c r="H493" s="5">
        <v>-6.857233961997011</v>
      </c>
      <c r="I493" s="5">
        <v>-5.891424192576511</v>
      </c>
      <c r="J493" s="5">
        <v>-21.870586132940574</v>
      </c>
      <c r="K493" s="5">
        <v>16.518651725420863</v>
      </c>
      <c r="L493" s="9" t="b">
        <v>0</v>
      </c>
    </row>
    <row r="494" ht="15.75" customHeight="1">
      <c r="A494" s="5">
        <v>7.0</v>
      </c>
      <c r="B494" s="5">
        <v>20093.0</v>
      </c>
      <c r="C494" s="5">
        <v>6866.0</v>
      </c>
      <c r="D494" s="5">
        <v>6068.042271502473</v>
      </c>
      <c r="E494" s="5">
        <v>-12.132070642436654</v>
      </c>
      <c r="F494" s="5">
        <v>-9.126740348621107</v>
      </c>
      <c r="G494" s="5">
        <v>-14.876384502554913</v>
      </c>
      <c r="H494" s="5">
        <v>-7.647801274612043</v>
      </c>
      <c r="I494" s="5">
        <v>-5.797793791891348</v>
      </c>
      <c r="J494" s="5">
        <v>-8.533178847283507</v>
      </c>
      <c r="K494" s="5">
        <v>13.150167595980644</v>
      </c>
      <c r="L494" s="9" t="b">
        <v>0</v>
      </c>
    </row>
    <row r="495" ht="15.75" customHeight="1">
      <c r="A495" s="5">
        <v>7.0</v>
      </c>
      <c r="B495" s="5">
        <v>20094.0</v>
      </c>
      <c r="C495" s="5">
        <v>6981.0</v>
      </c>
      <c r="D495" s="5">
        <v>6261.124872727658</v>
      </c>
      <c r="E495" s="5">
        <v>-7.14285714285714</v>
      </c>
      <c r="F495" s="5">
        <v>-9.450338165957184</v>
      </c>
      <c r="G495" s="5">
        <v>-10.578040770401199</v>
      </c>
      <c r="H495" s="5">
        <v>-4.005353284562507</v>
      </c>
      <c r="I495" s="5">
        <v>-4.826313252270348</v>
      </c>
      <c r="J495" s="5">
        <v>0.5567864598766681</v>
      </c>
      <c r="K495" s="5">
        <v>11.49753665524209</v>
      </c>
      <c r="L495" s="9" t="b">
        <v>0</v>
      </c>
    </row>
    <row r="496" ht="15.75" customHeight="1">
      <c r="A496" s="5">
        <v>7.0</v>
      </c>
      <c r="B496" s="5">
        <v>20101.0</v>
      </c>
      <c r="C496" s="5">
        <v>6985.0</v>
      </c>
      <c r="D496" s="5">
        <v>6326.396681106065</v>
      </c>
      <c r="E496" s="5">
        <v>-5.262444052624438</v>
      </c>
      <c r="F496" s="5">
        <v>-8.806574179113294</v>
      </c>
      <c r="G496" s="5">
        <v>-5.166225476549524</v>
      </c>
      <c r="H496" s="5">
        <v>0.12711297152396828</v>
      </c>
      <c r="I496" s="5">
        <v>-4.595818887411898</v>
      </c>
      <c r="J496" s="5">
        <v>0.8348643152925135</v>
      </c>
      <c r="K496" s="5">
        <v>10.410401877910513</v>
      </c>
      <c r="L496" s="9" t="b">
        <v>0</v>
      </c>
    </row>
    <row r="497" ht="15.75" customHeight="1">
      <c r="A497" s="5">
        <v>7.0</v>
      </c>
      <c r="B497" s="5">
        <v>20102.0</v>
      </c>
      <c r="C497" s="5">
        <v>6920.0</v>
      </c>
      <c r="D497" s="5">
        <v>6334.300218836383</v>
      </c>
      <c r="E497" s="5">
        <v>-3.473287766773614</v>
      </c>
      <c r="F497" s="5">
        <v>-7.002664901172961</v>
      </c>
      <c r="G497" s="5">
        <v>-0.14591491787565847</v>
      </c>
      <c r="H497" s="5">
        <v>2.952172007651499</v>
      </c>
      <c r="I497" s="5">
        <v>-2.143467394999771</v>
      </c>
      <c r="J497" s="5">
        <v>3.74795679757674</v>
      </c>
      <c r="K497" s="5">
        <v>9.246479657246365</v>
      </c>
      <c r="L497" s="9" t="b">
        <v>0</v>
      </c>
    </row>
    <row r="498" ht="15.75" customHeight="1">
      <c r="A498" s="5">
        <v>7.0</v>
      </c>
      <c r="B498" s="5">
        <v>20103.0</v>
      </c>
      <c r="C498" s="5">
        <v>6834.0</v>
      </c>
      <c r="D498" s="5">
        <v>6392.329825196799</v>
      </c>
      <c r="E498" s="5">
        <v>-0.4660646664724766</v>
      </c>
      <c r="F498" s="5">
        <v>-4.086163407181917</v>
      </c>
      <c r="G498" s="5">
        <v>5.04057694143919</v>
      </c>
      <c r="H498" s="5">
        <v>5.344187452636695</v>
      </c>
      <c r="I498" s="5">
        <v>1.1045297868124138</v>
      </c>
      <c r="J498" s="5">
        <v>6.902323578703761</v>
      </c>
      <c r="K498" s="5">
        <v>6.909377126666083</v>
      </c>
      <c r="L498" s="9" t="b">
        <v>0</v>
      </c>
    </row>
    <row r="499" ht="15.75" customHeight="1">
      <c r="A499" s="5">
        <v>7.0</v>
      </c>
      <c r="B499" s="5">
        <v>20104.0</v>
      </c>
      <c r="C499" s="5">
        <v>6789.0</v>
      </c>
      <c r="D499" s="5">
        <v>6418.983704552793</v>
      </c>
      <c r="E499" s="5">
        <v>-2.7503223033949253</v>
      </c>
      <c r="F499" s="5">
        <v>-2.988029697316364</v>
      </c>
      <c r="G499" s="5">
        <v>6.4623084686408205</v>
      </c>
      <c r="H499" s="5">
        <v>2.521253529261802</v>
      </c>
      <c r="I499" s="5">
        <v>2.736181490268491</v>
      </c>
      <c r="J499" s="5">
        <v>7.5624947425388385</v>
      </c>
      <c r="K499" s="5">
        <v>5.7644062125405515</v>
      </c>
      <c r="L499" s="9" t="b">
        <v>0</v>
      </c>
    </row>
    <row r="500" ht="15.75" customHeight="1">
      <c r="A500" s="5">
        <v>7.0</v>
      </c>
      <c r="B500" s="5">
        <v>20111.0</v>
      </c>
      <c r="C500" s="5">
        <v>6886.0</v>
      </c>
      <c r="D500" s="5">
        <v>6305.501224393972</v>
      </c>
      <c r="E500" s="5">
        <v>-1.4173228346456734</v>
      </c>
      <c r="F500" s="5">
        <v>-2.026749392821672</v>
      </c>
      <c r="G500" s="5">
        <v>6.779824786291622</v>
      </c>
      <c r="H500" s="5">
        <v>-0.33029001760983556</v>
      </c>
      <c r="I500" s="5">
        <v>2.6218307429850403</v>
      </c>
      <c r="J500" s="5">
        <v>7.217649630396938</v>
      </c>
      <c r="K500" s="5">
        <v>9.206227307676418</v>
      </c>
      <c r="L500" s="9" t="b">
        <v>0</v>
      </c>
    </row>
    <row r="501" ht="15.75" customHeight="1">
      <c r="A501" s="5">
        <v>7.0</v>
      </c>
      <c r="B501" s="5">
        <v>20112.0</v>
      </c>
      <c r="C501" s="5">
        <v>7082.0</v>
      </c>
      <c r="D501" s="5">
        <v>6344.438312292416</v>
      </c>
      <c r="E501" s="5">
        <v>2.341040462427735</v>
      </c>
      <c r="F501" s="5">
        <v>-0.573167335521335</v>
      </c>
      <c r="G501" s="5">
        <v>6.4294975656516264</v>
      </c>
      <c r="H501" s="5">
        <v>0.16005072550691057</v>
      </c>
      <c r="I501" s="5">
        <v>1.9238004224488932</v>
      </c>
      <c r="J501" s="5">
        <v>4.0672678174486645</v>
      </c>
      <c r="K501" s="5">
        <v>11.625326804400471</v>
      </c>
      <c r="L501" s="9" t="b">
        <v>0</v>
      </c>
    </row>
    <row r="502" ht="15.75" customHeight="1">
      <c r="A502" s="5">
        <v>7.0</v>
      </c>
      <c r="B502" s="5">
        <v>20113.0</v>
      </c>
      <c r="C502" s="5">
        <v>6958.0</v>
      </c>
      <c r="D502" s="5">
        <v>6384.87805553134</v>
      </c>
      <c r="E502" s="5">
        <v>1.8144571261340392</v>
      </c>
      <c r="F502" s="5">
        <v>-0.003036887369706198</v>
      </c>
      <c r="G502" s="5">
        <v>4.08312651981221</v>
      </c>
      <c r="H502" s="5">
        <v>-0.1165736103929782</v>
      </c>
      <c r="I502" s="5">
        <v>0.5586101566914747</v>
      </c>
      <c r="J502" s="5">
        <v>-0.545919630120939</v>
      </c>
      <c r="K502" s="5">
        <v>8.976239475273196</v>
      </c>
      <c r="L502" s="9" t="b">
        <v>0</v>
      </c>
    </row>
    <row r="503" ht="15.75" customHeight="1">
      <c r="A503" s="5">
        <v>7.0</v>
      </c>
      <c r="B503" s="5">
        <v>20114.0</v>
      </c>
      <c r="C503" s="5">
        <v>6711.0</v>
      </c>
      <c r="D503" s="5">
        <v>6287.890787222814</v>
      </c>
      <c r="E503" s="5">
        <v>-1.148917366327884</v>
      </c>
      <c r="F503" s="5">
        <v>0.39731434689705414</v>
      </c>
      <c r="G503" s="5">
        <v>3.3853440442134177</v>
      </c>
      <c r="H503" s="5">
        <v>-2.0422690469988125</v>
      </c>
      <c r="I503" s="5">
        <v>-0.5822704873736789</v>
      </c>
      <c r="J503" s="5">
        <v>-3.31845197764217</v>
      </c>
      <c r="K503" s="5">
        <v>6.728952952506062</v>
      </c>
      <c r="L503" s="9" t="b">
        <v>0</v>
      </c>
    </row>
    <row r="504" ht="15.75" customHeight="1">
      <c r="A504" s="5">
        <v>7.0</v>
      </c>
      <c r="B504" s="5">
        <v>20121.0</v>
      </c>
      <c r="C504" s="5">
        <v>6637.001746927349</v>
      </c>
      <c r="D504" s="5">
        <v>6286.671064677288</v>
      </c>
      <c r="E504" s="5">
        <v>-3.616007160509016</v>
      </c>
      <c r="F504" s="5">
        <v>-0.15235673456878152</v>
      </c>
      <c r="G504" s="5">
        <v>1.8743926582528907</v>
      </c>
      <c r="H504" s="5">
        <v>-0.29863065673250144</v>
      </c>
      <c r="I504" s="5">
        <v>-0.5743556471543454</v>
      </c>
      <c r="J504" s="5">
        <v>-3.1961863901393857</v>
      </c>
      <c r="K504" s="5">
        <v>5.572594440616618</v>
      </c>
      <c r="L504" s="9" t="b">
        <v>0</v>
      </c>
    </row>
    <row r="505" ht="15.75" customHeight="1">
      <c r="A505" s="5">
        <v>7.0</v>
      </c>
      <c r="B505" s="5">
        <v>20122.0</v>
      </c>
      <c r="C505" s="5">
        <v>6616.3845532502255</v>
      </c>
      <c r="D505" s="5">
        <v>6132.070103548891</v>
      </c>
      <c r="E505" s="5">
        <v>-6.574632120160606</v>
      </c>
      <c r="F505" s="5">
        <v>-2.3812748802158668</v>
      </c>
      <c r="G505" s="5">
        <v>-1.8081075446945318</v>
      </c>
      <c r="H505" s="5">
        <v>-3.3473130053461086</v>
      </c>
      <c r="I505" s="5">
        <v>-1.4511965798676</v>
      </c>
      <c r="J505" s="5">
        <v>-3.3749970023164932</v>
      </c>
      <c r="K505" s="5">
        <v>7.898057940026493</v>
      </c>
      <c r="L505" s="9" t="b">
        <v>0</v>
      </c>
    </row>
    <row r="506" ht="15.75" customHeight="1">
      <c r="A506" s="5">
        <v>7.0</v>
      </c>
      <c r="B506" s="5">
        <v>20123.0</v>
      </c>
      <c r="C506" s="5">
        <v>6710.5235057245945</v>
      </c>
      <c r="D506" s="5">
        <v>6057.802194996136</v>
      </c>
      <c r="E506" s="5">
        <v>-3.556718802463432</v>
      </c>
      <c r="F506" s="5">
        <v>-3.7240688623652347</v>
      </c>
      <c r="G506" s="5">
        <v>-3.7210319749955287</v>
      </c>
      <c r="H506" s="5">
        <v>-5.122664171351743</v>
      </c>
      <c r="I506" s="5">
        <v>-2.7027192201072916</v>
      </c>
      <c r="J506" s="5">
        <v>-3.2613293767987663</v>
      </c>
      <c r="K506" s="5">
        <v>10.774886497080072</v>
      </c>
      <c r="L506" s="9" t="b">
        <v>0</v>
      </c>
    </row>
    <row r="507" ht="15.75" customHeight="1">
      <c r="A507" s="5">
        <v>7.0</v>
      </c>
      <c r="B507" s="5">
        <v>20124.0</v>
      </c>
      <c r="C507" s="5">
        <v>6416.814133833445</v>
      </c>
      <c r="D507" s="5">
        <v>5989.817678674943</v>
      </c>
      <c r="E507" s="5">
        <v>-4.383636807726932</v>
      </c>
      <c r="F507" s="5">
        <v>-4.532748722714997</v>
      </c>
      <c r="G507" s="5">
        <v>-4.930063069612051</v>
      </c>
      <c r="H507" s="5">
        <v>-4.740430752289216</v>
      </c>
      <c r="I507" s="5">
        <v>-3.3772596464298923</v>
      </c>
      <c r="J507" s="5">
        <v>-2.7949891590562133</v>
      </c>
      <c r="K507" s="5">
        <v>7.128705380778166</v>
      </c>
      <c r="L507" s="9" t="b">
        <v>0</v>
      </c>
    </row>
    <row r="508" ht="15.75" customHeight="1">
      <c r="A508" s="5">
        <v>7.0</v>
      </c>
      <c r="B508" s="5">
        <v>20131.0</v>
      </c>
      <c r="C508" s="5">
        <v>5926.333423744512</v>
      </c>
      <c r="D508" s="5">
        <v>5681.462342201647</v>
      </c>
      <c r="E508" s="5">
        <v>-10.707671178659039</v>
      </c>
      <c r="F508" s="5">
        <v>-6.305664727252502</v>
      </c>
      <c r="G508" s="5">
        <v>-6.15330799268372</v>
      </c>
      <c r="H508" s="5">
        <v>-9.626855234658416</v>
      </c>
      <c r="I508" s="5">
        <v>-5.70931579091137</v>
      </c>
      <c r="J508" s="5">
        <v>-5.134960143757025</v>
      </c>
      <c r="K508" s="5">
        <v>4.31000096091414</v>
      </c>
      <c r="L508" s="9" t="b">
        <v>0</v>
      </c>
    </row>
    <row r="509" ht="15.75" customHeight="1">
      <c r="A509" s="5">
        <v>7.0</v>
      </c>
      <c r="B509" s="5">
        <v>20132.0</v>
      </c>
      <c r="C509" s="5">
        <v>6298.649023612947</v>
      </c>
      <c r="D509" s="5">
        <v>5609.342185018974</v>
      </c>
      <c r="E509" s="5">
        <v>-4.802253059508077</v>
      </c>
      <c r="F509" s="5">
        <v>-5.86256996208937</v>
      </c>
      <c r="G509" s="5">
        <v>-3.481295081873503</v>
      </c>
      <c r="H509" s="5">
        <v>-8.52449351854917</v>
      </c>
      <c r="I509" s="5">
        <v>-7.003610919212136</v>
      </c>
      <c r="J509" s="5">
        <v>-5.552414339344535</v>
      </c>
      <c r="K509" s="5">
        <v>12.288550347934258</v>
      </c>
      <c r="L509" s="9" t="b">
        <v>0</v>
      </c>
    </row>
    <row r="510" ht="15.75" customHeight="1">
      <c r="A510" s="5">
        <v>7.0</v>
      </c>
      <c r="B510" s="5">
        <v>20133.0</v>
      </c>
      <c r="C510" s="5">
        <v>5895.29829018747</v>
      </c>
      <c r="D510" s="5">
        <v>5740.659866414734</v>
      </c>
      <c r="E510" s="5">
        <v>-12.148459279543156</v>
      </c>
      <c r="F510" s="5">
        <v>-8.010505081359302</v>
      </c>
      <c r="G510" s="5">
        <v>-4.2864362189940675</v>
      </c>
      <c r="H510" s="5">
        <v>-5.235270455733387</v>
      </c>
      <c r="I510" s="5">
        <v>-7.031762490307546</v>
      </c>
      <c r="J510" s="5">
        <v>-4.329043270200255</v>
      </c>
      <c r="K510" s="5">
        <v>2.6937395242215167</v>
      </c>
      <c r="L510" s="9" t="b">
        <v>0</v>
      </c>
    </row>
    <row r="511" ht="15.75" customHeight="1">
      <c r="A511" s="5">
        <v>7.0</v>
      </c>
      <c r="B511" s="5">
        <v>20134.0</v>
      </c>
      <c r="C511" s="5">
        <v>5782.454880447131</v>
      </c>
      <c r="D511" s="5">
        <v>5766.975317849914</v>
      </c>
      <c r="E511" s="5">
        <v>-9.885891038071016</v>
      </c>
      <c r="F511" s="5">
        <v>-9.386068638945321</v>
      </c>
      <c r="G511" s="5">
        <v>-4.853319916230324</v>
      </c>
      <c r="H511" s="5">
        <v>-3.7203529853403694</v>
      </c>
      <c r="I511" s="5">
        <v>-6.776743048570335</v>
      </c>
      <c r="J511" s="5">
        <v>-3.3994834021404428</v>
      </c>
      <c r="K511" s="5">
        <v>0.268417354749273</v>
      </c>
      <c r="L511" s="9" t="b">
        <v>0</v>
      </c>
    </row>
    <row r="512" ht="15.75" customHeight="1">
      <c r="A512" s="5">
        <v>7.0</v>
      </c>
      <c r="B512" s="5">
        <v>20141.0</v>
      </c>
      <c r="C512" s="5">
        <v>5999.94316399611</v>
      </c>
      <c r="D512" s="5">
        <v>5751.249365041973</v>
      </c>
      <c r="E512" s="5">
        <v>1.2420789548673206</v>
      </c>
      <c r="F512" s="5">
        <v>-6.398631105563732</v>
      </c>
      <c r="G512" s="5">
        <v>-0.09296637831123</v>
      </c>
      <c r="H512" s="5">
        <v>1.228328529469458</v>
      </c>
      <c r="I512" s="5">
        <v>-4.062947107538367</v>
      </c>
      <c r="J512" s="5">
        <v>1.6463686833730033</v>
      </c>
      <c r="K512" s="5">
        <v>4.324169987581872</v>
      </c>
      <c r="L512" s="9" t="b">
        <v>0</v>
      </c>
    </row>
    <row r="513" ht="15.75" customHeight="1">
      <c r="A513" s="5">
        <v>7.0</v>
      </c>
      <c r="B513" s="5">
        <v>20142.0</v>
      </c>
      <c r="C513" s="5">
        <v>6172.010462768289</v>
      </c>
      <c r="D513" s="5">
        <v>5895.343332058628</v>
      </c>
      <c r="E513" s="5">
        <v>-2.010567033817945</v>
      </c>
      <c r="F513" s="5">
        <v>-5.700709599141199</v>
      </c>
      <c r="G513" s="5">
        <v>0.16186036294817097</v>
      </c>
      <c r="H513" s="5">
        <v>5.098657518228866</v>
      </c>
      <c r="I513" s="5">
        <v>-0.657159348343858</v>
      </c>
      <c r="J513" s="5">
        <v>6.346451570868278</v>
      </c>
      <c r="K513" s="5">
        <v>4.69297740820549</v>
      </c>
      <c r="L513" s="9" t="b">
        <v>0</v>
      </c>
    </row>
    <row r="514" ht="15.75" customHeight="1">
      <c r="A514" s="5">
        <v>7.0</v>
      </c>
      <c r="B514" s="5">
        <v>20143.0</v>
      </c>
      <c r="C514" s="5">
        <v>5970.209272166272</v>
      </c>
      <c r="D514" s="5">
        <v>5853.601535134191</v>
      </c>
      <c r="E514" s="5">
        <v>1.2706902736963954</v>
      </c>
      <c r="F514" s="5">
        <v>-2.3459222108313114</v>
      </c>
      <c r="G514" s="5">
        <v>5.66458287052799</v>
      </c>
      <c r="H514" s="5">
        <v>1.9673987197920129</v>
      </c>
      <c r="I514" s="5">
        <v>1.143507945537492</v>
      </c>
      <c r="J514" s="5">
        <v>8.175270435845038</v>
      </c>
      <c r="K514" s="5">
        <v>1.9920682392230438</v>
      </c>
      <c r="L514" s="9" t="b">
        <v>0</v>
      </c>
    </row>
    <row r="515" ht="15.75" customHeight="1">
      <c r="A515" s="5">
        <v>7.0</v>
      </c>
      <c r="B515" s="5">
        <v>20144.0</v>
      </c>
      <c r="C515" s="5">
        <v>5722.171748047656</v>
      </c>
      <c r="D515" s="5">
        <v>5894.576699086371</v>
      </c>
      <c r="E515" s="5">
        <v>-1.04251799012417</v>
      </c>
      <c r="F515" s="5">
        <v>-0.1350789488445997</v>
      </c>
      <c r="G515" s="5">
        <v>9.250989690100722</v>
      </c>
      <c r="H515" s="5">
        <v>2.212622288177757</v>
      </c>
      <c r="I515" s="5">
        <v>2.6267517639170235</v>
      </c>
      <c r="J515" s="5">
        <v>9.40349481248736</v>
      </c>
      <c r="K515" s="5">
        <v>-2.9248063065399843</v>
      </c>
      <c r="L515" s="9" t="b">
        <v>0</v>
      </c>
    </row>
    <row r="516" ht="15.75" customHeight="1">
      <c r="A516" s="5">
        <v>7.0</v>
      </c>
      <c r="B516" s="5">
        <v>20151.0</v>
      </c>
      <c r="C516" s="5">
        <v>5860.678424115234</v>
      </c>
      <c r="D516" s="5">
        <v>5877.530219478966</v>
      </c>
      <c r="E516" s="5">
        <v>-2.321100985032043</v>
      </c>
      <c r="F516" s="5">
        <v>-1.0258739338194407</v>
      </c>
      <c r="G516" s="5">
        <v>5.372757171744292</v>
      </c>
      <c r="H516" s="5">
        <v>2.195711686656643</v>
      </c>
      <c r="I516" s="5">
        <v>2.86859755321382</v>
      </c>
      <c r="J516" s="5">
        <v>6.931544660752187</v>
      </c>
      <c r="K516" s="5">
        <v>-0.28671558859676427</v>
      </c>
      <c r="L516" s="9" t="b">
        <v>0</v>
      </c>
    </row>
    <row r="517" ht="15.75" customHeight="1">
      <c r="A517" s="5">
        <v>7.0</v>
      </c>
      <c r="B517" s="5">
        <v>20152.0</v>
      </c>
      <c r="C517" s="5">
        <v>5896.0</v>
      </c>
      <c r="D517" s="5">
        <v>5963.106912297443</v>
      </c>
      <c r="E517" s="5">
        <v>-4.471970104932255</v>
      </c>
      <c r="F517" s="5">
        <v>-1.641224701598018</v>
      </c>
      <c r="G517" s="5">
        <v>4.0594848975431805</v>
      </c>
      <c r="H517" s="5">
        <v>1.149442473864415</v>
      </c>
      <c r="I517" s="5">
        <v>1.8812937921227069</v>
      </c>
      <c r="J517" s="5">
        <v>2.538453140466565</v>
      </c>
      <c r="K517" s="5">
        <v>-1.1253682565887213</v>
      </c>
      <c r="L517" s="9" t="b">
        <v>0</v>
      </c>
    </row>
    <row r="518" ht="15.75" customHeight="1">
      <c r="A518" s="5">
        <v>7.0</v>
      </c>
      <c r="B518" s="5">
        <v>20153.0</v>
      </c>
      <c r="C518" s="5">
        <v>6311.502167995154</v>
      </c>
      <c r="D518" s="5">
        <v>6022.328410573353</v>
      </c>
      <c r="E518" s="5">
        <v>5.716598535666484</v>
      </c>
      <c r="F518" s="5">
        <v>-0.5297476361054958</v>
      </c>
      <c r="G518" s="5">
        <v>1.8161745747258156</v>
      </c>
      <c r="H518" s="5">
        <v>2.882445523946875</v>
      </c>
      <c r="I518" s="5">
        <v>2.1100554931614224</v>
      </c>
      <c r="J518" s="5">
        <v>0.9665475476239305</v>
      </c>
      <c r="K518" s="5">
        <v>4.801693592699152</v>
      </c>
      <c r="L518" s="9" t="b">
        <v>0</v>
      </c>
    </row>
    <row r="519" ht="15.75" customHeight="1">
      <c r="A519" s="5">
        <v>7.0</v>
      </c>
      <c r="B519" s="5">
        <v>20154.0</v>
      </c>
      <c r="C519" s="5">
        <v>6357.267455954707</v>
      </c>
      <c r="D519" s="5">
        <v>5942.939736297776</v>
      </c>
      <c r="E519" s="5">
        <v>11.098857844029908</v>
      </c>
      <c r="F519" s="5">
        <v>2.5055963224330235</v>
      </c>
      <c r="G519" s="5">
        <v>2.6406752712776234</v>
      </c>
      <c r="H519" s="5">
        <v>0.8204666709808128</v>
      </c>
      <c r="I519" s="5">
        <v>1.7620165888621864</v>
      </c>
      <c r="J519" s="5">
        <v>-0.8647351750548371</v>
      </c>
      <c r="K519" s="5">
        <v>6.97176377418629</v>
      </c>
      <c r="L519" s="9" t="b">
        <v>0</v>
      </c>
    </row>
    <row r="520" ht="15.75" customHeight="1">
      <c r="A520" s="5">
        <v>7.0</v>
      </c>
      <c r="B520" s="5">
        <v>20161.0</v>
      </c>
      <c r="C520" s="5">
        <v>6239.0</v>
      </c>
      <c r="D520" s="5">
        <v>5885.755371991635</v>
      </c>
      <c r="E520" s="5">
        <v>6.455252250798593</v>
      </c>
      <c r="F520" s="5">
        <v>4.699684631390682</v>
      </c>
      <c r="G520" s="5">
        <v>5.7255585652101235</v>
      </c>
      <c r="H520" s="5">
        <v>0.1399423262071986</v>
      </c>
      <c r="I520" s="5">
        <v>1.2480742487498253</v>
      </c>
      <c r="J520" s="5">
        <v>-1.6205233044639946</v>
      </c>
      <c r="K520" s="5">
        <v>6.001687220799901</v>
      </c>
      <c r="L520" s="9" t="b">
        <v>0</v>
      </c>
    </row>
    <row r="521" ht="15.75" customHeight="1">
      <c r="A521" s="5">
        <v>7.0</v>
      </c>
      <c r="B521" s="5">
        <v>20162.0</v>
      </c>
      <c r="C521" s="5">
        <v>6342.941735185853</v>
      </c>
      <c r="D521" s="5">
        <v>5964.324657745792</v>
      </c>
      <c r="E521" s="5">
        <v>7.58042291699208</v>
      </c>
      <c r="F521" s="5">
        <v>7.712782886871766</v>
      </c>
      <c r="G521" s="5">
        <v>9.354007588469784</v>
      </c>
      <c r="H521" s="5">
        <v>0.020421325095432152</v>
      </c>
      <c r="I521" s="5">
        <v>0.9658189615575796</v>
      </c>
      <c r="J521" s="5">
        <v>-0.9154748305651272</v>
      </c>
      <c r="K521" s="5">
        <v>6.348029310382275</v>
      </c>
      <c r="L521" s="9" t="b">
        <v>0</v>
      </c>
    </row>
    <row r="522" ht="15.75" customHeight="1">
      <c r="A522" s="5">
        <v>7.0</v>
      </c>
      <c r="B522" s="5">
        <v>20163.0</v>
      </c>
      <c r="C522" s="5">
        <v>6298.207394051258</v>
      </c>
      <c r="D522" s="5">
        <v>6028.407686331203</v>
      </c>
      <c r="E522" s="5">
        <v>-0.21064357723447058</v>
      </c>
      <c r="F522" s="5">
        <v>6.230972358646527</v>
      </c>
      <c r="G522" s="5">
        <v>6.760719994752023</v>
      </c>
      <c r="H522" s="5">
        <v>0.10094560348414827</v>
      </c>
      <c r="I522" s="5">
        <v>0.27044398144189796</v>
      </c>
      <c r="J522" s="5">
        <v>-1.8396115117195244</v>
      </c>
      <c r="K522" s="5">
        <v>4.475472160447924</v>
      </c>
      <c r="L522" s="9" t="b">
        <v>0</v>
      </c>
    </row>
    <row r="523" ht="15.75" customHeight="1">
      <c r="A523" s="5">
        <v>7.0</v>
      </c>
      <c r="B523" s="5">
        <v>20164.0</v>
      </c>
      <c r="C523" s="5">
        <v>6451.0</v>
      </c>
      <c r="D523" s="5">
        <v>6149.5401386167705</v>
      </c>
      <c r="E523" s="5">
        <v>1.4744156148015497</v>
      </c>
      <c r="F523" s="5">
        <v>3.824861801339438</v>
      </c>
      <c r="G523" s="5">
        <v>1.3192654789064147</v>
      </c>
      <c r="H523" s="5">
        <v>3.476400762692222</v>
      </c>
      <c r="I523" s="5">
        <v>0.9344275043697503</v>
      </c>
      <c r="J523" s="5">
        <v>-0.8275890844924361</v>
      </c>
      <c r="K523" s="5">
        <v>4.902152918560154</v>
      </c>
      <c r="L523" s="9" t="b">
        <v>0</v>
      </c>
    </row>
    <row r="524" ht="15.75" customHeight="1">
      <c r="A524" s="5">
        <v>7.0</v>
      </c>
      <c r="B524" s="5">
        <v>20171.0</v>
      </c>
      <c r="C524" s="5">
        <v>6372.824416165495</v>
      </c>
      <c r="D524" s="5">
        <v>6173.976100040531</v>
      </c>
      <c r="E524" s="5">
        <v>2.1449657984532022</v>
      </c>
      <c r="F524" s="5">
        <v>2.7472901882530905</v>
      </c>
      <c r="G524" s="5">
        <v>-1.952394443137592</v>
      </c>
      <c r="H524" s="5">
        <v>4.896919933513422</v>
      </c>
      <c r="I524" s="5">
        <v>2.1236719061963063</v>
      </c>
      <c r="J524" s="5">
        <v>0.875597657446481</v>
      </c>
      <c r="K524" s="5">
        <v>3.220749690360125</v>
      </c>
      <c r="L524" s="9" t="b">
        <v>0</v>
      </c>
    </row>
    <row r="525" ht="15.75" customHeight="1">
      <c r="A525" s="5">
        <v>7.0</v>
      </c>
      <c r="B525" s="5">
        <v>20172.0</v>
      </c>
      <c r="C525" s="5">
        <v>6583.491292029815</v>
      </c>
      <c r="D525" s="5">
        <v>6276.559275051202</v>
      </c>
      <c r="E525" s="5">
        <v>3.792397390465929</v>
      </c>
      <c r="F525" s="5">
        <v>1.8002838066215525</v>
      </c>
      <c r="G525" s="5">
        <v>-5.912499080250214</v>
      </c>
      <c r="H525" s="5">
        <v>5.23503724600094</v>
      </c>
      <c r="I525" s="5">
        <v>3.427325886422683</v>
      </c>
      <c r="J525" s="5">
        <v>2.4615069248651036</v>
      </c>
      <c r="K525" s="5">
        <v>4.89013173505175</v>
      </c>
      <c r="L525" s="9" t="b">
        <v>0</v>
      </c>
    </row>
    <row r="526" ht="15.75" customHeight="1">
      <c r="A526" s="5">
        <v>7.0</v>
      </c>
      <c r="B526" s="5">
        <v>20173.0</v>
      </c>
      <c r="C526" s="5">
        <v>6810.247590610234</v>
      </c>
      <c r="D526" s="5">
        <v>6453.80432043193</v>
      </c>
      <c r="E526" s="5">
        <v>8.129935464535576</v>
      </c>
      <c r="F526" s="5">
        <v>3.8854285670640643</v>
      </c>
      <c r="G526" s="5">
        <v>-2.345543791582463</v>
      </c>
      <c r="H526" s="5">
        <v>7.056533934578946</v>
      </c>
      <c r="I526" s="5">
        <v>5.166222969196383</v>
      </c>
      <c r="J526" s="5">
        <v>4.895778987754485</v>
      </c>
      <c r="K526" s="5">
        <v>5.522994693995442</v>
      </c>
      <c r="L526" s="9" t="b">
        <v>0</v>
      </c>
    </row>
    <row r="527" ht="15.75" customHeight="1">
      <c r="A527" s="5">
        <v>7.0</v>
      </c>
      <c r="B527" s="5">
        <v>20174.0</v>
      </c>
      <c r="C527" s="5">
        <v>6755.043946218443</v>
      </c>
      <c r="D527" s="5">
        <v>6520.810614832837</v>
      </c>
      <c r="E527" s="5">
        <v>4.713128913632669</v>
      </c>
      <c r="F527" s="5">
        <v>4.695106891771844</v>
      </c>
      <c r="G527" s="5">
        <v>0.8702450904324057</v>
      </c>
      <c r="H527" s="5">
        <v>6.037369752001931</v>
      </c>
      <c r="I527" s="5">
        <v>5.80646521652381</v>
      </c>
      <c r="J527" s="5">
        <v>4.872037712154059</v>
      </c>
      <c r="K527" s="5">
        <v>3.5920891622400086</v>
      </c>
      <c r="L527" s="9" t="b">
        <v>0</v>
      </c>
    </row>
    <row r="528" ht="15.75" customHeight="1">
      <c r="A528" s="5">
        <v>7.0</v>
      </c>
      <c r="B528" s="5">
        <v>20181.0</v>
      </c>
      <c r="C528" s="5">
        <v>6795.534793689597</v>
      </c>
      <c r="D528" s="5">
        <v>6516.70500489349</v>
      </c>
      <c r="E528" s="5">
        <v>6.6330146559795855</v>
      </c>
      <c r="F528" s="5">
        <v>5.81711910615344</v>
      </c>
      <c r="G528" s="5">
        <v>3.0698289179003493</v>
      </c>
      <c r="H528" s="5">
        <v>5.551186128671759</v>
      </c>
      <c r="I528" s="5">
        <v>5.970031765313394</v>
      </c>
      <c r="J528" s="5">
        <v>3.8463598591170873</v>
      </c>
      <c r="K528" s="5">
        <v>4.278692814646812</v>
      </c>
      <c r="L528" s="9" t="b">
        <v>0</v>
      </c>
    </row>
    <row r="529" ht="15.75" customHeight="1">
      <c r="A529" s="5">
        <v>7.0</v>
      </c>
      <c r="B529" s="5">
        <v>20182.0</v>
      </c>
      <c r="C529" s="5">
        <v>6778.3739993027</v>
      </c>
      <c r="D529" s="5">
        <v>6692.602846862554</v>
      </c>
      <c r="E529" s="5">
        <v>2.960172629206892</v>
      </c>
      <c r="F529" s="5">
        <v>5.60906291583868</v>
      </c>
      <c r="G529" s="5">
        <v>3.8087791092171277</v>
      </c>
      <c r="H529" s="5">
        <v>6.628529319639975</v>
      </c>
      <c r="I529" s="5">
        <v>6.318404783723153</v>
      </c>
      <c r="J529" s="5">
        <v>2.89107889730047</v>
      </c>
      <c r="K529" s="5">
        <v>1.2815813877310234</v>
      </c>
      <c r="L529" s="9" t="b">
        <v>0</v>
      </c>
    </row>
    <row r="530" ht="15.75" customHeight="1">
      <c r="A530" s="5">
        <v>7.0</v>
      </c>
      <c r="B530" s="5">
        <v>20183.0</v>
      </c>
      <c r="C530" s="5">
        <v>6944.889068110488</v>
      </c>
      <c r="D530" s="5">
        <v>6918.140379969498</v>
      </c>
      <c r="E530" s="5">
        <v>1.97704232788678</v>
      </c>
      <c r="F530" s="5">
        <v>4.070839631676481</v>
      </c>
      <c r="G530" s="5">
        <v>0.18541106461241696</v>
      </c>
      <c r="H530" s="5">
        <v>7.194765079374021</v>
      </c>
      <c r="I530" s="5">
        <v>6.352962569921922</v>
      </c>
      <c r="J530" s="5">
        <v>1.1867396007255389</v>
      </c>
      <c r="K530" s="5">
        <v>0.3866456398953222</v>
      </c>
      <c r="L530" s="9" t="b">
        <v>0</v>
      </c>
    </row>
    <row r="531" ht="15.75" customHeight="1">
      <c r="A531" s="5">
        <v>7.0</v>
      </c>
      <c r="B531" s="5">
        <v>20184.0</v>
      </c>
      <c r="C531" s="5">
        <v>7198.7561501110085</v>
      </c>
      <c r="D531" s="5">
        <v>7081.667132965565</v>
      </c>
      <c r="E531" s="5">
        <v>6.568605732623856</v>
      </c>
      <c r="F531" s="5">
        <v>4.5347088364242785</v>
      </c>
      <c r="G531" s="5">
        <v>-0.16039805534756546</v>
      </c>
      <c r="H531" s="5">
        <v>8.601024493135135</v>
      </c>
      <c r="I531" s="5">
        <v>6.9938762552052225</v>
      </c>
      <c r="J531" s="5">
        <v>1.1874110386814127</v>
      </c>
      <c r="K531" s="5">
        <v>1.653410347408002</v>
      </c>
      <c r="L531" s="9" t="b">
        <v>0</v>
      </c>
    </row>
    <row r="532" ht="15.75" customHeight="1">
      <c r="A532" s="5">
        <v>7.0</v>
      </c>
      <c r="B532" s="5">
        <v>20191.0</v>
      </c>
      <c r="C532" s="5">
        <v>7425.578710663175</v>
      </c>
      <c r="D532" s="5">
        <v>7259.226218087693</v>
      </c>
      <c r="E532" s="5">
        <v>9.271439792474379</v>
      </c>
      <c r="F532" s="5">
        <v>5.1943151205479765</v>
      </c>
      <c r="G532" s="5">
        <v>-0.6228039856054632</v>
      </c>
      <c r="H532" s="5">
        <v>11.3941203819512</v>
      </c>
      <c r="I532" s="5">
        <v>8.454609818525082</v>
      </c>
      <c r="J532" s="5">
        <v>2.4845780532116883</v>
      </c>
      <c r="K532" s="5">
        <v>2.291600889375567</v>
      </c>
      <c r="L532" s="9" t="b">
        <v>0</v>
      </c>
    </row>
    <row r="533" ht="15.75" customHeight="1">
      <c r="A533" s="5">
        <v>7.0</v>
      </c>
      <c r="B533" s="5">
        <v>20192.0</v>
      </c>
      <c r="C533" s="5">
        <v>7739.209501374133</v>
      </c>
      <c r="D533" s="5">
        <v>7548.066266637226</v>
      </c>
      <c r="E533" s="5">
        <v>14.175014570902622</v>
      </c>
      <c r="F533" s="5">
        <v>7.998025605971909</v>
      </c>
      <c r="G533" s="5">
        <v>2.388962690133229</v>
      </c>
      <c r="H533" s="5">
        <v>12.782222990801074</v>
      </c>
      <c r="I533" s="5">
        <v>9.993033236315359</v>
      </c>
      <c r="J533" s="5">
        <v>3.6746284525922057</v>
      </c>
      <c r="K533" s="5">
        <v>2.532347067245122</v>
      </c>
      <c r="L533" s="9" t="b">
        <v>0</v>
      </c>
    </row>
    <row r="534" ht="15.75" customHeight="1">
      <c r="A534" s="5">
        <v>7.0</v>
      </c>
      <c r="B534" s="5">
        <v>20193.0</v>
      </c>
      <c r="C534" s="5">
        <v>7787.636101953875</v>
      </c>
      <c r="D534" s="5">
        <v>7840.002818316454</v>
      </c>
      <c r="E534" s="5">
        <v>12.134780348229167</v>
      </c>
      <c r="F534" s="5">
        <v>10.537460111057506</v>
      </c>
      <c r="G534" s="5">
        <v>6.4666204793810245</v>
      </c>
      <c r="H534" s="5">
        <v>13.325292458882142</v>
      </c>
      <c r="I534" s="5">
        <v>11.525665081192388</v>
      </c>
      <c r="J534" s="5">
        <v>5.172702511270466</v>
      </c>
      <c r="K534" s="5">
        <v>-0.66794257063576</v>
      </c>
      <c r="L534" s="9" t="b">
        <v>0</v>
      </c>
    </row>
    <row r="535" ht="15.75" customHeight="1">
      <c r="A535" s="5">
        <v>7.0</v>
      </c>
      <c r="B535" s="5">
        <v>20194.0</v>
      </c>
      <c r="C535" s="5">
        <v>8238.182262575585</v>
      </c>
      <c r="D535" s="5">
        <v>8111.838107001026</v>
      </c>
      <c r="E535" s="5">
        <v>14.43896821603754</v>
      </c>
      <c r="F535" s="5">
        <v>12.505050731910927</v>
      </c>
      <c r="G535" s="5">
        <v>7.970341895486649</v>
      </c>
      <c r="H535" s="5">
        <v>14.547012090415222</v>
      </c>
      <c r="I535" s="5">
        <v>13.01216198051241</v>
      </c>
      <c r="J535" s="5">
        <v>6.018285725307187</v>
      </c>
      <c r="K535" s="5">
        <v>1.55752807080205</v>
      </c>
      <c r="L535" s="9" t="b">
        <v>0</v>
      </c>
    </row>
    <row r="536" ht="15.75" customHeight="1">
      <c r="A536" s="5">
        <v>7.0</v>
      </c>
      <c r="B536" s="5">
        <v>20201.0</v>
      </c>
      <c r="C536" s="5">
        <v>8306.973029040248</v>
      </c>
      <c r="D536" s="5">
        <v>8470.411755042851</v>
      </c>
      <c r="E536" s="5">
        <v>11.869705415840315</v>
      </c>
      <c r="F536" s="5">
        <v>13.15461713775241</v>
      </c>
      <c r="G536" s="5">
        <v>7.960302017204434</v>
      </c>
      <c r="H536" s="5">
        <v>16.684774665614732</v>
      </c>
      <c r="I536" s="5">
        <v>14.334825551428294</v>
      </c>
      <c r="J536" s="5">
        <v>5.880215732903212</v>
      </c>
      <c r="K536" s="5">
        <v>-1.9295251603949515</v>
      </c>
      <c r="L536" s="9" t="b">
        <v>0</v>
      </c>
    </row>
    <row r="537" ht="15.75" customHeight="1">
      <c r="A537" s="5">
        <v>7.0</v>
      </c>
      <c r="B537" s="5">
        <v>20202.0</v>
      </c>
      <c r="C537" s="5">
        <v>8612.585899055895</v>
      </c>
      <c r="D537" s="5">
        <v>8683.663628292934</v>
      </c>
      <c r="E537" s="5">
        <v>11.285085350470103</v>
      </c>
      <c r="F537" s="5">
        <v>12.432134832644282</v>
      </c>
      <c r="G537" s="5">
        <v>4.434109226672373</v>
      </c>
      <c r="H537" s="5">
        <v>15.044878006372265</v>
      </c>
      <c r="I537" s="5">
        <v>14.90048930532109</v>
      </c>
      <c r="J537" s="5">
        <v>4.907456069005731</v>
      </c>
      <c r="K537" s="5">
        <v>-0.818522368893404</v>
      </c>
      <c r="L537" s="9" t="b">
        <v>0</v>
      </c>
    </row>
    <row r="538" ht="15.75" customHeight="1">
      <c r="A538" s="5">
        <v>7.0</v>
      </c>
      <c r="B538" s="5">
        <v>20203.0</v>
      </c>
      <c r="C538" s="5">
        <v>8916.757390086255</v>
      </c>
      <c r="D538" s="5">
        <v>8698.918651728805</v>
      </c>
      <c r="E538" s="5">
        <v>14.498896370479986</v>
      </c>
      <c r="F538" s="5">
        <v>13.023163838206987</v>
      </c>
      <c r="G538" s="5">
        <v>2.485703727149481</v>
      </c>
      <c r="H538" s="5">
        <v>10.955555161353804</v>
      </c>
      <c r="I538" s="5">
        <v>14.308054980939005</v>
      </c>
      <c r="J538" s="5">
        <v>2.782389899746617</v>
      </c>
      <c r="K538" s="5">
        <v>2.504204799227061</v>
      </c>
      <c r="L538" s="9" t="b">
        <v>0</v>
      </c>
    </row>
    <row r="539" ht="15.75" customHeight="1">
      <c r="A539" s="5">
        <v>7.0</v>
      </c>
      <c r="B539" s="5">
        <v>20204.0</v>
      </c>
      <c r="C539" s="5">
        <v>8745.444372655094</v>
      </c>
      <c r="D539" s="5">
        <v>8823.75118274248</v>
      </c>
      <c r="E539" s="5">
        <v>6.157451897901067</v>
      </c>
      <c r="F539" s="5">
        <v>10.952784758672868</v>
      </c>
      <c r="G539" s="5">
        <v>-1.5522659732380593</v>
      </c>
      <c r="H539" s="5">
        <v>8.776223913135395</v>
      </c>
      <c r="I539" s="5">
        <v>12.865357936619048</v>
      </c>
      <c r="J539" s="5">
        <v>-0.14680404389336132</v>
      </c>
      <c r="K539" s="5">
        <v>-0.887454875660354</v>
      </c>
      <c r="L539" s="9" t="b">
        <v>0</v>
      </c>
    </row>
    <row r="540" ht="15.75" customHeight="1">
      <c r="A540" s="5">
        <v>7.0</v>
      </c>
      <c r="B540" s="5">
        <v>20211.0</v>
      </c>
      <c r="C540" s="5">
        <v>8866.056186908516</v>
      </c>
      <c r="D540" s="5">
        <v>9141.433028791636</v>
      </c>
      <c r="E540" s="5">
        <v>6.73028738523378</v>
      </c>
      <c r="F540" s="5">
        <v>9.667930251021234</v>
      </c>
      <c r="G540" s="5">
        <v>-3.486686886731176</v>
      </c>
      <c r="H540" s="5">
        <v>7.921943975737578</v>
      </c>
      <c r="I540" s="5">
        <v>10.67465026414976</v>
      </c>
      <c r="J540" s="5">
        <v>-3.660175287278534</v>
      </c>
      <c r="K540" s="5">
        <v>-3.012403427512955</v>
      </c>
      <c r="L540" s="9" t="b">
        <v>0</v>
      </c>
    </row>
    <row r="541" ht="15.75" customHeight="1">
      <c r="A541" s="5">
        <v>7.0</v>
      </c>
      <c r="B541" s="5">
        <v>20212.0</v>
      </c>
      <c r="C541" s="5">
        <v>9376.971033042732</v>
      </c>
      <c r="D541" s="5">
        <v>9507.270180763166</v>
      </c>
      <c r="E541" s="5">
        <v>8.875210569111736</v>
      </c>
      <c r="F541" s="5">
        <v>9.065461555681642</v>
      </c>
      <c r="G541" s="5">
        <v>-3.36667327696264</v>
      </c>
      <c r="H541" s="5">
        <v>9.484551540973719</v>
      </c>
      <c r="I541" s="5">
        <v>9.284568647800125</v>
      </c>
      <c r="J541" s="5">
        <v>-5.615920657520965</v>
      </c>
      <c r="K541" s="5">
        <v>-1.370521140590697</v>
      </c>
      <c r="L541" s="9" t="b">
        <v>0</v>
      </c>
    </row>
    <row r="542" ht="15.75" customHeight="1">
      <c r="A542" s="5">
        <v>7.0</v>
      </c>
      <c r="B542" s="5">
        <v>20213.0</v>
      </c>
      <c r="C542" s="5">
        <v>9727.26616203387</v>
      </c>
      <c r="D542" s="5">
        <v>9746.236327134277</v>
      </c>
      <c r="E542" s="5">
        <v>9.089725518928503</v>
      </c>
      <c r="F542" s="5">
        <v>7.713168842793772</v>
      </c>
      <c r="G542" s="5">
        <v>-5.309994995413215</v>
      </c>
      <c r="H542" s="5">
        <v>12.03963064072715</v>
      </c>
      <c r="I542" s="5">
        <v>9.55558751764346</v>
      </c>
      <c r="J542" s="5">
        <v>-4.752467463295545</v>
      </c>
      <c r="K542" s="5">
        <v>-0.19464093075183264</v>
      </c>
      <c r="L542" s="9" t="b">
        <v>0</v>
      </c>
    </row>
    <row r="543" ht="15.75" customHeight="1">
      <c r="A543" s="5">
        <v>7.0</v>
      </c>
      <c r="B543" s="5">
        <v>20214.0</v>
      </c>
      <c r="C543" s="5">
        <v>10307.78644513848</v>
      </c>
      <c r="D543" s="5">
        <v>10050.26818418568</v>
      </c>
      <c r="E543" s="5">
        <v>17.864639072754883</v>
      </c>
      <c r="F543" s="5">
        <v>10.639965636507226</v>
      </c>
      <c r="G543" s="5">
        <v>-0.3128191221656422</v>
      </c>
      <c r="H543" s="5">
        <v>13.900176648702711</v>
      </c>
      <c r="I543" s="5">
        <v>10.836575701535288</v>
      </c>
      <c r="J543" s="5">
        <v>-2.02878223508376</v>
      </c>
      <c r="K543" s="5">
        <v>2.562302380726633</v>
      </c>
      <c r="L543" s="9" t="b">
        <v>0</v>
      </c>
    </row>
    <row r="544" ht="15.75" customHeight="1">
      <c r="A544" s="5">
        <v>7.0</v>
      </c>
      <c r="B544" s="5">
        <v>20221.0</v>
      </c>
      <c r="C544" s="5">
        <v>10537.478997856331</v>
      </c>
      <c r="D544" s="5">
        <v>10463.815959427517</v>
      </c>
      <c r="E544" s="5">
        <v>18.851931182387638</v>
      </c>
      <c r="F544" s="5">
        <v>13.67037658579569</v>
      </c>
      <c r="G544" s="5">
        <v>4.002446334774456</v>
      </c>
      <c r="H544" s="5">
        <v>14.465816535229603</v>
      </c>
      <c r="I544" s="5">
        <v>12.472543841408296</v>
      </c>
      <c r="J544" s="5">
        <v>1.7978935772585363</v>
      </c>
      <c r="K544" s="5">
        <v>0.7039787274015108</v>
      </c>
      <c r="L544" s="9" t="b">
        <v>0</v>
      </c>
    </row>
    <row r="545" ht="15.75" customHeight="1">
      <c r="A545" s="5">
        <v>7.0</v>
      </c>
      <c r="B545" s="5">
        <v>20222.0</v>
      </c>
      <c r="C545" s="5">
        <v>11141.648764255726</v>
      </c>
      <c r="D545" s="5">
        <v>10787.50595262575</v>
      </c>
      <c r="E545" s="5">
        <v>18.81927250275801</v>
      </c>
      <c r="F545" s="5">
        <v>16.156392069207257</v>
      </c>
      <c r="G545" s="5">
        <v>7.090930513525615</v>
      </c>
      <c r="H545" s="5">
        <v>13.465860836194498</v>
      </c>
      <c r="I545" s="5">
        <v>13.467871165213491</v>
      </c>
      <c r="J545" s="5">
        <v>4.183302517413367</v>
      </c>
      <c r="K545" s="5">
        <v>3.282897948656749</v>
      </c>
      <c r="L545" s="9" t="b">
        <v>0</v>
      </c>
    </row>
    <row r="546" ht="15.75" customHeight="1">
      <c r="A546" s="5">
        <v>7.0</v>
      </c>
      <c r="B546" s="5">
        <v>20223.0</v>
      </c>
      <c r="C546" s="5">
        <v>11601.160608090406</v>
      </c>
      <c r="D546" s="5">
        <v>11109.99930693345</v>
      </c>
      <c r="E546" s="5">
        <v>19.264348428857268</v>
      </c>
      <c r="F546" s="5">
        <v>18.70004779668945</v>
      </c>
      <c r="G546" s="5">
        <v>10.986878953895678</v>
      </c>
      <c r="H546" s="5">
        <v>13.99271404903606</v>
      </c>
      <c r="I546" s="5">
        <v>13.956142017290716</v>
      </c>
      <c r="J546" s="5">
        <v>4.4005544996472565</v>
      </c>
      <c r="K546" s="5">
        <v>4.420894075577797</v>
      </c>
      <c r="L546" s="9" t="b">
        <v>0</v>
      </c>
    </row>
    <row r="547" ht="15.75" customHeight="1">
      <c r="A547" s="5">
        <v>7.0</v>
      </c>
      <c r="B547" s="5">
        <v>20224.0</v>
      </c>
      <c r="C547" s="5">
        <v>12123.22030478404</v>
      </c>
      <c r="D547" s="5">
        <v>11149.479875337018</v>
      </c>
      <c r="E547" s="5">
        <v>17.612257193219037</v>
      </c>
      <c r="F547" s="5">
        <v>18.63695232680549</v>
      </c>
      <c r="G547" s="5">
        <v>7.996986690298263</v>
      </c>
      <c r="H547" s="5">
        <v>10.937137905244887</v>
      </c>
      <c r="I547" s="5">
        <v>13.21538233142626</v>
      </c>
      <c r="J547" s="5">
        <v>2.3788066298909722</v>
      </c>
      <c r="K547" s="5">
        <v>8.733505422086685</v>
      </c>
      <c r="L547" s="9" t="b">
        <v>0</v>
      </c>
    </row>
    <row r="548" ht="15.75" customHeight="1">
      <c r="A548" s="5">
        <v>7.0</v>
      </c>
      <c r="B548" s="5">
        <v>20231.0</v>
      </c>
      <c r="C548" s="5">
        <v>11491.526021423471</v>
      </c>
      <c r="D548" s="5">
        <v>11082.864888441816</v>
      </c>
      <c r="E548" s="5">
        <v>9.053845077757439</v>
      </c>
      <c r="F548" s="5">
        <v>16.187430800647938</v>
      </c>
      <c r="G548" s="5">
        <v>2.517054214852248</v>
      </c>
      <c r="H548" s="5">
        <v>5.916091523537914</v>
      </c>
      <c r="I548" s="5">
        <v>11.07795107850334</v>
      </c>
      <c r="J548" s="5">
        <v>-1.3945927629049564</v>
      </c>
      <c r="K548" s="5">
        <v>3.6873239644727773</v>
      </c>
      <c r="L548" s="9" t="b">
        <v>0</v>
      </c>
    </row>
    <row r="549" ht="15.75" customHeight="1">
      <c r="A549" s="5">
        <v>7.0</v>
      </c>
      <c r="B549" s="5">
        <v>20232.0</v>
      </c>
      <c r="C549" s="5">
        <v>11589.532531353128</v>
      </c>
      <c r="D549" s="5">
        <v>11315.10064937912</v>
      </c>
      <c r="E549" s="5">
        <v>4.019905640306032</v>
      </c>
      <c r="F549" s="5">
        <v>12.487589085034944</v>
      </c>
      <c r="G549" s="5">
        <v>-3.668802984172313</v>
      </c>
      <c r="H549" s="5">
        <v>4.89079402662993</v>
      </c>
      <c r="I549" s="5">
        <v>8.934184376112198</v>
      </c>
      <c r="J549" s="5">
        <v>-4.533686789101294</v>
      </c>
      <c r="K549" s="5">
        <v>2.4253596187769455</v>
      </c>
      <c r="L549" s="9" t="b">
        <v>0</v>
      </c>
    </row>
    <row r="550" ht="15.75" customHeight="1">
      <c r="A550" s="5">
        <v>7.0</v>
      </c>
      <c r="B550" s="5">
        <v>20233.0</v>
      </c>
      <c r="C550" s="5">
        <v>12226.90583410295</v>
      </c>
      <c r="D550" s="5">
        <v>12102.857870984515</v>
      </c>
      <c r="E550" s="5">
        <v>5.393815732334262</v>
      </c>
      <c r="F550" s="5">
        <v>9.019955910904192</v>
      </c>
      <c r="G550" s="5">
        <v>-9.680091885785258</v>
      </c>
      <c r="H550" s="5">
        <v>8.936621296019776</v>
      </c>
      <c r="I550" s="5">
        <v>7.670161187858127</v>
      </c>
      <c r="J550" s="5">
        <v>-6.28598082943259</v>
      </c>
      <c r="K550" s="5">
        <v>1.0249476978146488</v>
      </c>
      <c r="L550" s="9" t="b">
        <v>0</v>
      </c>
    </row>
    <row r="551" ht="15.75" customHeight="1">
      <c r="A551" s="5">
        <v>7.0</v>
      </c>
      <c r="B551" s="5">
        <v>20234.0</v>
      </c>
      <c r="C551" s="5">
        <v>13466.1965032913</v>
      </c>
      <c r="D551" s="5">
        <v>12611.620299823811</v>
      </c>
      <c r="E551" s="5">
        <v>11.077718335096964</v>
      </c>
      <c r="F551" s="5">
        <v>7.386321196373674</v>
      </c>
      <c r="G551" s="5">
        <v>-11.250631130431813</v>
      </c>
      <c r="H551" s="5">
        <v>13.11397877600633</v>
      </c>
      <c r="I551" s="5">
        <v>8.214371405548487</v>
      </c>
      <c r="J551" s="5">
        <v>-5.0010109258777735</v>
      </c>
      <c r="K551" s="5">
        <v>6.7761015884646225</v>
      </c>
      <c r="L551" s="9" t="b">
        <v>0</v>
      </c>
    </row>
    <row r="552" ht="15.75" customHeight="1">
      <c r="A552" s="5">
        <v>7.0</v>
      </c>
      <c r="B552" s="5">
        <v>20241.0</v>
      </c>
      <c r="C552" s="5">
        <v>14688.319424481464</v>
      </c>
      <c r="D552" s="5">
        <v>13688.931405877976</v>
      </c>
      <c r="E552" s="5">
        <v>27.81870220802929</v>
      </c>
      <c r="F552" s="5">
        <v>12.077535478941638</v>
      </c>
      <c r="G552" s="5">
        <v>-4.109895321706301</v>
      </c>
      <c r="H552" s="5">
        <v>23.514375963871892</v>
      </c>
      <c r="I552" s="5">
        <v>12.613942515631983</v>
      </c>
      <c r="J552" s="5">
        <v>1.5359914371286436</v>
      </c>
      <c r="K552" s="5">
        <v>7.300701486270533</v>
      </c>
      <c r="L552" s="9" t="b">
        <v>0</v>
      </c>
    </row>
    <row r="553" ht="15.75" customHeight="1">
      <c r="A553" s="5">
        <v>7.0</v>
      </c>
      <c r="B553" s="5">
        <v>20242.0</v>
      </c>
      <c r="C553" s="5">
        <v>15433.69500396197</v>
      </c>
      <c r="D553" s="5">
        <v>14745.354120247446</v>
      </c>
      <c r="E553" s="5">
        <v>33.16926254108385</v>
      </c>
      <c r="F553" s="5">
        <v>19.364874704136092</v>
      </c>
      <c r="G553" s="5">
        <v>6.877285619101148</v>
      </c>
      <c r="H553" s="5">
        <v>30.315713285825275</v>
      </c>
      <c r="I553" s="5">
        <v>18.970172330430817</v>
      </c>
      <c r="J553" s="5">
        <v>10.03598795431862</v>
      </c>
      <c r="K553" s="5">
        <v>4.668188217801661</v>
      </c>
      <c r="L553" s="9" t="b">
        <v>0</v>
      </c>
    </row>
    <row r="554" ht="15.75" customHeight="1">
      <c r="A554" s="5">
        <v>7.0</v>
      </c>
      <c r="B554" s="5">
        <v>20243.0</v>
      </c>
      <c r="C554" s="5">
        <v>16031.588045279988</v>
      </c>
      <c r="D554" s="5">
        <v>15154.587292407688</v>
      </c>
      <c r="E554" s="5">
        <v>31.117293801062274</v>
      </c>
      <c r="F554" s="5">
        <v>25.795744221318095</v>
      </c>
      <c r="G554" s="5">
        <v>16.7757883104139</v>
      </c>
      <c r="H554" s="5">
        <v>25.214948848894725</v>
      </c>
      <c r="I554" s="5">
        <v>23.039754218649556</v>
      </c>
      <c r="J554" s="5">
        <v>15.369593030791428</v>
      </c>
      <c r="K554" s="5">
        <v>5.787031582916602</v>
      </c>
      <c r="L554" s="9" t="b">
        <v>0</v>
      </c>
    </row>
    <row r="555" ht="15.75" customHeight="1">
      <c r="A555" s="5">
        <v>7.0</v>
      </c>
      <c r="B555" s="5">
        <v>20244.0</v>
      </c>
      <c r="C555" s="5">
        <v>15466.642112356696</v>
      </c>
      <c r="D555" s="5">
        <v>15228.41330122621</v>
      </c>
      <c r="E555" s="5">
        <v>14.855312772069418</v>
      </c>
      <c r="F555" s="5">
        <v>26.74014283056121</v>
      </c>
      <c r="G555" s="5">
        <v>19.353821634187536</v>
      </c>
      <c r="H555" s="5">
        <v>20.74906268339649</v>
      </c>
      <c r="I555" s="5">
        <v>24.948525195497098</v>
      </c>
      <c r="J555" s="5">
        <v>16.73415378994861</v>
      </c>
      <c r="K555" s="5">
        <v>1.564370538270743</v>
      </c>
      <c r="L555" s="9" t="b">
        <v>0</v>
      </c>
    </row>
    <row r="556" ht="15.75" customHeight="1">
      <c r="A556" s="5">
        <v>7.0</v>
      </c>
      <c r="B556" s="5">
        <v>20251.0</v>
      </c>
      <c r="C556" s="5">
        <v>15652.564932686444</v>
      </c>
      <c r="D556" s="5">
        <v>15111.645589801226</v>
      </c>
      <c r="E556" s="5">
        <v>6.564709551440195</v>
      </c>
      <c r="F556" s="5">
        <v>21.426644666413935</v>
      </c>
      <c r="G556" s="5">
        <v>9.349109187472298</v>
      </c>
      <c r="H556" s="5">
        <v>10.393171985012216</v>
      </c>
      <c r="I556" s="5">
        <v>21.668224200782177</v>
      </c>
      <c r="J556" s="5">
        <v>9.054281685150194</v>
      </c>
      <c r="K556" s="5">
        <v>3.579486692371092</v>
      </c>
      <c r="L556" s="9" t="b">
        <v>0</v>
      </c>
    </row>
    <row r="557" ht="15.75" customHeight="1">
      <c r="A557" s="5">
        <v>7.0</v>
      </c>
      <c r="B557" s="5">
        <v>20252.0</v>
      </c>
      <c r="C557" s="5">
        <v>15701.39416380996</v>
      </c>
      <c r="D557" s="5">
        <v>14957.890728473363</v>
      </c>
      <c r="E557" s="5">
        <v>1.7345111444749373</v>
      </c>
      <c r="F557" s="5">
        <v>13.567956817261708</v>
      </c>
      <c r="G557" s="5">
        <v>-5.796917886874384</v>
      </c>
      <c r="H557" s="5">
        <v>1.4413801560321682</v>
      </c>
      <c r="I557" s="5">
        <v>14.449640918333902</v>
      </c>
      <c r="J557" s="5">
        <v>-4.520531412096915</v>
      </c>
      <c r="K557" s="5">
        <v>4.9706435809247385</v>
      </c>
      <c r="L557" s="9" t="b">
        <v>0</v>
      </c>
    </row>
    <row r="558" ht="15.75" customHeight="1">
      <c r="A558" s="5">
        <v>7.0</v>
      </c>
      <c r="B558" s="5">
        <v>20253.0</v>
      </c>
      <c r="C558" s="5">
        <v>15633.71087676582</v>
      </c>
      <c r="D558" s="5">
        <v>14862.59149291142</v>
      </c>
      <c r="E558" s="5">
        <v>-2.481832538301232</v>
      </c>
      <c r="F558" s="5">
        <v>5.168175232420832</v>
      </c>
      <c r="G558" s="5">
        <v>-20.627568988897263</v>
      </c>
      <c r="H558" s="5">
        <v>-1.9267815999354565</v>
      </c>
      <c r="I558" s="5">
        <v>7.664208306126355</v>
      </c>
      <c r="J558" s="5">
        <v>-15.3755459125232</v>
      </c>
      <c r="K558" s="5">
        <v>5.18832388162036</v>
      </c>
      <c r="L558" s="9" t="b">
        <v>0</v>
      </c>
    </row>
    <row r="559" ht="15.75" customHeight="1">
      <c r="A559" s="5">
        <v>7.0</v>
      </c>
      <c r="B559" s="5">
        <v>20254.0</v>
      </c>
      <c r="C559" s="5">
        <v>15591.614327103993</v>
      </c>
      <c r="D559" s="5">
        <v>15063.997841078924</v>
      </c>
      <c r="E559" s="5">
        <v>0.8080112919109483</v>
      </c>
      <c r="F559" s="5">
        <v>1.656349862381214</v>
      </c>
      <c r="G559" s="5">
        <v>-25.08379296818</v>
      </c>
      <c r="H559" s="5">
        <v>-1.0796624500206242</v>
      </c>
      <c r="I559" s="5">
        <v>2.207027022772076</v>
      </c>
      <c r="J559" s="5">
        <v>-22.741498172725024</v>
      </c>
      <c r="K559" s="5">
        <v>3.502499745361609</v>
      </c>
      <c r="L559" s="9" t="b">
        <v>0</v>
      </c>
    </row>
    <row r="560" ht="15.75" customHeight="1">
      <c r="A560" s="5">
        <v>7.0</v>
      </c>
      <c r="B560" s="5">
        <v>20261.0</v>
      </c>
      <c r="C560" s="5">
        <v>15390.74302751164</v>
      </c>
      <c r="D560" s="5">
        <v>15077.872494719924</v>
      </c>
      <c r="E560" s="5">
        <v>-1.6727092735328908</v>
      </c>
      <c r="F560" s="5">
        <v>-0.4030048438620575</v>
      </c>
      <c r="G560" s="5">
        <v>-21.829649510275992</v>
      </c>
      <c r="H560" s="5">
        <v>-0.22349051849187562</v>
      </c>
      <c r="I560" s="5">
        <v>-0.44713860310394704</v>
      </c>
      <c r="J560" s="5">
        <v>-22.115362803886125</v>
      </c>
      <c r="K560" s="5">
        <v>2.0750310290876817</v>
      </c>
      <c r="L560" s="9" t="b">
        <v>0</v>
      </c>
    </row>
    <row r="561" ht="15.75" customHeight="1">
      <c r="A561" s="5">
        <v>7.0</v>
      </c>
      <c r="B561" s="5">
        <v>20262.0</v>
      </c>
      <c r="C561" s="5">
        <v>15922.87703568673</v>
      </c>
      <c r="D561" s="5">
        <v>14791.950641039952</v>
      </c>
      <c r="E561" s="5">
        <v>1.4105936680913533</v>
      </c>
      <c r="F561" s="5">
        <v>-0.48398421295795346</v>
      </c>
      <c r="G561" s="5">
        <v>-14.05194103021966</v>
      </c>
      <c r="H561" s="5">
        <v>-1.1093815996230938</v>
      </c>
      <c r="I561" s="5">
        <v>-1.0848290420177626</v>
      </c>
      <c r="J561" s="5">
        <v>-15.534469960351664</v>
      </c>
      <c r="K561" s="5">
        <v>7.6455527880754826</v>
      </c>
      <c r="L561" s="9" t="b">
        <v>0</v>
      </c>
    </row>
    <row r="562" ht="15.75" customHeight="1">
      <c r="A562" s="5">
        <v>8.0</v>
      </c>
      <c r="B562" s="5">
        <v>20063.0</v>
      </c>
      <c r="C562" s="5">
        <v>3022.0</v>
      </c>
      <c r="D562" s="5">
        <v>2759.85</v>
      </c>
      <c r="K562" s="5">
        <v>9.498704639744915</v>
      </c>
      <c r="L562" s="9" t="b">
        <v>0</v>
      </c>
    </row>
    <row r="563" ht="15.75" customHeight="1">
      <c r="A563" s="5">
        <v>8.0</v>
      </c>
      <c r="B563" s="5">
        <v>20064.0</v>
      </c>
      <c r="C563" s="5">
        <v>3304.0</v>
      </c>
      <c r="D563" s="5">
        <v>2931.85</v>
      </c>
      <c r="K563" s="5">
        <v>12.693350614799526</v>
      </c>
      <c r="L563" s="9" t="b">
        <v>0</v>
      </c>
    </row>
    <row r="564" ht="15.75" customHeight="1">
      <c r="A564" s="5">
        <v>8.0</v>
      </c>
      <c r="B564" s="5">
        <v>20071.0</v>
      </c>
      <c r="C564" s="5">
        <v>3309.0</v>
      </c>
      <c r="D564" s="5">
        <v>3434.93</v>
      </c>
      <c r="K564" s="5">
        <v>-3.6661591357029066</v>
      </c>
      <c r="L564" s="9" t="b">
        <v>0</v>
      </c>
    </row>
    <row r="565" ht="15.75" customHeight="1">
      <c r="A565" s="5">
        <v>8.0</v>
      </c>
      <c r="B565" s="5">
        <v>20072.0</v>
      </c>
      <c r="C565" s="5">
        <v>3503.0</v>
      </c>
      <c r="D565" s="5">
        <v>3958.32</v>
      </c>
      <c r="K565" s="5">
        <v>-11.502859799106691</v>
      </c>
      <c r="L565" s="9" t="b">
        <v>0</v>
      </c>
    </row>
    <row r="566" ht="15.75" customHeight="1">
      <c r="A566" s="5">
        <v>8.0</v>
      </c>
      <c r="B566" s="5">
        <v>20073.0</v>
      </c>
      <c r="C566" s="5">
        <v>4125.0</v>
      </c>
      <c r="D566" s="5">
        <v>4315.56</v>
      </c>
      <c r="E566" s="5">
        <v>36.49900727994706</v>
      </c>
      <c r="H566" s="5">
        <v>56.36936790042939</v>
      </c>
      <c r="K566" s="5">
        <v>-4.4156494174568355</v>
      </c>
      <c r="L566" s="9" t="b">
        <v>0</v>
      </c>
    </row>
    <row r="567" ht="15.75" customHeight="1">
      <c r="A567" s="5">
        <v>8.0</v>
      </c>
      <c r="B567" s="5">
        <v>20074.0</v>
      </c>
      <c r="C567" s="5">
        <v>4597.0</v>
      </c>
      <c r="D567" s="5">
        <v>4662.88</v>
      </c>
      <c r="E567" s="5">
        <v>39.13438256658595</v>
      </c>
      <c r="H567" s="5">
        <v>59.04224295240208</v>
      </c>
      <c r="K567" s="5">
        <v>-1.412860721270981</v>
      </c>
      <c r="L567" s="9" t="b">
        <v>0</v>
      </c>
    </row>
    <row r="568" ht="15.75" customHeight="1">
      <c r="A568" s="5">
        <v>8.0</v>
      </c>
      <c r="B568" s="5">
        <v>20081.0</v>
      </c>
      <c r="C568" s="5">
        <v>4861.0</v>
      </c>
      <c r="D568" s="5">
        <v>4645.88</v>
      </c>
      <c r="E568" s="5">
        <v>46.902387428226056</v>
      </c>
      <c r="H568" s="5">
        <v>35.25399353116367</v>
      </c>
      <c r="K568" s="5">
        <v>4.630339139194284</v>
      </c>
      <c r="L568" s="9" t="b">
        <v>0</v>
      </c>
    </row>
    <row r="569" ht="15.75" customHeight="1">
      <c r="A569" s="5">
        <v>8.0</v>
      </c>
      <c r="B569" s="5">
        <v>20082.0</v>
      </c>
      <c r="C569" s="5">
        <v>4531.0</v>
      </c>
      <c r="D569" s="5">
        <v>4759.34</v>
      </c>
      <c r="E569" s="5">
        <v>29.346274621752787</v>
      </c>
      <c r="F569" s="5">
        <v>37.97051297412796</v>
      </c>
      <c r="H569" s="5">
        <v>20.236362901432937</v>
      </c>
      <c r="I569" s="5">
        <v>42.72549182135702</v>
      </c>
      <c r="K569" s="5">
        <v>-4.797724054175578</v>
      </c>
      <c r="L569" s="9" t="b">
        <v>0</v>
      </c>
    </row>
    <row r="570" ht="15.75" customHeight="1">
      <c r="A570" s="5">
        <v>8.0</v>
      </c>
      <c r="B570" s="5">
        <v>20083.0</v>
      </c>
      <c r="C570" s="5">
        <v>5073.0</v>
      </c>
      <c r="D570" s="5">
        <v>4807.97</v>
      </c>
      <c r="E570" s="5">
        <v>22.98181818181819</v>
      </c>
      <c r="F570" s="5">
        <v>34.59121569959575</v>
      </c>
      <c r="H570" s="5">
        <v>11.41010668372122</v>
      </c>
      <c r="I570" s="5">
        <v>31.48567651717998</v>
      </c>
      <c r="K570" s="5">
        <v>5.5123056092279965</v>
      </c>
      <c r="L570" s="9" t="b">
        <v>0</v>
      </c>
    </row>
    <row r="571" ht="15.75" customHeight="1">
      <c r="A571" s="5">
        <v>8.0</v>
      </c>
      <c r="B571" s="5">
        <v>20084.0</v>
      </c>
      <c r="C571" s="5">
        <v>5217.0</v>
      </c>
      <c r="D571" s="5">
        <v>4796.29</v>
      </c>
      <c r="E571" s="5">
        <v>13.487056776158358</v>
      </c>
      <c r="F571" s="5">
        <v>28.17938425198885</v>
      </c>
      <c r="H571" s="5">
        <v>2.861107298493626</v>
      </c>
      <c r="I571" s="5">
        <v>17.440392603702865</v>
      </c>
      <c r="K571" s="5">
        <v>8.77157136036395</v>
      </c>
      <c r="L571" s="9" t="b">
        <v>0</v>
      </c>
    </row>
    <row r="572" ht="15.75" customHeight="1">
      <c r="A572" s="5">
        <v>8.0</v>
      </c>
      <c r="B572" s="5">
        <v>20091.0</v>
      </c>
      <c r="C572" s="5">
        <v>4746.0</v>
      </c>
      <c r="D572" s="5">
        <v>4668.49</v>
      </c>
      <c r="E572" s="5">
        <v>-2.365768360419662</v>
      </c>
      <c r="F572" s="5">
        <v>15.862345304827416</v>
      </c>
      <c r="H572" s="5">
        <v>0.48666775723866795</v>
      </c>
      <c r="I572" s="5">
        <v>8.748561160221612</v>
      </c>
      <c r="K572" s="5">
        <v>1.6602798763625914</v>
      </c>
      <c r="L572" s="9" t="b">
        <v>0</v>
      </c>
    </row>
    <row r="573" ht="15.75" customHeight="1">
      <c r="A573" s="5">
        <v>8.0</v>
      </c>
      <c r="B573" s="5">
        <v>20092.0</v>
      </c>
      <c r="C573" s="5">
        <v>4693.0</v>
      </c>
      <c r="D573" s="5">
        <v>4626.88</v>
      </c>
      <c r="E573" s="5">
        <v>3.5753696755683073</v>
      </c>
      <c r="F573" s="5">
        <v>9.4196190682813</v>
      </c>
      <c r="G573" s="5">
        <v>-28.550893905846664</v>
      </c>
      <c r="H573" s="5">
        <v>-2.783159009442482</v>
      </c>
      <c r="I573" s="5">
        <v>2.993680682502758</v>
      </c>
      <c r="J573" s="5">
        <v>-39.73181113885426</v>
      </c>
      <c r="K573" s="5">
        <v>1.4290407358738433</v>
      </c>
      <c r="L573" s="9" t="b">
        <v>0</v>
      </c>
    </row>
    <row r="574" ht="15.75" customHeight="1">
      <c r="A574" s="5">
        <v>8.0</v>
      </c>
      <c r="B574" s="5">
        <v>20093.0</v>
      </c>
      <c r="C574" s="5">
        <v>4437.0</v>
      </c>
      <c r="D574" s="5">
        <v>4543.52</v>
      </c>
      <c r="E574" s="5">
        <v>-12.536960378474271</v>
      </c>
      <c r="F574" s="5">
        <v>0.5399244282081828</v>
      </c>
      <c r="G574" s="5">
        <v>-34.05129127138757</v>
      </c>
      <c r="H574" s="5">
        <v>-5.500242306004399</v>
      </c>
      <c r="I574" s="5">
        <v>-1.2339065649286467</v>
      </c>
      <c r="J574" s="5">
        <v>-32.71958308210863</v>
      </c>
      <c r="K574" s="5">
        <v>-2.3444377927245963</v>
      </c>
      <c r="L574" s="9" t="b">
        <v>0</v>
      </c>
    </row>
    <row r="575" ht="15.75" customHeight="1">
      <c r="A575" s="5">
        <v>8.0</v>
      </c>
      <c r="B575" s="5">
        <v>20094.0</v>
      </c>
      <c r="C575" s="5">
        <v>4830.0</v>
      </c>
      <c r="D575" s="5">
        <v>4690.94</v>
      </c>
      <c r="E575" s="5">
        <v>-7.418056354226565</v>
      </c>
      <c r="F575" s="5">
        <v>-4.686353854388048</v>
      </c>
      <c r="G575" s="5">
        <v>-32.865738106376895</v>
      </c>
      <c r="H575" s="5">
        <v>-2.1964893699088384</v>
      </c>
      <c r="I575" s="5">
        <v>-2.4983057320292628</v>
      </c>
      <c r="J575" s="5">
        <v>-19.938698335732127</v>
      </c>
      <c r="K575" s="5">
        <v>2.9644378312235986</v>
      </c>
      <c r="L575" s="9" t="b">
        <v>0</v>
      </c>
    </row>
    <row r="576" ht="15.75" customHeight="1">
      <c r="A576" s="5">
        <v>8.0</v>
      </c>
      <c r="B576" s="5">
        <v>20101.0</v>
      </c>
      <c r="C576" s="5">
        <v>4495.0</v>
      </c>
      <c r="D576" s="5">
        <v>4633.41</v>
      </c>
      <c r="E576" s="5">
        <v>-5.288664138221655</v>
      </c>
      <c r="F576" s="5">
        <v>-5.417077798838546</v>
      </c>
      <c r="G576" s="5">
        <v>-21.279423103665962</v>
      </c>
      <c r="H576" s="5">
        <v>-0.7514206949141955</v>
      </c>
      <c r="I576" s="5">
        <v>-2.8078278450674787</v>
      </c>
      <c r="J576" s="5">
        <v>-11.556389005289091</v>
      </c>
      <c r="K576" s="5">
        <v>-2.9872167582838505</v>
      </c>
      <c r="L576" s="9" t="b">
        <v>0</v>
      </c>
    </row>
    <row r="577" ht="15.75" customHeight="1">
      <c r="A577" s="5">
        <v>8.0</v>
      </c>
      <c r="B577" s="5">
        <v>20102.0</v>
      </c>
      <c r="C577" s="5">
        <v>4535.0</v>
      </c>
      <c r="D577" s="5">
        <v>4813.92</v>
      </c>
      <c r="E577" s="5">
        <v>-3.3667163861069715</v>
      </c>
      <c r="F577" s="5">
        <v>-7.152599314257366</v>
      </c>
      <c r="G577" s="5">
        <v>-16.572218382538665</v>
      </c>
      <c r="H577" s="5">
        <v>4.042464900753862</v>
      </c>
      <c r="I577" s="5">
        <v>-1.1014218675183929</v>
      </c>
      <c r="J577" s="5">
        <v>-4.095102550021151</v>
      </c>
      <c r="K577" s="5">
        <v>-5.794030644464387</v>
      </c>
      <c r="L577" s="9" t="b">
        <v>0</v>
      </c>
    </row>
    <row r="578" ht="15.75" customHeight="1">
      <c r="A578" s="5">
        <v>8.0</v>
      </c>
      <c r="B578" s="5">
        <v>20103.0</v>
      </c>
      <c r="C578" s="5">
        <v>4821.0</v>
      </c>
      <c r="D578" s="5">
        <v>4833.6</v>
      </c>
      <c r="E578" s="5">
        <v>8.654496281271129</v>
      </c>
      <c r="F578" s="5">
        <v>-1.8547351493210158</v>
      </c>
      <c r="G578" s="5">
        <v>-2.3946595775291986</v>
      </c>
      <c r="H578" s="5">
        <v>6.384477233510588</v>
      </c>
      <c r="I578" s="5">
        <v>1.869758017360354</v>
      </c>
      <c r="J578" s="5">
        <v>3.1036645822890008</v>
      </c>
      <c r="K578" s="5">
        <v>-0.26067527308838434</v>
      </c>
      <c r="L578" s="9" t="b">
        <v>0</v>
      </c>
    </row>
    <row r="579" ht="15.75" customHeight="1">
      <c r="A579" s="5">
        <v>8.0</v>
      </c>
      <c r="B579" s="5">
        <v>20104.0</v>
      </c>
      <c r="C579" s="5">
        <v>4819.0</v>
      </c>
      <c r="D579" s="5">
        <v>4840.4</v>
      </c>
      <c r="E579" s="5">
        <v>-0.2277432712215366</v>
      </c>
      <c r="F579" s="5">
        <v>-0.057156878569758596</v>
      </c>
      <c r="G579" s="5">
        <v>4.62919697581829</v>
      </c>
      <c r="H579" s="5">
        <v>3.186141796740105</v>
      </c>
      <c r="I579" s="5">
        <v>3.2154158090225904</v>
      </c>
      <c r="J579" s="5">
        <v>5.713721541051854</v>
      </c>
      <c r="K579" s="5">
        <v>-0.44211222213039747</v>
      </c>
      <c r="L579" s="9" t="b">
        <v>0</v>
      </c>
    </row>
    <row r="580" ht="15.75" customHeight="1">
      <c r="A580" s="5">
        <v>8.0</v>
      </c>
      <c r="B580" s="5">
        <v>20111.0</v>
      </c>
      <c r="C580" s="5">
        <v>4896.0</v>
      </c>
      <c r="D580" s="5">
        <v>4897.32</v>
      </c>
      <c r="E580" s="5">
        <v>8.921023359288105</v>
      </c>
      <c r="F580" s="5">
        <v>3.4952649958076814</v>
      </c>
      <c r="G580" s="5">
        <v>8.912342794646229</v>
      </c>
      <c r="H580" s="5">
        <v>5.695805033441892</v>
      </c>
      <c r="I580" s="5">
        <v>4.8272222411116115</v>
      </c>
      <c r="J580" s="5">
        <v>7.63505008617909</v>
      </c>
      <c r="K580" s="5">
        <v>-0.026953517434014085</v>
      </c>
      <c r="L580" s="9" t="b">
        <v>0</v>
      </c>
    </row>
    <row r="581" ht="15.75" customHeight="1">
      <c r="A581" s="5">
        <v>8.0</v>
      </c>
      <c r="B581" s="5">
        <v>20112.0</v>
      </c>
      <c r="C581" s="5">
        <v>4827.0</v>
      </c>
      <c r="D581" s="5">
        <v>4829.71</v>
      </c>
      <c r="E581" s="5">
        <v>6.438809261300982</v>
      </c>
      <c r="F581" s="5">
        <v>5.94664640765967</v>
      </c>
      <c r="G581" s="5">
        <v>13.099245721917036</v>
      </c>
      <c r="H581" s="5">
        <v>0.3280071127064854</v>
      </c>
      <c r="I581" s="5">
        <v>3.898607794099768</v>
      </c>
      <c r="J581" s="5">
        <v>5.000029661618161</v>
      </c>
      <c r="K581" s="5">
        <v>-0.056111029440686355</v>
      </c>
      <c r="L581" s="9" t="b">
        <v>0</v>
      </c>
    </row>
    <row r="582" ht="15.75" customHeight="1">
      <c r="A582" s="5">
        <v>8.0</v>
      </c>
      <c r="B582" s="5">
        <v>20113.0</v>
      </c>
      <c r="C582" s="5">
        <v>5133.0</v>
      </c>
      <c r="D582" s="5">
        <v>5028.57</v>
      </c>
      <c r="E582" s="5">
        <v>6.471686372121965</v>
      </c>
      <c r="F582" s="5">
        <v>5.400943930372379</v>
      </c>
      <c r="G582" s="5">
        <v>7.255679079693395</v>
      </c>
      <c r="H582" s="5">
        <v>4.033639523336641</v>
      </c>
      <c r="I582" s="5">
        <v>3.310898366556281</v>
      </c>
      <c r="J582" s="5">
        <v>1.4411403491959267</v>
      </c>
      <c r="K582" s="5">
        <v>2.0767335445265767</v>
      </c>
      <c r="L582" s="9" t="b">
        <v>0</v>
      </c>
    </row>
    <row r="583" ht="15.75" customHeight="1">
      <c r="A583" s="5">
        <v>8.0</v>
      </c>
      <c r="B583" s="5">
        <v>20114.0</v>
      </c>
      <c r="C583" s="5">
        <v>4644.0</v>
      </c>
      <c r="D583" s="5">
        <v>4868.97</v>
      </c>
      <c r="E583" s="5">
        <v>-3.631458808881516</v>
      </c>
      <c r="F583" s="5">
        <v>4.550015045957385</v>
      </c>
      <c r="G583" s="5">
        <v>4.607171924527143</v>
      </c>
      <c r="H583" s="5">
        <v>0.5902404759937419</v>
      </c>
      <c r="I583" s="5">
        <v>2.66192303636969</v>
      </c>
      <c r="J583" s="5">
        <v>-0.5534927726529002</v>
      </c>
      <c r="K583" s="5">
        <v>-4.620484414568182</v>
      </c>
      <c r="L583" s="9" t="b">
        <v>0</v>
      </c>
    </row>
    <row r="584" ht="15.75" customHeight="1">
      <c r="A584" s="5">
        <v>8.0</v>
      </c>
      <c r="B584" s="5">
        <v>20121.0</v>
      </c>
      <c r="C584" s="5">
        <v>4935.0</v>
      </c>
      <c r="D584" s="5">
        <v>4834.44</v>
      </c>
      <c r="E584" s="5">
        <v>0.7965686274509887</v>
      </c>
      <c r="F584" s="5">
        <v>2.518901362998105</v>
      </c>
      <c r="G584" s="5">
        <v>-0.9763636328095764</v>
      </c>
      <c r="H584" s="5">
        <v>-1.2839675577662857</v>
      </c>
      <c r="I584" s="5">
        <v>0.9169798885676458</v>
      </c>
      <c r="J584" s="5">
        <v>-3.910242352543966</v>
      </c>
      <c r="K584" s="5">
        <v>2.0800754585846626</v>
      </c>
      <c r="L584" s="9" t="b">
        <v>0</v>
      </c>
    </row>
    <row r="585" ht="15.75" customHeight="1">
      <c r="A585" s="5">
        <v>8.0</v>
      </c>
      <c r="B585" s="5">
        <v>20122.0</v>
      </c>
      <c r="C585" s="5">
        <v>4906.0</v>
      </c>
      <c r="D585" s="5">
        <v>4743.67</v>
      </c>
      <c r="E585" s="5">
        <v>1.6366273047441426</v>
      </c>
      <c r="F585" s="5">
        <v>1.3183558738588952</v>
      </c>
      <c r="G585" s="5">
        <v>-4.628290533800775</v>
      </c>
      <c r="H585" s="5">
        <v>-1.7814734217996508</v>
      </c>
      <c r="I585" s="5">
        <v>0.3896097549411117</v>
      </c>
      <c r="J585" s="5">
        <v>-3.508998039158656</v>
      </c>
      <c r="K585" s="5">
        <v>3.4220339947761858</v>
      </c>
      <c r="L585" s="9" t="b">
        <v>0</v>
      </c>
    </row>
    <row r="586" ht="15.75" customHeight="1">
      <c r="A586" s="5">
        <v>8.0</v>
      </c>
      <c r="B586" s="5">
        <v>20123.0</v>
      </c>
      <c r="C586" s="5">
        <v>4864.0</v>
      </c>
      <c r="D586" s="5">
        <v>4786.8</v>
      </c>
      <c r="E586" s="5">
        <v>-5.2406000389635725</v>
      </c>
      <c r="F586" s="5">
        <v>-1.6097157289124893</v>
      </c>
      <c r="G586" s="5">
        <v>-7.010659659284868</v>
      </c>
      <c r="H586" s="5">
        <v>-4.807927502252118</v>
      </c>
      <c r="I586" s="5">
        <v>-1.820782001456078</v>
      </c>
      <c r="J586" s="5">
        <v>-5.131680368012359</v>
      </c>
      <c r="K586" s="5">
        <v>1.6127684465613745</v>
      </c>
      <c r="L586" s="9" t="b">
        <v>0</v>
      </c>
    </row>
    <row r="587" ht="15.75" customHeight="1">
      <c r="A587" s="5">
        <v>8.0</v>
      </c>
      <c r="B587" s="5">
        <v>20124.0</v>
      </c>
      <c r="C587" s="5">
        <v>4699.0</v>
      </c>
      <c r="D587" s="5">
        <v>4599.32</v>
      </c>
      <c r="E587" s="5">
        <v>1.1843238587424532</v>
      </c>
      <c r="F587" s="5">
        <v>-0.405770062006497</v>
      </c>
      <c r="G587" s="5">
        <v>-4.955785107963882</v>
      </c>
      <c r="H587" s="5">
        <v>-5.538132294920706</v>
      </c>
      <c r="I587" s="5">
        <v>-3.3528751941846897</v>
      </c>
      <c r="J587" s="5">
        <v>-6.01479823055438</v>
      </c>
      <c r="K587" s="5">
        <v>2.1672769018028726</v>
      </c>
      <c r="L587" s="9" t="b">
        <v>0</v>
      </c>
    </row>
    <row r="588" ht="15.75" customHeight="1">
      <c r="A588" s="5">
        <v>8.0</v>
      </c>
      <c r="B588" s="5">
        <v>20131.0</v>
      </c>
      <c r="C588" s="5">
        <v>4679.0</v>
      </c>
      <c r="D588" s="5">
        <v>4540.95</v>
      </c>
      <c r="E588" s="5">
        <v>-5.187436676798374</v>
      </c>
      <c r="F588" s="5">
        <v>-1.9017713880688376</v>
      </c>
      <c r="G588" s="5">
        <v>-4.420672751066943</v>
      </c>
      <c r="H588" s="5">
        <v>-6.070816888822694</v>
      </c>
      <c r="I588" s="5">
        <v>-4.549587526948792</v>
      </c>
      <c r="J588" s="5">
        <v>-5.466567415516438</v>
      </c>
      <c r="K588" s="5">
        <v>3.0401127517369675</v>
      </c>
      <c r="L588" s="9" t="b">
        <v>0</v>
      </c>
    </row>
    <row r="589" ht="15.75" customHeight="1">
      <c r="A589" s="5">
        <v>8.0</v>
      </c>
      <c r="B589" s="5">
        <v>20132.0</v>
      </c>
      <c r="C589" s="5">
        <v>4943.0</v>
      </c>
      <c r="D589" s="5">
        <v>4532.17</v>
      </c>
      <c r="E589" s="5">
        <v>0.754178556869145</v>
      </c>
      <c r="F589" s="5">
        <v>-2.1223835750375866</v>
      </c>
      <c r="G589" s="5">
        <v>-3.4407394488964815</v>
      </c>
      <c r="H589" s="5">
        <v>-4.458573214409944</v>
      </c>
      <c r="I589" s="5">
        <v>-5.218862475101366</v>
      </c>
      <c r="J589" s="5">
        <v>-5.608472230042477</v>
      </c>
      <c r="K589" s="5">
        <v>9.064752646083441</v>
      </c>
      <c r="L589" s="9" t="b">
        <v>0</v>
      </c>
    </row>
    <row r="590" ht="15.75" customHeight="1">
      <c r="A590" s="5">
        <v>8.0</v>
      </c>
      <c r="B590" s="5">
        <v>20133.0</v>
      </c>
      <c r="C590" s="5">
        <v>4770.0</v>
      </c>
      <c r="D590" s="5">
        <v>4496.98</v>
      </c>
      <c r="E590" s="5">
        <v>-1.9325657894736836</v>
      </c>
      <c r="F590" s="5">
        <v>-1.2953750126651147</v>
      </c>
      <c r="G590" s="5">
        <v>0.3143407162473746</v>
      </c>
      <c r="H590" s="5">
        <v>-6.05456672516087</v>
      </c>
      <c r="I590" s="5">
        <v>-5.530522280828554</v>
      </c>
      <c r="J590" s="5">
        <v>-3.7097402793724754</v>
      </c>
      <c r="K590" s="5">
        <v>6.071185551192149</v>
      </c>
      <c r="L590" s="9" t="b">
        <v>0</v>
      </c>
    </row>
    <row r="591" ht="15.75" customHeight="1">
      <c r="A591" s="5">
        <v>8.0</v>
      </c>
      <c r="B591" s="5">
        <v>20134.0</v>
      </c>
      <c r="C591" s="5">
        <v>4796.0</v>
      </c>
      <c r="D591" s="5">
        <v>4519.12</v>
      </c>
      <c r="E591" s="5">
        <v>2.0642689934028624</v>
      </c>
      <c r="F591" s="5">
        <v>-1.0753887290000126</v>
      </c>
      <c r="G591" s="5">
        <v>-0.6696186669935156</v>
      </c>
      <c r="H591" s="5">
        <v>-1.7437360305436411</v>
      </c>
      <c r="I591" s="5">
        <v>-4.581923214734288</v>
      </c>
      <c r="J591" s="5">
        <v>-1.2290480205495982</v>
      </c>
      <c r="K591" s="5">
        <v>6.126856556143667</v>
      </c>
      <c r="L591" s="9" t="b">
        <v>0</v>
      </c>
    </row>
    <row r="592" ht="15.75" customHeight="1">
      <c r="A592" s="5">
        <v>8.0</v>
      </c>
      <c r="B592" s="5">
        <v>20141.0</v>
      </c>
      <c r="C592" s="5">
        <v>4643.0</v>
      </c>
      <c r="D592" s="5">
        <v>4493.56</v>
      </c>
      <c r="E592" s="5">
        <v>-0.7693951699081047</v>
      </c>
      <c r="F592" s="5">
        <v>0.029121647722554767</v>
      </c>
      <c r="G592" s="5">
        <v>1.9308930357913923</v>
      </c>
      <c r="H592" s="5">
        <v>-1.0436142216936894</v>
      </c>
      <c r="I592" s="5">
        <v>-3.325122547952036</v>
      </c>
      <c r="J592" s="5">
        <v>1.2244649789967559</v>
      </c>
      <c r="K592" s="5">
        <v>3.325648261066938</v>
      </c>
      <c r="L592" s="9" t="b">
        <v>0</v>
      </c>
    </row>
    <row r="593" ht="15.75" customHeight="1">
      <c r="A593" s="5">
        <v>8.0</v>
      </c>
      <c r="B593" s="5">
        <v>20142.0</v>
      </c>
      <c r="C593" s="5">
        <v>4917.0</v>
      </c>
      <c r="D593" s="5">
        <v>4530.39</v>
      </c>
      <c r="E593" s="5">
        <v>-0.5259963584867466</v>
      </c>
      <c r="F593" s="5">
        <v>-0.29092208111641815</v>
      </c>
      <c r="G593" s="5">
        <v>1.8314614939211684</v>
      </c>
      <c r="H593" s="5">
        <v>-0.03927478448513266</v>
      </c>
      <c r="I593" s="5">
        <v>-2.220297940470833</v>
      </c>
      <c r="J593" s="5">
        <v>2.9985645346305327</v>
      </c>
      <c r="K593" s="5">
        <v>8.533702396482411</v>
      </c>
      <c r="L593" s="9" t="b">
        <v>0</v>
      </c>
    </row>
    <row r="594" ht="15.75" customHeight="1">
      <c r="A594" s="5">
        <v>8.0</v>
      </c>
      <c r="B594" s="5">
        <v>20143.0</v>
      </c>
      <c r="C594" s="5">
        <v>4843.0</v>
      </c>
      <c r="D594" s="5">
        <v>4548.21</v>
      </c>
      <c r="E594" s="5">
        <v>1.5303983228511564</v>
      </c>
      <c r="F594" s="5">
        <v>0.5748189469647919</v>
      </c>
      <c r="G594" s="5">
        <v>1.8701939596299066</v>
      </c>
      <c r="H594" s="5">
        <v>1.1392089802489735</v>
      </c>
      <c r="I594" s="5">
        <v>-0.4218540141183722</v>
      </c>
      <c r="J594" s="5">
        <v>5.108668266710182</v>
      </c>
      <c r="K594" s="5">
        <v>6.4814509444374835</v>
      </c>
      <c r="L594" s="9" t="b">
        <v>0</v>
      </c>
    </row>
    <row r="595" ht="15.75" customHeight="1">
      <c r="A595" s="5">
        <v>8.0</v>
      </c>
      <c r="B595" s="5">
        <v>20144.0</v>
      </c>
      <c r="C595" s="5">
        <v>4967.0</v>
      </c>
      <c r="D595" s="5">
        <v>4523.22</v>
      </c>
      <c r="E595" s="5">
        <v>3.565471226021688</v>
      </c>
      <c r="F595" s="5">
        <v>0.9501195051194983</v>
      </c>
      <c r="G595" s="5">
        <v>2.0255082341195108</v>
      </c>
      <c r="H595" s="5">
        <v>0.09072562799838924</v>
      </c>
      <c r="I595" s="5">
        <v>0.03676140051713539</v>
      </c>
      <c r="J595" s="5">
        <v>4.618684615251423</v>
      </c>
      <c r="K595" s="5">
        <v>9.811152232259325</v>
      </c>
      <c r="L595" s="9" t="b">
        <v>0</v>
      </c>
    </row>
    <row r="596" ht="15.75" customHeight="1">
      <c r="A596" s="5">
        <v>8.0</v>
      </c>
      <c r="B596" s="5">
        <v>20151.0</v>
      </c>
      <c r="C596" s="5">
        <v>4920.0</v>
      </c>
      <c r="D596" s="5">
        <v>4537.71</v>
      </c>
      <c r="E596" s="5">
        <v>5.965970277837607</v>
      </c>
      <c r="F596" s="5">
        <v>2.633960867055926</v>
      </c>
      <c r="G596" s="5">
        <v>2.604839219333371</v>
      </c>
      <c r="H596" s="5">
        <v>0.9825172023963047</v>
      </c>
      <c r="I596" s="5">
        <v>0.5432942565396339</v>
      </c>
      <c r="J596" s="5">
        <v>3.86841680449167</v>
      </c>
      <c r="K596" s="5">
        <v>8.424734061894657</v>
      </c>
      <c r="L596" s="9" t="b">
        <v>0</v>
      </c>
    </row>
    <row r="597" ht="15.75" customHeight="1">
      <c r="A597" s="5">
        <v>8.0</v>
      </c>
      <c r="B597" s="5">
        <v>20152.0</v>
      </c>
      <c r="C597" s="5">
        <v>4980.0</v>
      </c>
      <c r="D597" s="5">
        <v>4605.81</v>
      </c>
      <c r="E597" s="5">
        <v>1.281269066503965</v>
      </c>
      <c r="F597" s="5">
        <v>3.0857772233036043</v>
      </c>
      <c r="G597" s="5">
        <v>3.3766993044200224</v>
      </c>
      <c r="H597" s="5">
        <v>1.6647573387721604</v>
      </c>
      <c r="I597" s="5">
        <v>0.9693022873539572</v>
      </c>
      <c r="J597" s="5">
        <v>3.1896002278247906</v>
      </c>
      <c r="K597" s="5">
        <v>8.124303868374927</v>
      </c>
      <c r="L597" s="9" t="b">
        <v>0</v>
      </c>
    </row>
    <row r="598" ht="15.75" customHeight="1">
      <c r="A598" s="5">
        <v>8.0</v>
      </c>
      <c r="B598" s="5">
        <v>20153.0</v>
      </c>
      <c r="C598" s="5">
        <v>5017.0</v>
      </c>
      <c r="D598" s="5">
        <v>4649.06</v>
      </c>
      <c r="E598" s="5">
        <v>3.592814371257491</v>
      </c>
      <c r="F598" s="5">
        <v>3.6013812354051877</v>
      </c>
      <c r="G598" s="5">
        <v>3.0265622884403958</v>
      </c>
      <c r="H598" s="5">
        <v>2.217355838890467</v>
      </c>
      <c r="I598" s="5">
        <v>1.2388390020143305</v>
      </c>
      <c r="J598" s="5">
        <v>1.6606930161327027</v>
      </c>
      <c r="K598" s="5">
        <v>7.914288049627216</v>
      </c>
      <c r="L598" s="9" t="b">
        <v>0</v>
      </c>
    </row>
    <row r="599" ht="15.75" customHeight="1">
      <c r="A599" s="5">
        <v>8.0</v>
      </c>
      <c r="B599" s="5">
        <v>20154.0</v>
      </c>
      <c r="C599" s="5">
        <v>4913.0</v>
      </c>
      <c r="D599" s="5">
        <v>4605.88</v>
      </c>
      <c r="E599" s="5">
        <v>-1.0871753573585718</v>
      </c>
      <c r="F599" s="5">
        <v>2.4382195895601226</v>
      </c>
      <c r="G599" s="5">
        <v>1.4881000844406245</v>
      </c>
      <c r="H599" s="5">
        <v>1.8274591994198897</v>
      </c>
      <c r="I599" s="5">
        <v>1.6730223948697056</v>
      </c>
      <c r="J599" s="5">
        <v>1.63626099435257</v>
      </c>
      <c r="K599" s="5">
        <v>6.667998297827982</v>
      </c>
      <c r="L599" s="9" t="b">
        <v>0</v>
      </c>
    </row>
    <row r="600" ht="15.75" customHeight="1">
      <c r="A600" s="5">
        <v>8.0</v>
      </c>
      <c r="B600" s="5">
        <v>20161.0</v>
      </c>
      <c r="C600" s="5">
        <v>4995.0</v>
      </c>
      <c r="D600" s="5">
        <v>4448.07</v>
      </c>
      <c r="E600" s="5">
        <v>1.5243902439024293</v>
      </c>
      <c r="F600" s="5">
        <v>1.3278245810763285</v>
      </c>
      <c r="G600" s="5">
        <v>-1.3061362859795973</v>
      </c>
      <c r="H600" s="5">
        <v>-1.9754457644935552</v>
      </c>
      <c r="I600" s="5">
        <v>0.9335316531472406</v>
      </c>
      <c r="J600" s="5">
        <v>0.3902373966076067</v>
      </c>
      <c r="K600" s="5">
        <v>12.295894623960502</v>
      </c>
      <c r="L600" s="9" t="b">
        <v>0</v>
      </c>
    </row>
    <row r="601" ht="15.75" customHeight="1">
      <c r="A601" s="5">
        <v>8.0</v>
      </c>
      <c r="B601" s="5">
        <v>20162.0</v>
      </c>
      <c r="C601" s="5">
        <v>5035.0</v>
      </c>
      <c r="D601" s="5">
        <v>4625.89</v>
      </c>
      <c r="E601" s="5">
        <v>1.1044176706827225</v>
      </c>
      <c r="F601" s="5">
        <v>1.2836117321210176</v>
      </c>
      <c r="G601" s="5">
        <v>-1.8021654911825866</v>
      </c>
      <c r="H601" s="5">
        <v>0.4359710886901569</v>
      </c>
      <c r="I601" s="5">
        <v>0.6263350906267398</v>
      </c>
      <c r="J601" s="5">
        <v>-0.3429671967272174</v>
      </c>
      <c r="K601" s="5">
        <v>8.84391976462906</v>
      </c>
      <c r="L601" s="9" t="b">
        <v>0</v>
      </c>
    </row>
    <row r="602" ht="15.75" customHeight="1">
      <c r="A602" s="5">
        <v>8.0</v>
      </c>
      <c r="B602" s="5">
        <v>20163.0</v>
      </c>
      <c r="C602" s="5">
        <v>4976.0</v>
      </c>
      <c r="D602" s="5">
        <v>4702.7</v>
      </c>
      <c r="E602" s="5">
        <v>-0.8172214470799299</v>
      </c>
      <c r="F602" s="5">
        <v>0.18110277753666248</v>
      </c>
      <c r="G602" s="5">
        <v>-3.420278457868525</v>
      </c>
      <c r="H602" s="5">
        <v>1.1537816246725008</v>
      </c>
      <c r="I602" s="5">
        <v>0.36044153707224824</v>
      </c>
      <c r="J602" s="5">
        <v>-0.8783974649420823</v>
      </c>
      <c r="K602" s="5">
        <v>5.811555064112106</v>
      </c>
      <c r="L602" s="9" t="b">
        <v>0</v>
      </c>
    </row>
    <row r="603" ht="15.75" customHeight="1">
      <c r="A603" s="5">
        <v>8.0</v>
      </c>
      <c r="B603" s="5">
        <v>20164.0</v>
      </c>
      <c r="C603" s="5">
        <v>5212.0</v>
      </c>
      <c r="D603" s="5">
        <v>4748.24</v>
      </c>
      <c r="E603" s="5">
        <v>6.085894565438643</v>
      </c>
      <c r="F603" s="5">
        <v>1.9743702582359663</v>
      </c>
      <c r="G603" s="5">
        <v>-0.4638493313241563</v>
      </c>
      <c r="H603" s="5">
        <v>3.0908317194542567</v>
      </c>
      <c r="I603" s="5">
        <v>0.67628466708084</v>
      </c>
      <c r="J603" s="5">
        <v>-0.9967377277888656</v>
      </c>
      <c r="K603" s="5">
        <v>9.766987346890632</v>
      </c>
      <c r="L603" s="9" t="b">
        <v>0</v>
      </c>
    </row>
    <row r="604" ht="15.75" customHeight="1">
      <c r="A604" s="5">
        <v>8.0</v>
      </c>
      <c r="B604" s="5">
        <v>20171.0</v>
      </c>
      <c r="C604" s="5">
        <v>5095.0</v>
      </c>
      <c r="D604" s="5">
        <v>4724.02</v>
      </c>
      <c r="E604" s="5">
        <v>2.0020020020020013</v>
      </c>
      <c r="F604" s="5">
        <v>2.0937731977608594</v>
      </c>
      <c r="G604" s="5">
        <v>0.7659486166845308</v>
      </c>
      <c r="H604" s="5">
        <v>6.203814238534933</v>
      </c>
      <c r="I604" s="5">
        <v>2.721099667837962</v>
      </c>
      <c r="J604" s="5">
        <v>1.7875680146907214</v>
      </c>
      <c r="K604" s="5">
        <v>7.853057353694504</v>
      </c>
      <c r="L604" s="9" t="b">
        <v>0</v>
      </c>
    </row>
    <row r="605" ht="15.75" customHeight="1">
      <c r="A605" s="5">
        <v>8.0</v>
      </c>
      <c r="B605" s="5">
        <v>20172.0</v>
      </c>
      <c r="C605" s="5">
        <v>4953.0</v>
      </c>
      <c r="D605" s="5">
        <v>4720.88</v>
      </c>
      <c r="E605" s="5">
        <v>-1.6285998013902736</v>
      </c>
      <c r="F605" s="5">
        <v>1.4105188297426103</v>
      </c>
      <c r="G605" s="5">
        <v>0.1269070976215927</v>
      </c>
      <c r="H605" s="5">
        <v>2.053442688866358</v>
      </c>
      <c r="I605" s="5">
        <v>3.125467567882012</v>
      </c>
      <c r="J605" s="5">
        <v>2.499132477255272</v>
      </c>
      <c r="K605" s="5">
        <v>4.9168799037467625</v>
      </c>
      <c r="L605" s="9" t="b">
        <v>0</v>
      </c>
    </row>
    <row r="606" ht="15.75" customHeight="1">
      <c r="A606" s="5">
        <v>8.0</v>
      </c>
      <c r="B606" s="5">
        <v>20173.0</v>
      </c>
      <c r="C606" s="5">
        <v>5243.0</v>
      </c>
      <c r="D606" s="5">
        <v>4844.95</v>
      </c>
      <c r="E606" s="5">
        <v>5.36575562700965</v>
      </c>
      <c r="F606" s="5">
        <v>2.9562630982650053</v>
      </c>
      <c r="G606" s="5">
        <v>2.775160320728343</v>
      </c>
      <c r="H606" s="5">
        <v>3.024858060263247</v>
      </c>
      <c r="I606" s="5">
        <v>3.5932366767796986</v>
      </c>
      <c r="J606" s="5">
        <v>3.2327951397074504</v>
      </c>
      <c r="K606" s="5">
        <v>8.21577106058886</v>
      </c>
      <c r="L606" s="9" t="b">
        <v>0</v>
      </c>
    </row>
    <row r="607" ht="15.75" customHeight="1">
      <c r="A607" s="5">
        <v>8.0</v>
      </c>
      <c r="B607" s="5">
        <v>20174.0</v>
      </c>
      <c r="C607" s="5">
        <v>5093.0</v>
      </c>
      <c r="D607" s="5">
        <v>4901.57</v>
      </c>
      <c r="E607" s="5">
        <v>-2.283192632386799</v>
      </c>
      <c r="F607" s="5">
        <v>0.8639912988086448</v>
      </c>
      <c r="G607" s="5">
        <v>-1.1103789594273215</v>
      </c>
      <c r="H607" s="5">
        <v>3.2291965022829494</v>
      </c>
      <c r="I607" s="5">
        <v>3.627827872486872</v>
      </c>
      <c r="J607" s="5">
        <v>2.9515432054060318</v>
      </c>
      <c r="K607" s="5">
        <v>3.905483345132277</v>
      </c>
      <c r="L607" s="9" t="b">
        <v>0</v>
      </c>
    </row>
    <row r="608" ht="15.75" customHeight="1">
      <c r="A608" s="5">
        <v>8.0</v>
      </c>
      <c r="B608" s="5">
        <v>20181.0</v>
      </c>
      <c r="C608" s="5">
        <v>5473.0</v>
      </c>
      <c r="D608" s="5">
        <v>4826.5</v>
      </c>
      <c r="E608" s="5">
        <v>7.419038272816492</v>
      </c>
      <c r="F608" s="5">
        <v>2.2182503665122675</v>
      </c>
      <c r="G608" s="5">
        <v>0.12447716875140813</v>
      </c>
      <c r="H608" s="5">
        <v>2.1693388258305246</v>
      </c>
      <c r="I608" s="5">
        <v>2.6192090193107704</v>
      </c>
      <c r="J608" s="5">
        <v>-0.10189064852719154</v>
      </c>
      <c r="K608" s="5">
        <v>13.394799544183144</v>
      </c>
      <c r="L608" s="9" t="b">
        <v>0</v>
      </c>
    </row>
    <row r="609" ht="15.75" customHeight="1">
      <c r="A609" s="5">
        <v>8.0</v>
      </c>
      <c r="B609" s="5">
        <v>20182.0</v>
      </c>
      <c r="C609" s="5">
        <v>5479.0</v>
      </c>
      <c r="D609" s="5">
        <v>4995.63</v>
      </c>
      <c r="E609" s="5">
        <v>10.619826367857854</v>
      </c>
      <c r="F609" s="5">
        <v>5.2803569088243</v>
      </c>
      <c r="G609" s="5">
        <v>3.8698380790816893</v>
      </c>
      <c r="H609" s="5">
        <v>5.819889512124865</v>
      </c>
      <c r="I609" s="5">
        <v>3.5608207251253967</v>
      </c>
      <c r="J609" s="5">
        <v>0.43535315724338464</v>
      </c>
      <c r="K609" s="5">
        <v>9.675856698754703</v>
      </c>
      <c r="L609" s="9" t="b">
        <v>0</v>
      </c>
    </row>
    <row r="610" ht="15.75" customHeight="1">
      <c r="A610" s="5">
        <v>8.0</v>
      </c>
      <c r="B610" s="5">
        <v>20183.0</v>
      </c>
      <c r="C610" s="5">
        <v>5545.0</v>
      </c>
      <c r="D610" s="5">
        <v>5164.0</v>
      </c>
      <c r="E610" s="5">
        <v>5.760061033759301</v>
      </c>
      <c r="F610" s="5">
        <v>5.378933260511712</v>
      </c>
      <c r="G610" s="5">
        <v>2.4226701622467064</v>
      </c>
      <c r="H610" s="5">
        <v>6.585207277680882</v>
      </c>
      <c r="I610" s="5">
        <v>4.450908029479805</v>
      </c>
      <c r="J610" s="5">
        <v>0.8576713527001067</v>
      </c>
      <c r="K610" s="5">
        <v>7.378001549186686</v>
      </c>
      <c r="L610" s="9" t="b">
        <v>0</v>
      </c>
    </row>
    <row r="611" ht="15.75" customHeight="1">
      <c r="A611" s="5">
        <v>8.0</v>
      </c>
      <c r="B611" s="5">
        <v>20184.0</v>
      </c>
      <c r="C611" s="5">
        <v>5785.0</v>
      </c>
      <c r="D611" s="5">
        <v>5179.64</v>
      </c>
      <c r="E611" s="5">
        <v>13.587276654231296</v>
      </c>
      <c r="F611" s="5">
        <v>9.346550582166236</v>
      </c>
      <c r="G611" s="5">
        <v>8.482559283357592</v>
      </c>
      <c r="H611" s="5">
        <v>5.673080257958185</v>
      </c>
      <c r="I611" s="5">
        <v>5.061878968398615</v>
      </c>
      <c r="J611" s="5">
        <v>1.4340510959117427</v>
      </c>
      <c r="K611" s="5">
        <v>11.687298731185948</v>
      </c>
      <c r="L611" s="9" t="b">
        <v>0</v>
      </c>
    </row>
    <row r="612" ht="15.75" customHeight="1">
      <c r="A612" s="5">
        <v>8.0</v>
      </c>
      <c r="B612" s="5">
        <v>20191.0</v>
      </c>
      <c r="C612" s="5">
        <v>5874.0</v>
      </c>
      <c r="D612" s="5">
        <v>5296.22</v>
      </c>
      <c r="E612" s="5">
        <v>7.326877398136311</v>
      </c>
      <c r="F612" s="5">
        <v>9.32351036349619</v>
      </c>
      <c r="G612" s="5">
        <v>7.105259996983923</v>
      </c>
      <c r="H612" s="5">
        <v>9.732104009116348</v>
      </c>
      <c r="I612" s="5">
        <v>6.952570264220071</v>
      </c>
      <c r="J612" s="5">
        <v>4.333361244909301</v>
      </c>
      <c r="K612" s="5">
        <v>10.909290021940166</v>
      </c>
      <c r="L612" s="9" t="b">
        <v>0</v>
      </c>
    </row>
    <row r="613" ht="15.75" customHeight="1">
      <c r="A613" s="5">
        <v>8.0</v>
      </c>
      <c r="B613" s="5">
        <v>20192.0</v>
      </c>
      <c r="C613" s="5">
        <v>5852.0</v>
      </c>
      <c r="D613" s="5">
        <v>5511.31</v>
      </c>
      <c r="E613" s="5">
        <v>6.807811644460671</v>
      </c>
      <c r="F613" s="5">
        <v>8.370506682646894</v>
      </c>
      <c r="G613" s="5">
        <v>3.0901497738225947</v>
      </c>
      <c r="H613" s="5">
        <v>10.322621971603185</v>
      </c>
      <c r="I613" s="5">
        <v>8.07825337908965</v>
      </c>
      <c r="J613" s="5">
        <v>4.517432653964254</v>
      </c>
      <c r="K613" s="5">
        <v>6.181651912158803</v>
      </c>
      <c r="L613" s="9" t="b">
        <v>0</v>
      </c>
    </row>
    <row r="614" ht="15.75" customHeight="1">
      <c r="A614" s="5">
        <v>8.0</v>
      </c>
      <c r="B614" s="5">
        <v>20193.0</v>
      </c>
      <c r="C614" s="5">
        <v>6158.0</v>
      </c>
      <c r="D614" s="5">
        <v>5670.67</v>
      </c>
      <c r="E614" s="5">
        <v>11.055004508566268</v>
      </c>
      <c r="F614" s="5">
        <v>9.694242551348637</v>
      </c>
      <c r="G614" s="5">
        <v>4.315309290836925</v>
      </c>
      <c r="H614" s="5">
        <v>9.811580170410528</v>
      </c>
      <c r="I614" s="5">
        <v>8.884846602272061</v>
      </c>
      <c r="J614" s="5">
        <v>4.433938572792256</v>
      </c>
      <c r="K614" s="5">
        <v>8.593869860175252</v>
      </c>
      <c r="L614" s="9" t="b">
        <v>0</v>
      </c>
    </row>
    <row r="615" ht="15.75" customHeight="1">
      <c r="A615" s="5">
        <v>8.0</v>
      </c>
      <c r="B615" s="5">
        <v>20194.0</v>
      </c>
      <c r="C615" s="5">
        <v>5977.4468</v>
      </c>
      <c r="D615" s="5">
        <v>5913.91</v>
      </c>
      <c r="E615" s="5">
        <v>3.326651685393256</v>
      </c>
      <c r="F615" s="5">
        <v>7.129086309139127</v>
      </c>
      <c r="G615" s="5">
        <v>-2.217464273027109</v>
      </c>
      <c r="H615" s="5">
        <v>14.176081735410161</v>
      </c>
      <c r="I615" s="5">
        <v>11.010596971635056</v>
      </c>
      <c r="J615" s="5">
        <v>5.948718003236442</v>
      </c>
      <c r="K615" s="5">
        <v>1.0743619703377227</v>
      </c>
      <c r="L615" s="9" t="b">
        <v>0</v>
      </c>
    </row>
    <row r="616" ht="15.75" customHeight="1">
      <c r="A616" s="5">
        <v>8.0</v>
      </c>
      <c r="B616" s="5">
        <v>20201.0</v>
      </c>
      <c r="C616" s="5">
        <v>6158.19</v>
      </c>
      <c r="D616" s="5">
        <v>6034.04</v>
      </c>
      <c r="E616" s="5">
        <v>4.838100102145049</v>
      </c>
      <c r="F616" s="5">
        <v>6.506891985141311</v>
      </c>
      <c r="G616" s="5">
        <v>-2.816618378354879</v>
      </c>
      <c r="H616" s="5">
        <v>13.931067818179743</v>
      </c>
      <c r="I616" s="5">
        <v>12.060337923900905</v>
      </c>
      <c r="J616" s="5">
        <v>5.1077676596808335</v>
      </c>
      <c r="K616" s="5">
        <v>2.0574938184035885</v>
      </c>
      <c r="L616" s="9" t="b">
        <v>0</v>
      </c>
    </row>
    <row r="617" ht="15.75" customHeight="1">
      <c r="A617" s="5">
        <v>8.0</v>
      </c>
      <c r="B617" s="5">
        <v>20202.0</v>
      </c>
      <c r="C617" s="5">
        <v>5975.86</v>
      </c>
      <c r="D617" s="5">
        <v>6461.0</v>
      </c>
      <c r="E617" s="5">
        <v>2.116541353383461</v>
      </c>
      <c r="F617" s="5">
        <v>5.334074412372009</v>
      </c>
      <c r="G617" s="5">
        <v>-3.0364322702748856</v>
      </c>
      <c r="H617" s="5">
        <v>17.231656357562898</v>
      </c>
      <c r="I617" s="5">
        <v>13.787596520390833</v>
      </c>
      <c r="J617" s="5">
        <v>5.709343141301183</v>
      </c>
      <c r="K617" s="5">
        <v>-7.508744776350418</v>
      </c>
      <c r="L617" s="9" t="b">
        <v>0</v>
      </c>
    </row>
    <row r="618" ht="15.75" customHeight="1">
      <c r="A618" s="5">
        <v>8.0</v>
      </c>
      <c r="B618" s="5">
        <v>20203.0</v>
      </c>
      <c r="C618" s="5">
        <v>6188.41</v>
      </c>
      <c r="D618" s="5">
        <v>6495.64</v>
      </c>
      <c r="E618" s="5">
        <v>0.4938291653134197</v>
      </c>
      <c r="F618" s="5">
        <v>2.6937805765587965</v>
      </c>
      <c r="G618" s="5">
        <v>-7.0004619747898404</v>
      </c>
      <c r="H618" s="5">
        <v>14.5480163719631</v>
      </c>
      <c r="I618" s="5">
        <v>14.971705570778976</v>
      </c>
      <c r="J618" s="5">
        <v>6.086858968506915</v>
      </c>
      <c r="K618" s="5">
        <v>-4.729787980861011</v>
      </c>
      <c r="L618" s="9" t="b">
        <v>0</v>
      </c>
    </row>
    <row r="619" ht="15.75" customHeight="1">
      <c r="A619" s="5">
        <v>8.0</v>
      </c>
      <c r="B619" s="5">
        <v>20204.0</v>
      </c>
      <c r="C619" s="5">
        <v>6819.66</v>
      </c>
      <c r="D619" s="5">
        <v>6511.68</v>
      </c>
      <c r="E619" s="5">
        <v>14.089848528639347</v>
      </c>
      <c r="F619" s="5">
        <v>5.38457978737032</v>
      </c>
      <c r="G619" s="5">
        <v>-1.7445065217688072</v>
      </c>
      <c r="H619" s="5">
        <v>10.107864340174277</v>
      </c>
      <c r="I619" s="5">
        <v>13.954651221970003</v>
      </c>
      <c r="J619" s="5">
        <v>2.944054250334947</v>
      </c>
      <c r="K619" s="5">
        <v>4.729655019902701</v>
      </c>
      <c r="L619" s="9" t="b">
        <v>0</v>
      </c>
    </row>
    <row r="620" ht="15.75" customHeight="1">
      <c r="A620" s="5">
        <v>8.0</v>
      </c>
      <c r="B620" s="5">
        <v>20211.0</v>
      </c>
      <c r="C620" s="5">
        <v>6829.64</v>
      </c>
      <c r="D620" s="5">
        <v>6677.03</v>
      </c>
      <c r="E620" s="5">
        <v>10.90336608646374</v>
      </c>
      <c r="F620" s="5">
        <v>6.900896283449992</v>
      </c>
      <c r="G620" s="5">
        <v>0.39400429830868067</v>
      </c>
      <c r="H620" s="5">
        <v>10.656044706365876</v>
      </c>
      <c r="I620" s="5">
        <v>13.135895444016537</v>
      </c>
      <c r="J620" s="5">
        <v>1.0755575201156322</v>
      </c>
      <c r="K620" s="5">
        <v>2.285597039402254</v>
      </c>
      <c r="L620" s="9" t="b">
        <v>0</v>
      </c>
    </row>
    <row r="621" ht="15.75" customHeight="1">
      <c r="A621" s="5">
        <v>8.0</v>
      </c>
      <c r="B621" s="5">
        <v>20212.0</v>
      </c>
      <c r="C621" s="5">
        <v>7128.73</v>
      </c>
      <c r="D621" s="5">
        <v>6911.21</v>
      </c>
      <c r="E621" s="5">
        <v>19.29211862393028</v>
      </c>
      <c r="F621" s="5">
        <v>11.194790601086696</v>
      </c>
      <c r="G621" s="5">
        <v>5.8607161887146875</v>
      </c>
      <c r="H621" s="5">
        <v>6.968116390651602</v>
      </c>
      <c r="I621" s="5">
        <v>10.570010452288713</v>
      </c>
      <c r="J621" s="5">
        <v>-3.2175860681021202</v>
      </c>
      <c r="K621" s="5">
        <v>3.1473504639563776</v>
      </c>
      <c r="L621" s="9" t="b">
        <v>0</v>
      </c>
    </row>
    <row r="622" ht="15.75" customHeight="1">
      <c r="A622" s="5">
        <v>8.0</v>
      </c>
      <c r="B622" s="5">
        <v>20213.0</v>
      </c>
      <c r="C622" s="5">
        <v>7278.47</v>
      </c>
      <c r="D622" s="5">
        <v>7125.91</v>
      </c>
      <c r="E622" s="5">
        <v>17.614540730171413</v>
      </c>
      <c r="F622" s="5">
        <v>15.474968492301194</v>
      </c>
      <c r="G622" s="5">
        <v>12.781187915742397</v>
      </c>
      <c r="H622" s="5">
        <v>9.702969992179366</v>
      </c>
      <c r="I622" s="5">
        <v>9.35874885734278</v>
      </c>
      <c r="J622" s="5">
        <v>-5.612956713436196</v>
      </c>
      <c r="K622" s="5">
        <v>2.1409195457141594</v>
      </c>
      <c r="L622" s="9" t="b">
        <v>0</v>
      </c>
    </row>
    <row r="623" ht="15.75" customHeight="1">
      <c r="A623" s="5">
        <v>8.0</v>
      </c>
      <c r="B623" s="5">
        <v>20214.0</v>
      </c>
      <c r="C623" s="5">
        <v>8176.88</v>
      </c>
      <c r="D623" s="5">
        <v>7450.0</v>
      </c>
      <c r="E623" s="5">
        <v>19.901578671077445</v>
      </c>
      <c r="F623" s="5">
        <v>16.92790102791072</v>
      </c>
      <c r="G623" s="5">
        <v>11.5433212405404</v>
      </c>
      <c r="H623" s="5">
        <v>14.40979900732222</v>
      </c>
      <c r="I623" s="5">
        <v>10.434232524129765</v>
      </c>
      <c r="J623" s="5">
        <v>-3.5204186978402383</v>
      </c>
      <c r="K623" s="5">
        <v>9.756778523489928</v>
      </c>
      <c r="L623" s="9" t="b">
        <v>0</v>
      </c>
    </row>
    <row r="624" ht="15.75" customHeight="1">
      <c r="A624" s="5">
        <v>8.0</v>
      </c>
      <c r="B624" s="5">
        <v>20221.0</v>
      </c>
      <c r="C624" s="5">
        <v>8344.95</v>
      </c>
      <c r="D624" s="5">
        <v>7754.78</v>
      </c>
      <c r="E624" s="5">
        <v>22.187260236264294</v>
      </c>
      <c r="F624" s="5">
        <v>19.748874565360858</v>
      </c>
      <c r="G624" s="5">
        <v>12.847978281910866</v>
      </c>
      <c r="H624" s="5">
        <v>16.14115856900449</v>
      </c>
      <c r="I624" s="5">
        <v>11.805510989789418</v>
      </c>
      <c r="J624" s="5">
        <v>-1.3303844542271186</v>
      </c>
      <c r="K624" s="5">
        <v>7.61040287409831</v>
      </c>
      <c r="L624" s="9" t="b">
        <v>0</v>
      </c>
    </row>
    <row r="625" ht="15.75" customHeight="1">
      <c r="A625" s="5">
        <v>8.0</v>
      </c>
      <c r="B625" s="5">
        <v>20222.0</v>
      </c>
      <c r="C625" s="5">
        <v>8770.71</v>
      </c>
      <c r="D625" s="5">
        <v>7861.81</v>
      </c>
      <c r="E625" s="5">
        <v>23.033275211713722</v>
      </c>
      <c r="F625" s="5">
        <v>20.68416371230672</v>
      </c>
      <c r="G625" s="5">
        <v>9.489373111220024</v>
      </c>
      <c r="H625" s="5">
        <v>13.754465571151808</v>
      </c>
      <c r="I625" s="5">
        <v>13.50209828491447</v>
      </c>
      <c r="J625" s="5">
        <v>2.932087832625758</v>
      </c>
      <c r="K625" s="5">
        <v>11.560950976937857</v>
      </c>
      <c r="L625" s="9" t="b">
        <v>0</v>
      </c>
    </row>
    <row r="626" ht="15.75" customHeight="1">
      <c r="A626" s="5">
        <v>8.0</v>
      </c>
      <c r="B626" s="5">
        <v>20223.0</v>
      </c>
      <c r="C626" s="5">
        <v>8886.39</v>
      </c>
      <c r="D626" s="5">
        <v>7863.35</v>
      </c>
      <c r="E626" s="5">
        <v>22.09145603402911</v>
      </c>
      <c r="F626" s="5">
        <v>21.803392538271144</v>
      </c>
      <c r="G626" s="5">
        <v>6.32842404596995</v>
      </c>
      <c r="H626" s="5">
        <v>10.348713357311556</v>
      </c>
      <c r="I626" s="5">
        <v>13.663534126197519</v>
      </c>
      <c r="J626" s="5">
        <v>4.304785268854738</v>
      </c>
      <c r="K626" s="5">
        <v>13.010231008412433</v>
      </c>
      <c r="L626" s="9" t="b">
        <v>0</v>
      </c>
    </row>
    <row r="627" ht="15.75" customHeight="1">
      <c r="A627" s="5">
        <v>8.0</v>
      </c>
      <c r="B627" s="5">
        <v>20224.0</v>
      </c>
      <c r="C627" s="5">
        <v>9149.04</v>
      </c>
      <c r="D627" s="5">
        <v>7797.6</v>
      </c>
      <c r="E627" s="5">
        <v>11.889131306806512</v>
      </c>
      <c r="F627" s="5">
        <v>19.80028069720341</v>
      </c>
      <c r="G627" s="5">
        <v>2.8723796692926875</v>
      </c>
      <c r="H627" s="5">
        <v>4.665771812080544</v>
      </c>
      <c r="I627" s="5">
        <v>11.2275273273871</v>
      </c>
      <c r="J627" s="5">
        <v>0.7932948032573357</v>
      </c>
      <c r="K627" s="5">
        <v>17.331486611265</v>
      </c>
      <c r="L627" s="9" t="b">
        <v>0</v>
      </c>
    </row>
    <row r="628" ht="15.75" customHeight="1">
      <c r="A628" s="5">
        <v>8.0</v>
      </c>
      <c r="B628" s="5">
        <v>20231.0</v>
      </c>
      <c r="C628" s="5">
        <v>9158.02</v>
      </c>
      <c r="D628" s="5">
        <v>7700.87</v>
      </c>
      <c r="E628" s="5">
        <v>9.74325789848951</v>
      </c>
      <c r="F628" s="5">
        <v>16.689280112759715</v>
      </c>
      <c r="G628" s="5">
        <v>-3.059594452601143</v>
      </c>
      <c r="H628" s="5">
        <v>-0.6951841315936735</v>
      </c>
      <c r="I628" s="5">
        <v>7.018441652237558</v>
      </c>
      <c r="J628" s="5">
        <v>-4.78706933755186</v>
      </c>
      <c r="K628" s="5">
        <v>18.921888046415546</v>
      </c>
      <c r="L628" s="9" t="b">
        <v>0</v>
      </c>
    </row>
    <row r="629" ht="15.75" customHeight="1">
      <c r="A629" s="5">
        <v>8.0</v>
      </c>
      <c r="B629" s="5">
        <v>20232.0</v>
      </c>
      <c r="C629" s="5">
        <v>8971.02</v>
      </c>
      <c r="D629" s="5">
        <v>8085.75</v>
      </c>
      <c r="E629" s="5">
        <v>2.2838515924024527</v>
      </c>
      <c r="F629" s="5">
        <v>11.501924207931896</v>
      </c>
      <c r="G629" s="5">
        <v>-9.182239504374824</v>
      </c>
      <c r="H629" s="5">
        <v>2.8484534731823885</v>
      </c>
      <c r="I629" s="5">
        <v>4.291938627745203</v>
      </c>
      <c r="J629" s="5">
        <v>-9.210159657169267</v>
      </c>
      <c r="K629" s="5">
        <v>10.948520545403962</v>
      </c>
      <c r="L629" s="9" t="b">
        <v>0</v>
      </c>
    </row>
    <row r="630" ht="15.75" customHeight="1">
      <c r="A630" s="5">
        <v>8.0</v>
      </c>
      <c r="B630" s="5">
        <v>20233.0</v>
      </c>
      <c r="C630" s="5">
        <v>9246.7</v>
      </c>
      <c r="D630" s="5">
        <v>8294.06</v>
      </c>
      <c r="E630" s="5">
        <v>4.054627357115792</v>
      </c>
      <c r="F630" s="5">
        <v>6.992717038703566</v>
      </c>
      <c r="G630" s="5">
        <v>-14.810675499567576</v>
      </c>
      <c r="H630" s="5">
        <v>5.477436461559004</v>
      </c>
      <c r="I630" s="5">
        <v>3.0741194038070656</v>
      </c>
      <c r="J630" s="5">
        <v>-10.589414722390453</v>
      </c>
      <c r="K630" s="5">
        <v>11.485810326908673</v>
      </c>
      <c r="L630" s="9" t="b">
        <v>0</v>
      </c>
    </row>
    <row r="631" ht="15.75" customHeight="1">
      <c r="A631" s="5">
        <v>8.0</v>
      </c>
      <c r="B631" s="5">
        <v>20234.0</v>
      </c>
      <c r="C631" s="5">
        <v>10085.05</v>
      </c>
      <c r="D631" s="5">
        <v>8528.33</v>
      </c>
      <c r="E631" s="5">
        <v>10.23069087029893</v>
      </c>
      <c r="F631" s="5">
        <v>6.578106929576672</v>
      </c>
      <c r="G631" s="5">
        <v>-13.222173767626737</v>
      </c>
      <c r="H631" s="5">
        <v>9.371216784651693</v>
      </c>
      <c r="I631" s="5">
        <v>4.250480646949853</v>
      </c>
      <c r="J631" s="5">
        <v>-6.9770466804372475</v>
      </c>
      <c r="K631" s="5">
        <v>18.253515049253476</v>
      </c>
      <c r="L631" s="9" t="b">
        <v>0</v>
      </c>
    </row>
    <row r="632" ht="15.75" customHeight="1">
      <c r="A632" s="5">
        <v>8.0</v>
      </c>
      <c r="B632" s="5">
        <v>20241.0</v>
      </c>
      <c r="C632" s="5">
        <v>9852.96</v>
      </c>
      <c r="D632" s="5">
        <v>9020.32</v>
      </c>
      <c r="E632" s="5">
        <v>7.588321493073824</v>
      </c>
      <c r="F632" s="5">
        <v>6.03937282822275</v>
      </c>
      <c r="G632" s="5">
        <v>-10.649907284536965</v>
      </c>
      <c r="H632" s="5">
        <v>17.13377839127268</v>
      </c>
      <c r="I632" s="5">
        <v>8.707721277666442</v>
      </c>
      <c r="J632" s="5">
        <v>1.6892796254288838</v>
      </c>
      <c r="K632" s="5">
        <v>9.230714653138694</v>
      </c>
      <c r="L632" s="9" t="b">
        <v>0</v>
      </c>
    </row>
    <row r="633" ht="15.75" customHeight="1">
      <c r="A633" s="5">
        <v>8.0</v>
      </c>
      <c r="B633" s="5">
        <v>20242.0</v>
      </c>
      <c r="C633" s="5">
        <v>10722.07</v>
      </c>
      <c r="D633" s="5">
        <v>9624.24</v>
      </c>
      <c r="E633" s="5">
        <v>19.518962169296227</v>
      </c>
      <c r="F633" s="5">
        <v>10.348150472446193</v>
      </c>
      <c r="G633" s="5">
        <v>-1.1537737354857036</v>
      </c>
      <c r="H633" s="5">
        <v>19.02717744179574</v>
      </c>
      <c r="I633" s="5">
        <v>12.752402269819779</v>
      </c>
      <c r="J633" s="5">
        <v>8.460463642074576</v>
      </c>
      <c r="K633" s="5">
        <v>11.406926676807716</v>
      </c>
      <c r="L633" s="9" t="b">
        <v>0</v>
      </c>
    </row>
    <row r="634" ht="15.75" customHeight="1">
      <c r="A634" s="5">
        <v>8.0</v>
      </c>
      <c r="B634" s="5">
        <v>20243.0</v>
      </c>
      <c r="C634" s="5">
        <v>10932.31</v>
      </c>
      <c r="D634" s="5">
        <v>9806.24</v>
      </c>
      <c r="E634" s="5">
        <v>18.229314241837624</v>
      </c>
      <c r="F634" s="5">
        <v>13.891822193626652</v>
      </c>
      <c r="G634" s="5">
        <v>6.8991051549230855</v>
      </c>
      <c r="H634" s="5">
        <v>18.232084166258744</v>
      </c>
      <c r="I634" s="5">
        <v>15.941064195994713</v>
      </c>
      <c r="J634" s="5">
        <v>12.866944792187647</v>
      </c>
      <c r="K634" s="5">
        <v>11.483198453229782</v>
      </c>
      <c r="L634" s="9" t="b">
        <v>0</v>
      </c>
    </row>
    <row r="635" ht="15.75" customHeight="1">
      <c r="A635" s="5">
        <v>8.0</v>
      </c>
      <c r="B635" s="5">
        <v>20244.0</v>
      </c>
      <c r="C635" s="5">
        <v>10996.58</v>
      </c>
      <c r="D635" s="5">
        <v>9769.51</v>
      </c>
      <c r="E635" s="5">
        <v>9.038428168427526</v>
      </c>
      <c r="F635" s="5">
        <v>13.593756518158802</v>
      </c>
      <c r="G635" s="5">
        <v>7.01564958858213</v>
      </c>
      <c r="H635" s="5">
        <v>14.553611316635262</v>
      </c>
      <c r="I635" s="5">
        <v>17.236662828990607</v>
      </c>
      <c r="J635" s="5">
        <v>12.986182182040753</v>
      </c>
      <c r="K635" s="5">
        <v>12.560200050974913</v>
      </c>
      <c r="L635" s="9" t="b">
        <v>0</v>
      </c>
    </row>
    <row r="636" ht="15.75" customHeight="1">
      <c r="A636" s="5">
        <v>8.0</v>
      </c>
      <c r="B636" s="5">
        <v>20251.0</v>
      </c>
      <c r="C636" s="5">
        <v>10999.87</v>
      </c>
      <c r="D636" s="5">
        <v>9974.61</v>
      </c>
      <c r="E636" s="5">
        <v>11.640258358909428</v>
      </c>
      <c r="F636" s="5">
        <v>14.606740734617702</v>
      </c>
      <c r="G636" s="5">
        <v>8.567367906394953</v>
      </c>
      <c r="H636" s="5">
        <v>10.579336431523512</v>
      </c>
      <c r="I636" s="5">
        <v>15.598052339053314</v>
      </c>
      <c r="J636" s="5">
        <v>6.890331061386872</v>
      </c>
      <c r="K636" s="5">
        <v>10.278697613240029</v>
      </c>
      <c r="L636" s="9" t="b">
        <v>0</v>
      </c>
    </row>
    <row r="637" ht="15.75" customHeight="1">
      <c r="A637" s="5">
        <v>8.0</v>
      </c>
      <c r="B637" s="5">
        <v>20252.0</v>
      </c>
      <c r="C637" s="5">
        <v>10978.22</v>
      </c>
      <c r="D637" s="5">
        <v>10013.78</v>
      </c>
      <c r="E637" s="5">
        <v>2.3889976469095853</v>
      </c>
      <c r="F637" s="5">
        <v>10.32424960402104</v>
      </c>
      <c r="G637" s="5">
        <v>-0.023900868425153377</v>
      </c>
      <c r="H637" s="5">
        <v>4.047488425060064</v>
      </c>
      <c r="I637" s="5">
        <v>11.853130084869395</v>
      </c>
      <c r="J637" s="5">
        <v>-0.8992721849503837</v>
      </c>
      <c r="K637" s="5">
        <v>9.631128305195436</v>
      </c>
      <c r="L637" s="9" t="b">
        <v>0</v>
      </c>
    </row>
    <row r="638" ht="15.75" customHeight="1">
      <c r="A638" s="5">
        <v>8.0</v>
      </c>
      <c r="B638" s="5">
        <v>20253.0</v>
      </c>
      <c r="C638" s="5">
        <v>10826.93</v>
      </c>
      <c r="D638" s="5">
        <v>10118.49</v>
      </c>
      <c r="E638" s="5">
        <v>-0.9639316850692969</v>
      </c>
      <c r="F638" s="5">
        <v>5.525938122294311</v>
      </c>
      <c r="G638" s="5">
        <v>-8.365884071332342</v>
      </c>
      <c r="H638" s="5">
        <v>3.184197001093181</v>
      </c>
      <c r="I638" s="5">
        <v>8.091158293578005</v>
      </c>
      <c r="J638" s="5">
        <v>-7.849905902416708</v>
      </c>
      <c r="K638" s="5">
        <v>7.001439938172593</v>
      </c>
      <c r="L638" s="9" t="b">
        <v>0</v>
      </c>
    </row>
    <row r="639" ht="15.75" customHeight="1">
      <c r="A639" s="5">
        <v>8.0</v>
      </c>
      <c r="B639" s="5">
        <v>20254.0</v>
      </c>
      <c r="C639" s="5">
        <v>11204.23</v>
      </c>
      <c r="D639" s="5">
        <v>9979.78</v>
      </c>
      <c r="E639" s="5">
        <v>1.8883143668304125</v>
      </c>
      <c r="F639" s="5">
        <v>3.738409671895032</v>
      </c>
      <c r="G639" s="5">
        <v>-9.855346846263771</v>
      </c>
      <c r="H639" s="5">
        <v>2.1523085599994385</v>
      </c>
      <c r="I639" s="5">
        <v>4.990832604419049</v>
      </c>
      <c r="J639" s="5">
        <v>-12.245830224571558</v>
      </c>
      <c r="K639" s="5">
        <v>12.269308541871649</v>
      </c>
      <c r="L639" s="9" t="b">
        <v>0</v>
      </c>
    </row>
    <row r="640" ht="15.75" customHeight="1">
      <c r="A640" s="5">
        <v>8.0</v>
      </c>
      <c r="B640" s="5">
        <v>20261.0</v>
      </c>
      <c r="C640" s="5">
        <v>11006.45</v>
      </c>
      <c r="D640" s="5">
        <v>10019.25</v>
      </c>
      <c r="E640" s="5">
        <v>0.059818888768692347</v>
      </c>
      <c r="F640" s="5">
        <v>0.8432998043598483</v>
      </c>
      <c r="G640" s="5">
        <v>-13.763440930257854</v>
      </c>
      <c r="H640" s="5">
        <v>0.44753629465210665</v>
      </c>
      <c r="I640" s="5">
        <v>2.4578825702011975</v>
      </c>
      <c r="J640" s="5">
        <v>-13.140169768852116</v>
      </c>
      <c r="K640" s="5">
        <v>9.853032911645098</v>
      </c>
      <c r="L640" s="9" t="b">
        <v>0</v>
      </c>
    </row>
    <row r="641" ht="15.75" customHeight="1">
      <c r="A641" s="5">
        <v>8.0</v>
      </c>
      <c r="B641" s="5">
        <v>20262.0</v>
      </c>
      <c r="C641" s="5">
        <v>10889.14</v>
      </c>
      <c r="D641" s="5">
        <v>10219.03</v>
      </c>
      <c r="E641" s="5">
        <v>-0.8114248029279736</v>
      </c>
      <c r="F641" s="5">
        <v>0.04319419190045859</v>
      </c>
      <c r="G641" s="5">
        <v>-10.281055412120581</v>
      </c>
      <c r="H641" s="5">
        <v>2.049675547096097</v>
      </c>
      <c r="I641" s="5">
        <v>1.9584293507102057</v>
      </c>
      <c r="J641" s="5">
        <v>-9.894700734159189</v>
      </c>
      <c r="K641" s="5">
        <v>6.557471697411588</v>
      </c>
      <c r="L641" s="9" t="b">
        <v>0</v>
      </c>
    </row>
    <row r="642" ht="15.75" customHeight="1">
      <c r="A642" s="5">
        <v>9.0</v>
      </c>
      <c r="B642" s="5">
        <v>20063.0</v>
      </c>
      <c r="C642" s="5">
        <v>2640.0</v>
      </c>
      <c r="D642" s="5">
        <v>3103.13</v>
      </c>
      <c r="K642" s="5">
        <v>-14.924608379281567</v>
      </c>
      <c r="L642" s="9" t="b">
        <v>0</v>
      </c>
    </row>
    <row r="643" ht="15.75" customHeight="1">
      <c r="A643" s="5">
        <v>9.0</v>
      </c>
      <c r="B643" s="5">
        <v>20064.0</v>
      </c>
      <c r="C643" s="5">
        <v>2869.0</v>
      </c>
      <c r="D643" s="5">
        <v>3455.7</v>
      </c>
      <c r="K643" s="5">
        <v>-16.977746910900827</v>
      </c>
      <c r="L643" s="9" t="b">
        <v>0</v>
      </c>
    </row>
    <row r="644" ht="15.75" customHeight="1">
      <c r="A644" s="5">
        <v>9.0</v>
      </c>
      <c r="B644" s="5">
        <v>20071.0</v>
      </c>
      <c r="C644" s="5">
        <v>2960.0</v>
      </c>
      <c r="D644" s="5">
        <v>4031.12</v>
      </c>
      <c r="K644" s="5">
        <v>-26.571275476790568</v>
      </c>
      <c r="L644" s="9" t="b">
        <v>0</v>
      </c>
    </row>
    <row r="645" ht="15.75" customHeight="1">
      <c r="A645" s="5">
        <v>9.0</v>
      </c>
      <c r="B645" s="5">
        <v>20072.0</v>
      </c>
      <c r="C645" s="5">
        <v>3318.0</v>
      </c>
      <c r="D645" s="5">
        <v>4726.37</v>
      </c>
      <c r="K645" s="5">
        <v>-29.79813260493782</v>
      </c>
      <c r="L645" s="9" t="b">
        <v>0</v>
      </c>
    </row>
    <row r="646" ht="15.75" customHeight="1">
      <c r="A646" s="5">
        <v>9.0</v>
      </c>
      <c r="B646" s="5">
        <v>20073.0</v>
      </c>
      <c r="C646" s="5">
        <v>3588.0</v>
      </c>
      <c r="D646" s="5">
        <v>4931.86</v>
      </c>
      <c r="E646" s="5">
        <v>35.909090909090914</v>
      </c>
      <c r="H646" s="5">
        <v>58.931788226725914</v>
      </c>
      <c r="K646" s="5">
        <v>-27.248543145993597</v>
      </c>
      <c r="L646" s="9" t="b">
        <v>0</v>
      </c>
    </row>
    <row r="647" ht="15.75" customHeight="1">
      <c r="A647" s="5">
        <v>9.0</v>
      </c>
      <c r="B647" s="5">
        <v>20074.0</v>
      </c>
      <c r="C647" s="5">
        <v>3806.0</v>
      </c>
      <c r="D647" s="5">
        <v>5084.68</v>
      </c>
      <c r="E647" s="5">
        <v>32.65946322760544</v>
      </c>
      <c r="H647" s="5">
        <v>47.13892988395985</v>
      </c>
      <c r="K647" s="5">
        <v>-25.1476985769016</v>
      </c>
      <c r="L647" s="9" t="b">
        <v>0</v>
      </c>
    </row>
    <row r="648" ht="15.75" customHeight="1">
      <c r="A648" s="5">
        <v>9.0</v>
      </c>
      <c r="B648" s="5">
        <v>20081.0</v>
      </c>
      <c r="C648" s="5">
        <v>4389.0</v>
      </c>
      <c r="D648" s="5">
        <v>4821.56</v>
      </c>
      <c r="E648" s="5">
        <v>48.27702702702703</v>
      </c>
      <c r="H648" s="5">
        <v>19.608446287880298</v>
      </c>
      <c r="K648" s="5">
        <v>-8.97137026190694</v>
      </c>
      <c r="L648" s="9" t="b">
        <v>0</v>
      </c>
    </row>
    <row r="649" ht="15.75" customHeight="1">
      <c r="A649" s="5">
        <v>9.0</v>
      </c>
      <c r="B649" s="5">
        <v>20082.0</v>
      </c>
      <c r="C649" s="5">
        <v>4324.0</v>
      </c>
      <c r="D649" s="5">
        <v>4729.68</v>
      </c>
      <c r="E649" s="5">
        <v>30.319469559975886</v>
      </c>
      <c r="F649" s="5">
        <v>36.79126268092482</v>
      </c>
      <c r="H649" s="5">
        <v>0.0700326043030941</v>
      </c>
      <c r="I649" s="5">
        <v>31.437299250717288</v>
      </c>
      <c r="K649" s="5">
        <v>-8.577324470154435</v>
      </c>
      <c r="L649" s="9" t="b">
        <v>0</v>
      </c>
    </row>
    <row r="650" ht="15.75" customHeight="1">
      <c r="A650" s="5">
        <v>9.0</v>
      </c>
      <c r="B650" s="5">
        <v>20083.0</v>
      </c>
      <c r="C650" s="5">
        <v>4524.0</v>
      </c>
      <c r="D650" s="5">
        <v>4695.73</v>
      </c>
      <c r="E650" s="5">
        <v>26.086956521739136</v>
      </c>
      <c r="F650" s="5">
        <v>34.33572908408688</v>
      </c>
      <c r="H650" s="5">
        <v>-4.787848803494022</v>
      </c>
      <c r="I650" s="5">
        <v>15.507389993162304</v>
      </c>
      <c r="K650" s="5">
        <v>-3.65715234904902</v>
      </c>
      <c r="L650" s="9" t="b">
        <v>0</v>
      </c>
    </row>
    <row r="651" ht="15.75" customHeight="1">
      <c r="A651" s="5">
        <v>9.0</v>
      </c>
      <c r="B651" s="5">
        <v>20084.0</v>
      </c>
      <c r="C651" s="5">
        <v>4353.0</v>
      </c>
      <c r="D651" s="5">
        <v>4608.77</v>
      </c>
      <c r="E651" s="5">
        <v>14.372044140830265</v>
      </c>
      <c r="F651" s="5">
        <v>29.76387431239308</v>
      </c>
      <c r="H651" s="5">
        <v>-9.359684385251377</v>
      </c>
      <c r="I651" s="5">
        <v>1.3827364258594983</v>
      </c>
      <c r="K651" s="5">
        <v>-5.549636887933229</v>
      </c>
      <c r="L651" s="9" t="b">
        <v>0</v>
      </c>
    </row>
    <row r="652" ht="15.75" customHeight="1">
      <c r="A652" s="5">
        <v>9.0</v>
      </c>
      <c r="B652" s="5">
        <v>20091.0</v>
      </c>
      <c r="C652" s="5">
        <v>4419.0</v>
      </c>
      <c r="D652" s="5">
        <v>4517.94</v>
      </c>
      <c r="E652" s="5">
        <v>0.6835269993164639</v>
      </c>
      <c r="F652" s="5">
        <v>17.865499305465438</v>
      </c>
      <c r="H652" s="5">
        <v>-6.297132048548615</v>
      </c>
      <c r="I652" s="5">
        <v>-5.09365815824773</v>
      </c>
      <c r="K652" s="5">
        <v>-2.1899361213296276</v>
      </c>
      <c r="L652" s="9" t="b">
        <v>0</v>
      </c>
    </row>
    <row r="653" ht="15.75" customHeight="1">
      <c r="A653" s="5">
        <v>9.0</v>
      </c>
      <c r="B653" s="5">
        <v>20092.0</v>
      </c>
      <c r="C653" s="5">
        <v>4485.0</v>
      </c>
      <c r="D653" s="5">
        <v>4420.32</v>
      </c>
      <c r="E653" s="5">
        <v>3.7234042553191404</v>
      </c>
      <c r="F653" s="5">
        <v>11.21648297930125</v>
      </c>
      <c r="G653" s="5">
        <v>-25.574779701623566</v>
      </c>
      <c r="H653" s="5">
        <v>-6.54082305779673</v>
      </c>
      <c r="I653" s="5">
        <v>-6.746372073772686</v>
      </c>
      <c r="J653" s="5">
        <v>-38.18367132448997</v>
      </c>
      <c r="K653" s="5">
        <v>1.4632424801824362</v>
      </c>
      <c r="L653" s="9" t="b">
        <v>0</v>
      </c>
    </row>
    <row r="654" ht="15.75" customHeight="1">
      <c r="A654" s="5">
        <v>9.0</v>
      </c>
      <c r="B654" s="5">
        <v>20093.0</v>
      </c>
      <c r="C654" s="5">
        <v>4297.0</v>
      </c>
      <c r="D654" s="5">
        <v>4435.54</v>
      </c>
      <c r="E654" s="5">
        <v>-5.017683465959333</v>
      </c>
      <c r="F654" s="5">
        <v>3.4403229823766344</v>
      </c>
      <c r="G654" s="5">
        <v>-30.895406101710243</v>
      </c>
      <c r="H654" s="5">
        <v>-5.5409914965298235</v>
      </c>
      <c r="I654" s="5">
        <v>-6.934657747031636</v>
      </c>
      <c r="J654" s="5">
        <v>-22.442047740193942</v>
      </c>
      <c r="K654" s="5">
        <v>-3.123407747421958</v>
      </c>
      <c r="L654" s="9" t="b">
        <v>0</v>
      </c>
    </row>
    <row r="655" ht="15.75" customHeight="1">
      <c r="A655" s="5">
        <v>9.0</v>
      </c>
      <c r="B655" s="5">
        <v>20094.0</v>
      </c>
      <c r="C655" s="5">
        <v>4494.0</v>
      </c>
      <c r="D655" s="5">
        <v>4417.18</v>
      </c>
      <c r="E655" s="5">
        <v>3.239145416953826</v>
      </c>
      <c r="F655" s="5">
        <v>0.6570983014075242</v>
      </c>
      <c r="G655" s="5">
        <v>-29.106776010985556</v>
      </c>
      <c r="H655" s="5">
        <v>-4.157074447195241</v>
      </c>
      <c r="I655" s="5">
        <v>-5.6340052625176025</v>
      </c>
      <c r="J655" s="5">
        <v>-7.016741688377101</v>
      </c>
      <c r="K655" s="5">
        <v>1.7391186231939804</v>
      </c>
      <c r="L655" s="9" t="b">
        <v>0</v>
      </c>
    </row>
    <row r="656" ht="15.75" customHeight="1">
      <c r="A656" s="5">
        <v>9.0</v>
      </c>
      <c r="B656" s="5">
        <v>20101.0</v>
      </c>
      <c r="C656" s="5">
        <v>4877.0</v>
      </c>
      <c r="D656" s="5">
        <v>4407.48</v>
      </c>
      <c r="E656" s="5">
        <v>10.364335822584291</v>
      </c>
      <c r="F656" s="5">
        <v>3.0773005072244812</v>
      </c>
      <c r="G656" s="5">
        <v>-14.788198798240956</v>
      </c>
      <c r="H656" s="5">
        <v>-2.44491958724552</v>
      </c>
      <c r="I656" s="5">
        <v>-4.670952147191828</v>
      </c>
      <c r="J656" s="5">
        <v>0.4227060110559018</v>
      </c>
      <c r="K656" s="5">
        <v>10.652799332044616</v>
      </c>
      <c r="L656" s="9" t="b">
        <v>0</v>
      </c>
    </row>
    <row r="657" ht="15.75" customHeight="1">
      <c r="A657" s="5">
        <v>9.0</v>
      </c>
      <c r="B657" s="5">
        <v>20102.0</v>
      </c>
      <c r="C657" s="5">
        <v>4602.306</v>
      </c>
      <c r="D657" s="5">
        <v>4479.92</v>
      </c>
      <c r="E657" s="5">
        <v>2.615518394648819</v>
      </c>
      <c r="F657" s="5">
        <v>2.8003290420569007</v>
      </c>
      <c r="G657" s="5">
        <v>-8.41615393724435</v>
      </c>
      <c r="H657" s="5">
        <v>1.348318673761173</v>
      </c>
      <c r="I657" s="5">
        <v>-2.698666714302353</v>
      </c>
      <c r="J657" s="5">
        <v>4.047705359470333</v>
      </c>
      <c r="K657" s="5">
        <v>2.731879140698923</v>
      </c>
      <c r="L657" s="9" t="b">
        <v>0</v>
      </c>
    </row>
    <row r="658" ht="15.75" customHeight="1">
      <c r="A658" s="5">
        <v>9.0</v>
      </c>
      <c r="B658" s="5">
        <v>20103.0</v>
      </c>
      <c r="C658" s="5">
        <v>5025.0</v>
      </c>
      <c r="D658" s="5">
        <v>4425.47</v>
      </c>
      <c r="E658" s="5">
        <v>16.942052594833612</v>
      </c>
      <c r="F658" s="5">
        <v>8.290263057255137</v>
      </c>
      <c r="G658" s="5">
        <v>4.849940074878503</v>
      </c>
      <c r="H658" s="5">
        <v>-0.22702985431310996</v>
      </c>
      <c r="I658" s="5">
        <v>-1.3701763037481745</v>
      </c>
      <c r="J658" s="5">
        <v>5.564481443283462</v>
      </c>
      <c r="K658" s="5">
        <v>13.547261646785525</v>
      </c>
      <c r="L658" s="9" t="b">
        <v>0</v>
      </c>
    </row>
    <row r="659" ht="15.75" customHeight="1">
      <c r="A659" s="5">
        <v>9.0</v>
      </c>
      <c r="B659" s="5">
        <v>20104.0</v>
      </c>
      <c r="C659" s="5">
        <v>5010.0</v>
      </c>
      <c r="D659" s="5">
        <v>4390.48</v>
      </c>
      <c r="E659" s="5">
        <v>11.48197596795728</v>
      </c>
      <c r="F659" s="5">
        <v>10.350970695006001</v>
      </c>
      <c r="G659" s="5">
        <v>9.693872393598477</v>
      </c>
      <c r="H659" s="5">
        <v>-0.6044580478948292</v>
      </c>
      <c r="I659" s="5">
        <v>-0.4820222039230715</v>
      </c>
      <c r="J659" s="5">
        <v>5.151983058594531</v>
      </c>
      <c r="K659" s="5">
        <v>14.110530055939229</v>
      </c>
      <c r="L659" s="9" t="b">
        <v>0</v>
      </c>
    </row>
    <row r="660" ht="15.75" customHeight="1">
      <c r="A660" s="5">
        <v>9.0</v>
      </c>
      <c r="B660" s="5">
        <v>20111.0</v>
      </c>
      <c r="C660" s="5">
        <v>4955.0</v>
      </c>
      <c r="D660" s="5">
        <v>4430.36</v>
      </c>
      <c r="E660" s="5">
        <v>1.5993438589296805</v>
      </c>
      <c r="F660" s="5">
        <v>8.15972270409235</v>
      </c>
      <c r="G660" s="5">
        <v>5.082422196867868</v>
      </c>
      <c r="H660" s="5">
        <v>0.5191175002495774</v>
      </c>
      <c r="I660" s="5">
        <v>0.2589870679507028</v>
      </c>
      <c r="J660" s="5">
        <v>4.929939215142531</v>
      </c>
      <c r="K660" s="5">
        <v>11.841927066874923</v>
      </c>
      <c r="L660" s="9" t="b">
        <v>0</v>
      </c>
    </row>
    <row r="661" ht="15.75" customHeight="1">
      <c r="A661" s="5">
        <v>9.0</v>
      </c>
      <c r="B661" s="5">
        <v>20112.0</v>
      </c>
      <c r="C661" s="5">
        <v>4963.0</v>
      </c>
      <c r="D661" s="5">
        <v>4486.39</v>
      </c>
      <c r="E661" s="5">
        <v>7.837245068015908</v>
      </c>
      <c r="F661" s="5">
        <v>9.465154372434121</v>
      </c>
      <c r="G661" s="5">
        <v>6.66482533037722</v>
      </c>
      <c r="H661" s="5">
        <v>0.1444222218254021</v>
      </c>
      <c r="I661" s="5">
        <v>-0.04198704503323991</v>
      </c>
      <c r="J661" s="5">
        <v>2.656679669269113</v>
      </c>
      <c r="K661" s="5">
        <v>10.62346340821907</v>
      </c>
      <c r="L661" s="9" t="b">
        <v>0</v>
      </c>
    </row>
    <row r="662" ht="15.75" customHeight="1">
      <c r="A662" s="5">
        <v>9.0</v>
      </c>
      <c r="B662" s="5">
        <v>20113.0</v>
      </c>
      <c r="C662" s="5">
        <v>4896.343</v>
      </c>
      <c r="D662" s="5">
        <v>4451.22</v>
      </c>
      <c r="E662" s="5">
        <v>-2.5603383084577103</v>
      </c>
      <c r="F662" s="5">
        <v>4.58955664661129</v>
      </c>
      <c r="G662" s="5">
        <v>-3.700706410643847</v>
      </c>
      <c r="H662" s="5">
        <v>0.5818591019710828</v>
      </c>
      <c r="I662" s="5">
        <v>0.16023519403780828</v>
      </c>
      <c r="J662" s="5">
        <v>1.5304114977859826</v>
      </c>
      <c r="K662" s="5">
        <v>10.000022465750957</v>
      </c>
      <c r="L662" s="9" t="b">
        <v>0</v>
      </c>
    </row>
    <row r="663" ht="15.75" customHeight="1">
      <c r="A663" s="5">
        <v>9.0</v>
      </c>
      <c r="B663" s="5">
        <v>20114.0</v>
      </c>
      <c r="C663" s="5">
        <v>4703.0</v>
      </c>
      <c r="D663" s="5">
        <v>4391.54</v>
      </c>
      <c r="E663" s="5">
        <v>-6.127744510978039</v>
      </c>
      <c r="F663" s="5">
        <v>0.18712652687745956</v>
      </c>
      <c r="G663" s="5">
        <v>-10.163844168128541</v>
      </c>
      <c r="H663" s="5">
        <v>0.024143146079702582</v>
      </c>
      <c r="I663" s="5">
        <v>0.3173854925314412</v>
      </c>
      <c r="J663" s="5">
        <v>0.7994076964545127</v>
      </c>
      <c r="K663" s="5">
        <v>7.09227287010934</v>
      </c>
      <c r="L663" s="9" t="b">
        <v>0</v>
      </c>
    </row>
    <row r="664" ht="15.75" customHeight="1">
      <c r="A664" s="5">
        <v>9.0</v>
      </c>
      <c r="B664" s="5">
        <v>20121.0</v>
      </c>
      <c r="C664" s="5">
        <v>4663.0</v>
      </c>
      <c r="D664" s="5">
        <v>4224.32</v>
      </c>
      <c r="E664" s="5">
        <v>-5.8930373360242205</v>
      </c>
      <c r="F664" s="5">
        <v>-1.6859687718610157</v>
      </c>
      <c r="G664" s="5">
        <v>-9.845691475953364</v>
      </c>
      <c r="H664" s="5">
        <v>-4.650637871414509</v>
      </c>
      <c r="I664" s="5">
        <v>-0.9750533503845804</v>
      </c>
      <c r="J664" s="5">
        <v>-1.234040418335283</v>
      </c>
      <c r="K664" s="5">
        <v>10.38462995227636</v>
      </c>
      <c r="L664" s="9" t="b">
        <v>0</v>
      </c>
    </row>
    <row r="665" ht="15.75" customHeight="1">
      <c r="A665" s="5">
        <v>9.0</v>
      </c>
      <c r="B665" s="5">
        <v>20122.0</v>
      </c>
      <c r="C665" s="5">
        <v>4451.95</v>
      </c>
      <c r="D665" s="5">
        <v>4259.31</v>
      </c>
      <c r="E665" s="5">
        <v>-10.297199274632284</v>
      </c>
      <c r="F665" s="5">
        <v>-6.219579857523064</v>
      </c>
      <c r="G665" s="5">
        <v>-15.684734229957185</v>
      </c>
      <c r="H665" s="5">
        <v>-5.061530540144743</v>
      </c>
      <c r="I665" s="5">
        <v>-2.2765415408771164</v>
      </c>
      <c r="J665" s="5">
        <v>-2.2345544958438763</v>
      </c>
      <c r="K665" s="5">
        <v>4.522798293620323</v>
      </c>
      <c r="L665" s="9" t="b">
        <v>0</v>
      </c>
    </row>
    <row r="666" ht="15.75" customHeight="1">
      <c r="A666" s="5">
        <v>9.0</v>
      </c>
      <c r="B666" s="5">
        <v>20123.0</v>
      </c>
      <c r="C666" s="5">
        <v>4480.0</v>
      </c>
      <c r="D666" s="5">
        <v>4197.92</v>
      </c>
      <c r="E666" s="5">
        <v>-8.503142038864508</v>
      </c>
      <c r="F666" s="5">
        <v>-7.705280790124764</v>
      </c>
      <c r="G666" s="5">
        <v>-12.294837436736053</v>
      </c>
      <c r="H666" s="5">
        <v>-5.690574718841135</v>
      </c>
      <c r="I666" s="5">
        <v>-3.844649996080171</v>
      </c>
      <c r="J666" s="5">
        <v>-4.00488519011798</v>
      </c>
      <c r="K666" s="5">
        <v>6.719518237603372</v>
      </c>
      <c r="L666" s="9" t="b">
        <v>0</v>
      </c>
    </row>
    <row r="667" ht="15.75" customHeight="1">
      <c r="A667" s="5">
        <v>9.0</v>
      </c>
      <c r="B667" s="5">
        <v>20124.0</v>
      </c>
      <c r="C667" s="5">
        <v>4556.0</v>
      </c>
      <c r="D667" s="5">
        <v>3970.61</v>
      </c>
      <c r="E667" s="5">
        <v>-3.1256644694875657</v>
      </c>
      <c r="F667" s="5">
        <v>-6.954760779752145</v>
      </c>
      <c r="G667" s="5">
        <v>-7.141887306629604</v>
      </c>
      <c r="H667" s="5">
        <v>-9.585020289010227</v>
      </c>
      <c r="I667" s="5">
        <v>-6.246940854852653</v>
      </c>
      <c r="J667" s="5">
        <v>-6.564326347384094</v>
      </c>
      <c r="K667" s="5">
        <v>14.743074741664387</v>
      </c>
      <c r="L667" s="9" t="b">
        <v>0</v>
      </c>
    </row>
    <row r="668" ht="15.75" customHeight="1">
      <c r="A668" s="5">
        <v>9.0</v>
      </c>
      <c r="B668" s="5">
        <v>20131.0</v>
      </c>
      <c r="C668" s="5">
        <v>4394.538</v>
      </c>
      <c r="D668" s="5">
        <v>3970.61</v>
      </c>
      <c r="E668" s="5">
        <v>-5.757280720566172</v>
      </c>
      <c r="F668" s="5">
        <v>-6.9208216258876325</v>
      </c>
      <c r="G668" s="5">
        <v>-5.234852854026617</v>
      </c>
      <c r="H668" s="5">
        <v>-6.005937050223453</v>
      </c>
      <c r="I668" s="5">
        <v>-6.585765649554889</v>
      </c>
      <c r="J668" s="5">
        <v>-5.610712299170309</v>
      </c>
      <c r="K668" s="5">
        <v>10.676646661344202</v>
      </c>
      <c r="L668" s="9" t="b">
        <v>0</v>
      </c>
    </row>
    <row r="669" ht="15.75" customHeight="1">
      <c r="A669" s="5">
        <v>9.0</v>
      </c>
      <c r="B669" s="5">
        <v>20132.0</v>
      </c>
      <c r="C669" s="5">
        <v>4478.264</v>
      </c>
      <c r="D669" s="5">
        <v>4065.95</v>
      </c>
      <c r="E669" s="5">
        <v>0.5910668358809046</v>
      </c>
      <c r="F669" s="5">
        <v>-4.198755098259335</v>
      </c>
      <c r="G669" s="5">
        <v>2.0208247592637285</v>
      </c>
      <c r="H669" s="5">
        <v>-4.539702440066595</v>
      </c>
      <c r="I669" s="5">
        <v>-6.455308624535353</v>
      </c>
      <c r="J669" s="5">
        <v>-4.1787670836582365</v>
      </c>
      <c r="K669" s="5">
        <v>10.140655935267295</v>
      </c>
      <c r="L669" s="9" t="b">
        <v>0</v>
      </c>
    </row>
    <row r="670" ht="15.75" customHeight="1">
      <c r="A670" s="5">
        <v>9.0</v>
      </c>
      <c r="B670" s="5">
        <v>20133.0</v>
      </c>
      <c r="C670" s="5">
        <v>4559.693</v>
      </c>
      <c r="D670" s="5">
        <v>4031.6</v>
      </c>
      <c r="E670" s="5">
        <v>1.7788616071428676</v>
      </c>
      <c r="F670" s="5">
        <v>-1.6282541867574913</v>
      </c>
      <c r="G670" s="5">
        <v>6.077026603367273</v>
      </c>
      <c r="H670" s="5">
        <v>-3.961962114571027</v>
      </c>
      <c r="I670" s="5">
        <v>-6.023155473467825</v>
      </c>
      <c r="J670" s="5">
        <v>-2.1785054773876538</v>
      </c>
      <c r="K670" s="5">
        <v>13.098844131362242</v>
      </c>
      <c r="L670" s="9" t="b">
        <v>0</v>
      </c>
    </row>
    <row r="671" ht="15.75" customHeight="1">
      <c r="A671" s="5">
        <v>9.0</v>
      </c>
      <c r="B671" s="5">
        <v>20134.0</v>
      </c>
      <c r="C671" s="5">
        <v>4510.615</v>
      </c>
      <c r="D671" s="5">
        <v>4038.12</v>
      </c>
      <c r="E671" s="5">
        <v>-0.9961589113257285</v>
      </c>
      <c r="F671" s="5">
        <v>-1.0958777972170322</v>
      </c>
      <c r="G671" s="5">
        <v>5.858882982535112</v>
      </c>
      <c r="H671" s="5">
        <v>1.7002425320038927</v>
      </c>
      <c r="I671" s="5">
        <v>-3.2018397682142954</v>
      </c>
      <c r="J671" s="5">
        <v>3.0451010866383577</v>
      </c>
      <c r="K671" s="5">
        <v>11.700865749408141</v>
      </c>
      <c r="L671" s="9" t="b">
        <v>0</v>
      </c>
    </row>
    <row r="672" ht="15.75" customHeight="1">
      <c r="A672" s="5">
        <v>9.0</v>
      </c>
      <c r="B672" s="5">
        <v>20141.0</v>
      </c>
      <c r="C672" s="5">
        <v>4492.57</v>
      </c>
      <c r="D672" s="5">
        <v>4026.99</v>
      </c>
      <c r="E672" s="5">
        <v>2.230769195760751</v>
      </c>
      <c r="F672" s="5">
        <v>0.9011346818646987</v>
      </c>
      <c r="G672" s="5">
        <v>7.821956307752331</v>
      </c>
      <c r="H672" s="5">
        <v>1.4199329574045239</v>
      </c>
      <c r="I672" s="5">
        <v>-1.3453722663073013</v>
      </c>
      <c r="J672" s="5">
        <v>5.2403933832475875</v>
      </c>
      <c r="K672" s="5">
        <v>11.561488853957913</v>
      </c>
      <c r="L672" s="9" t="b">
        <v>0</v>
      </c>
    </row>
    <row r="673" ht="15.75" customHeight="1">
      <c r="A673" s="5">
        <v>9.0</v>
      </c>
      <c r="B673" s="5">
        <v>20142.0</v>
      </c>
      <c r="C673" s="5">
        <v>4461.085</v>
      </c>
      <c r="D673" s="5">
        <v>4163.13</v>
      </c>
      <c r="E673" s="5">
        <v>-0.3836084697105835</v>
      </c>
      <c r="F673" s="5">
        <v>0.6574658554668267</v>
      </c>
      <c r="G673" s="5">
        <v>4.856220953726162</v>
      </c>
      <c r="H673" s="5">
        <v>2.3900933361207244</v>
      </c>
      <c r="I673" s="5">
        <v>0.3870766777395285</v>
      </c>
      <c r="J673" s="5">
        <v>6.842385302274881</v>
      </c>
      <c r="K673" s="5">
        <v>7.156994857234822</v>
      </c>
      <c r="L673" s="9" t="b">
        <v>0</v>
      </c>
    </row>
    <row r="674" ht="15.75" customHeight="1">
      <c r="A674" s="5">
        <v>9.0</v>
      </c>
      <c r="B674" s="5">
        <v>20143.0</v>
      </c>
      <c r="C674" s="5">
        <v>4690.021</v>
      </c>
      <c r="D674" s="5">
        <v>4035.1</v>
      </c>
      <c r="E674" s="5">
        <v>2.8582626067149564</v>
      </c>
      <c r="F674" s="5">
        <v>0.9273161053598489</v>
      </c>
      <c r="G674" s="5">
        <v>2.5555702921173404</v>
      </c>
      <c r="H674" s="5">
        <v>0.08681416807223563</v>
      </c>
      <c r="I674" s="5">
        <v>1.3992707484003442</v>
      </c>
      <c r="J674" s="5">
        <v>7.422426221868169</v>
      </c>
      <c r="K674" s="5">
        <v>16.230601472082462</v>
      </c>
      <c r="L674" s="9" t="b">
        <v>0</v>
      </c>
    </row>
    <row r="675" ht="15.75" customHeight="1">
      <c r="A675" s="5">
        <v>9.0</v>
      </c>
      <c r="B675" s="5">
        <v>20144.0</v>
      </c>
      <c r="C675" s="5">
        <v>4735.94</v>
      </c>
      <c r="D675" s="5">
        <v>4018.18</v>
      </c>
      <c r="E675" s="5">
        <v>4.995438537760366</v>
      </c>
      <c r="F675" s="5">
        <v>2.4252154676313724</v>
      </c>
      <c r="G675" s="5">
        <v>3.5210932648484046</v>
      </c>
      <c r="H675" s="5">
        <v>-0.4937941418283742</v>
      </c>
      <c r="I675" s="5">
        <v>0.8507615799422774</v>
      </c>
      <c r="J675" s="5">
        <v>4.052601348156573</v>
      </c>
      <c r="K675" s="5">
        <v>17.862813512585298</v>
      </c>
      <c r="L675" s="9" t="b">
        <v>0</v>
      </c>
    </row>
    <row r="676" ht="15.75" customHeight="1">
      <c r="A676" s="5">
        <v>9.0</v>
      </c>
      <c r="B676" s="5">
        <v>20151.0</v>
      </c>
      <c r="C676" s="5">
        <v>4723.725</v>
      </c>
      <c r="D676" s="5">
        <v>4061.89</v>
      </c>
      <c r="E676" s="5">
        <v>5.145273195520628</v>
      </c>
      <c r="F676" s="5">
        <v>3.1538414675713415</v>
      </c>
      <c r="G676" s="5">
        <v>2.2527067857066427</v>
      </c>
      <c r="H676" s="5">
        <v>0.8666522638496765</v>
      </c>
      <c r="I676" s="5">
        <v>0.7124414065535656</v>
      </c>
      <c r="J676" s="5">
        <v>2.057813672860867</v>
      </c>
      <c r="K676" s="5">
        <v>16.29376964910425</v>
      </c>
      <c r="L676" s="9" t="b">
        <v>0</v>
      </c>
    </row>
    <row r="677" ht="15.75" customHeight="1">
      <c r="A677" s="5">
        <v>9.0</v>
      </c>
      <c r="B677" s="5">
        <v>20152.0</v>
      </c>
      <c r="C677" s="5">
        <v>4807.061</v>
      </c>
      <c r="D677" s="5">
        <v>4020.02</v>
      </c>
      <c r="E677" s="5">
        <v>7.755422727878969</v>
      </c>
      <c r="F677" s="5">
        <v>5.18859926696873</v>
      </c>
      <c r="G677" s="5">
        <v>4.531133411501903</v>
      </c>
      <c r="H677" s="5">
        <v>-3.4375577990598427</v>
      </c>
      <c r="I677" s="5">
        <v>-0.7444713772415762</v>
      </c>
      <c r="J677" s="5">
        <v>-1.1315480549811046</v>
      </c>
      <c r="K677" s="5">
        <v>19.578036925189423</v>
      </c>
      <c r="L677" s="9" t="b">
        <v>0</v>
      </c>
    </row>
    <row r="678" ht="15.75" customHeight="1">
      <c r="A678" s="5">
        <v>9.0</v>
      </c>
      <c r="B678" s="5">
        <v>20153.0</v>
      </c>
      <c r="C678" s="5">
        <v>4616.611</v>
      </c>
      <c r="D678" s="5">
        <v>4022.5</v>
      </c>
      <c r="E678" s="5">
        <v>-1.5652381940294058</v>
      </c>
      <c r="F678" s="5">
        <v>4.082724066782639</v>
      </c>
      <c r="G678" s="5">
        <v>3.1554079614227897</v>
      </c>
      <c r="H678" s="5">
        <v>-0.3122599192089348</v>
      </c>
      <c r="I678" s="5">
        <v>-0.8442398990618688</v>
      </c>
      <c r="J678" s="5">
        <v>-2.243510647462213</v>
      </c>
      <c r="K678" s="5">
        <v>14.769695463020515</v>
      </c>
      <c r="L678" s="9" t="b">
        <v>0</v>
      </c>
    </row>
    <row r="679" ht="15.75" customHeight="1">
      <c r="A679" s="5">
        <v>9.0</v>
      </c>
      <c r="B679" s="5">
        <v>20154.0</v>
      </c>
      <c r="C679" s="5">
        <v>4763.696</v>
      </c>
      <c r="D679" s="5">
        <v>4065.03</v>
      </c>
      <c r="E679" s="5">
        <v>0.5860716140829503</v>
      </c>
      <c r="F679" s="5">
        <v>2.9803823358632853</v>
      </c>
      <c r="G679" s="5">
        <v>0.5551668682319129</v>
      </c>
      <c r="H679" s="5">
        <v>1.1659507538238856</v>
      </c>
      <c r="I679" s="5">
        <v>-0.42930367514880385</v>
      </c>
      <c r="J679" s="5">
        <v>-1.2800652550910812</v>
      </c>
      <c r="K679" s="5">
        <v>17.18722863053901</v>
      </c>
      <c r="L679" s="9" t="b">
        <v>0</v>
      </c>
    </row>
    <row r="680" ht="15.75" customHeight="1">
      <c r="A680" s="5">
        <v>9.0</v>
      </c>
      <c r="B680" s="5">
        <v>20161.0</v>
      </c>
      <c r="C680" s="5">
        <v>4737.089</v>
      </c>
      <c r="D680" s="5">
        <v>4118.3</v>
      </c>
      <c r="E680" s="5">
        <v>0.28291232025572377</v>
      </c>
      <c r="F680" s="5">
        <v>1.7647921170470593</v>
      </c>
      <c r="G680" s="5">
        <v>-1.3890493505242822</v>
      </c>
      <c r="H680" s="5">
        <v>1.3887623741657196</v>
      </c>
      <c r="I680" s="5">
        <v>-0.2987761475697931</v>
      </c>
      <c r="J680" s="5">
        <v>-1.0112175541233586</v>
      </c>
      <c r="K680" s="5">
        <v>15.025350265886406</v>
      </c>
      <c r="L680" s="9" t="b">
        <v>0</v>
      </c>
    </row>
    <row r="681" ht="15.75" customHeight="1">
      <c r="A681" s="5">
        <v>9.0</v>
      </c>
      <c r="B681" s="5">
        <v>20162.0</v>
      </c>
      <c r="C681" s="5">
        <v>4728.746</v>
      </c>
      <c r="D681" s="5">
        <v>4127.17</v>
      </c>
      <c r="E681" s="5">
        <v>-1.629165929036469</v>
      </c>
      <c r="F681" s="5">
        <v>-0.5813550471818002</v>
      </c>
      <c r="G681" s="5">
        <v>-5.76995431415053</v>
      </c>
      <c r="H681" s="5">
        <v>2.6654096248277304</v>
      </c>
      <c r="I681" s="5">
        <v>1.2269657084021002</v>
      </c>
      <c r="J681" s="5">
        <v>1.9714370856436765</v>
      </c>
      <c r="K681" s="5">
        <v>14.57599275048036</v>
      </c>
      <c r="L681" s="9" t="b">
        <v>0</v>
      </c>
    </row>
    <row r="682" ht="15.75" customHeight="1">
      <c r="A682" s="5">
        <v>9.0</v>
      </c>
      <c r="B682" s="5">
        <v>20163.0</v>
      </c>
      <c r="C682" s="5">
        <v>4934.868</v>
      </c>
      <c r="D682" s="5">
        <v>4231.04</v>
      </c>
      <c r="E682" s="5">
        <v>6.893736552635699</v>
      </c>
      <c r="F682" s="5">
        <v>1.533388639484476</v>
      </c>
      <c r="G682" s="5">
        <v>-2.5493354272981628</v>
      </c>
      <c r="H682" s="5">
        <v>5.184338098197627</v>
      </c>
      <c r="I682" s="5">
        <v>2.601115212753741</v>
      </c>
      <c r="J682" s="5">
        <v>3.44535511181561</v>
      </c>
      <c r="K682" s="5">
        <v>16.634869913780072</v>
      </c>
      <c r="L682" s="9" t="b">
        <v>0</v>
      </c>
    </row>
    <row r="683" ht="15.75" customHeight="1">
      <c r="A683" s="5">
        <v>9.0</v>
      </c>
      <c r="B683" s="5">
        <v>20164.0</v>
      </c>
      <c r="C683" s="5">
        <v>4990.943</v>
      </c>
      <c r="D683" s="5">
        <v>4126.97</v>
      </c>
      <c r="E683" s="5">
        <v>4.77039256913121</v>
      </c>
      <c r="F683" s="5">
        <v>2.5794688782465407</v>
      </c>
      <c r="G683" s="5">
        <v>-0.4009134576167446</v>
      </c>
      <c r="H683" s="5">
        <v>1.5237279921673341</v>
      </c>
      <c r="I683" s="5">
        <v>2.690559522339603</v>
      </c>
      <c r="J683" s="5">
        <v>3.119863197488407</v>
      </c>
      <c r="K683" s="5">
        <v>20.934802046053157</v>
      </c>
      <c r="L683" s="9" t="b">
        <v>0</v>
      </c>
    </row>
    <row r="684" ht="15.75" customHeight="1">
      <c r="A684" s="5">
        <v>9.0</v>
      </c>
      <c r="B684" s="5">
        <v>20171.0</v>
      </c>
      <c r="C684" s="5">
        <v>4898.89</v>
      </c>
      <c r="D684" s="5">
        <v>4126.97</v>
      </c>
      <c r="E684" s="5">
        <v>3.4156208591394455</v>
      </c>
      <c r="F684" s="5">
        <v>3.3626460129674713</v>
      </c>
      <c r="G684" s="5">
        <v>1.597853895920412</v>
      </c>
      <c r="H684" s="5">
        <v>0.21052375980379345</v>
      </c>
      <c r="I684" s="5">
        <v>2.3959998687491213</v>
      </c>
      <c r="J684" s="5">
        <v>2.6947760163189143</v>
      </c>
      <c r="K684" s="5">
        <v>18.70427941080259</v>
      </c>
      <c r="L684" s="9" t="b">
        <v>0</v>
      </c>
    </row>
    <row r="685" ht="15.75" customHeight="1">
      <c r="A685" s="5">
        <v>9.0</v>
      </c>
      <c r="B685" s="5">
        <v>20172.0</v>
      </c>
      <c r="C685" s="5">
        <v>4997.0</v>
      </c>
      <c r="D685" s="5">
        <v>4257.12</v>
      </c>
      <c r="E685" s="5">
        <v>5.6728358850316685</v>
      </c>
      <c r="F685" s="5">
        <v>5.188146466484506</v>
      </c>
      <c r="G685" s="5">
        <v>5.769501513666306</v>
      </c>
      <c r="H685" s="5">
        <v>3.148646651337361</v>
      </c>
      <c r="I685" s="5">
        <v>2.516809125376529</v>
      </c>
      <c r="J685" s="5">
        <v>1.2898434169744288</v>
      </c>
      <c r="K685" s="5">
        <v>17.379824858120042</v>
      </c>
      <c r="L685" s="9" t="b">
        <v>0</v>
      </c>
    </row>
    <row r="686" ht="15.75" customHeight="1">
      <c r="A686" s="5">
        <v>9.0</v>
      </c>
      <c r="B686" s="5">
        <v>20173.0</v>
      </c>
      <c r="C686" s="5">
        <v>4929.41</v>
      </c>
      <c r="D686" s="5">
        <v>4213.1</v>
      </c>
      <c r="E686" s="5">
        <v>-0.11060072934069298</v>
      </c>
      <c r="F686" s="5">
        <v>3.4370621459904074</v>
      </c>
      <c r="G686" s="5">
        <v>1.9036735065059314</v>
      </c>
      <c r="H686" s="5">
        <v>-0.42400922704581845</v>
      </c>
      <c r="I686" s="5">
        <v>1.1147222940656676</v>
      </c>
      <c r="J686" s="5">
        <v>-1.4863929186880733</v>
      </c>
      <c r="K686" s="5">
        <v>17.00197004580948</v>
      </c>
      <c r="L686" s="9" t="b">
        <v>0</v>
      </c>
    </row>
    <row r="687" ht="15.75" customHeight="1">
      <c r="A687" s="5">
        <v>9.0</v>
      </c>
      <c r="B687" s="5">
        <v>20174.0</v>
      </c>
      <c r="C687" s="5">
        <v>5593.45</v>
      </c>
      <c r="D687" s="5">
        <v>4338.79</v>
      </c>
      <c r="E687" s="5">
        <v>12.072007233903491</v>
      </c>
      <c r="F687" s="5">
        <v>5.2624658121834775</v>
      </c>
      <c r="G687" s="5">
        <v>2.682996933936937</v>
      </c>
      <c r="H687" s="5">
        <v>5.13257910767464</v>
      </c>
      <c r="I687" s="5">
        <v>2.016935072942494</v>
      </c>
      <c r="J687" s="5">
        <v>-0.6736244493971091</v>
      </c>
      <c r="K687" s="5">
        <v>28.917278780489486</v>
      </c>
      <c r="L687" s="9" t="b">
        <v>0</v>
      </c>
    </row>
    <row r="688" ht="15.75" customHeight="1">
      <c r="A688" s="5">
        <v>9.0</v>
      </c>
      <c r="B688" s="5">
        <v>20181.0</v>
      </c>
      <c r="C688" s="5">
        <v>5363.686</v>
      </c>
      <c r="D688" s="5">
        <v>4248.38</v>
      </c>
      <c r="E688" s="5">
        <v>9.487781926109772</v>
      </c>
      <c r="F688" s="5">
        <v>6.780506078926059</v>
      </c>
      <c r="G688" s="5">
        <v>3.417860065958588</v>
      </c>
      <c r="H688" s="5">
        <v>2.9418677625473455</v>
      </c>
      <c r="I688" s="5">
        <v>2.6997710736283818</v>
      </c>
      <c r="J688" s="5">
        <v>0.30377120487926046</v>
      </c>
      <c r="K688" s="5">
        <v>26.252500953304537</v>
      </c>
      <c r="L688" s="9" t="b">
        <v>0</v>
      </c>
    </row>
    <row r="689" ht="15.75" customHeight="1">
      <c r="A689" s="5">
        <v>9.0</v>
      </c>
      <c r="B689" s="5">
        <v>20182.0</v>
      </c>
      <c r="C689" s="5">
        <v>5239.704</v>
      </c>
      <c r="D689" s="5">
        <v>4504.32</v>
      </c>
      <c r="E689" s="5">
        <v>4.856994196517905</v>
      </c>
      <c r="F689" s="5">
        <v>6.576545656797619</v>
      </c>
      <c r="G689" s="5">
        <v>1.3883991903131134</v>
      </c>
      <c r="H689" s="5">
        <v>5.806742586537372</v>
      </c>
      <c r="I689" s="5">
        <v>3.364295057428385</v>
      </c>
      <c r="J689" s="5">
        <v>0.847485932051856</v>
      </c>
      <c r="K689" s="5">
        <v>16.326193520886623</v>
      </c>
      <c r="L689" s="9" t="b">
        <v>0</v>
      </c>
    </row>
    <row r="690" ht="15.75" customHeight="1">
      <c r="A690" s="5">
        <v>9.0</v>
      </c>
      <c r="B690" s="5">
        <v>20183.0</v>
      </c>
      <c r="C690" s="5">
        <v>5311.443</v>
      </c>
      <c r="D690" s="5">
        <v>4559.03</v>
      </c>
      <c r="E690" s="5">
        <v>7.750075566852832</v>
      </c>
      <c r="F690" s="5">
        <v>8.541714730846</v>
      </c>
      <c r="G690" s="5">
        <v>5.104652584855592</v>
      </c>
      <c r="H690" s="5">
        <v>8.21081863710804</v>
      </c>
      <c r="I690" s="5">
        <v>5.52300202346685</v>
      </c>
      <c r="J690" s="5">
        <v>4.408279729401182</v>
      </c>
      <c r="K690" s="5">
        <v>16.503795763572526</v>
      </c>
      <c r="L690" s="9" t="b">
        <v>0</v>
      </c>
    </row>
    <row r="691" ht="15.75" customHeight="1">
      <c r="A691" s="5">
        <v>9.0</v>
      </c>
      <c r="B691" s="5">
        <v>20184.0</v>
      </c>
      <c r="C691" s="5">
        <v>5611.67</v>
      </c>
      <c r="D691" s="5">
        <v>4793.11</v>
      </c>
      <c r="E691" s="5">
        <v>0.32573814014607017</v>
      </c>
      <c r="F691" s="5">
        <v>5.605147457406645</v>
      </c>
      <c r="G691" s="5">
        <v>0.34268164522316713</v>
      </c>
      <c r="H691" s="5">
        <v>10.471122133129285</v>
      </c>
      <c r="I691" s="5">
        <v>6.857637779830511</v>
      </c>
      <c r="J691" s="5">
        <v>4.840702706888017</v>
      </c>
      <c r="K691" s="5">
        <v>17.07784715977727</v>
      </c>
      <c r="L691" s="9" t="b">
        <v>0</v>
      </c>
    </row>
    <row r="692" ht="15.75" customHeight="1">
      <c r="A692" s="5">
        <v>9.0</v>
      </c>
      <c r="B692" s="5">
        <v>20191.0</v>
      </c>
      <c r="C692" s="5">
        <v>5576.708</v>
      </c>
      <c r="D692" s="5">
        <v>4853.43</v>
      </c>
      <c r="E692" s="5">
        <v>3.971559856412177</v>
      </c>
      <c r="F692" s="5">
        <v>4.226091939982245</v>
      </c>
      <c r="G692" s="5">
        <v>-2.554414138943814</v>
      </c>
      <c r="H692" s="5">
        <v>14.241899265131664</v>
      </c>
      <c r="I692" s="5">
        <v>9.682645655476591</v>
      </c>
      <c r="J692" s="5">
        <v>6.982874581848209</v>
      </c>
      <c r="K692" s="5">
        <v>14.902409223992086</v>
      </c>
      <c r="L692" s="9" t="b">
        <v>0</v>
      </c>
    </row>
    <row r="693" ht="15.75" customHeight="1">
      <c r="A693" s="5">
        <v>9.0</v>
      </c>
      <c r="B693" s="5">
        <v>20192.0</v>
      </c>
      <c r="C693" s="5">
        <v>5676.699</v>
      </c>
      <c r="D693" s="5">
        <v>5064.86</v>
      </c>
      <c r="E693" s="5">
        <v>8.3400703551193</v>
      </c>
      <c r="F693" s="5">
        <v>5.096860979632594</v>
      </c>
      <c r="G693" s="5">
        <v>-1.4796846771650252</v>
      </c>
      <c r="H693" s="5">
        <v>12.44449772662688</v>
      </c>
      <c r="I693" s="5">
        <v>11.342084440498967</v>
      </c>
      <c r="J693" s="5">
        <v>7.977789383070582</v>
      </c>
      <c r="K693" s="5">
        <v>12.080077238067787</v>
      </c>
      <c r="L693" s="9" t="b">
        <v>0</v>
      </c>
    </row>
    <row r="694" ht="15.75" customHeight="1">
      <c r="A694" s="5">
        <v>9.0</v>
      </c>
      <c r="B694" s="5">
        <v>20193.0</v>
      </c>
      <c r="C694" s="5">
        <v>5871.841</v>
      </c>
      <c r="D694" s="5">
        <v>5162.47</v>
      </c>
      <c r="E694" s="5">
        <v>10.550767465639744</v>
      </c>
      <c r="F694" s="5">
        <v>5.797033954329322</v>
      </c>
      <c r="G694" s="5">
        <v>-2.7446807765166774</v>
      </c>
      <c r="H694" s="5">
        <v>13.236148917642577</v>
      </c>
      <c r="I694" s="5">
        <v>12.598417010632602</v>
      </c>
      <c r="J694" s="5">
        <v>7.075414987165752</v>
      </c>
      <c r="K694" s="5">
        <v>13.74092246540901</v>
      </c>
      <c r="L694" s="9" t="b">
        <v>0</v>
      </c>
    </row>
    <row r="695" ht="15.75" customHeight="1">
      <c r="A695" s="5">
        <v>9.0</v>
      </c>
      <c r="B695" s="5">
        <v>20194.0</v>
      </c>
      <c r="C695" s="5">
        <v>6107.897</v>
      </c>
      <c r="D695" s="5">
        <v>5373.85</v>
      </c>
      <c r="E695" s="5">
        <v>8.842768730164096</v>
      </c>
      <c r="F695" s="5">
        <v>7.926291601833829</v>
      </c>
      <c r="G695" s="5">
        <v>2.3211441444271843</v>
      </c>
      <c r="H695" s="5">
        <v>12.116141711748751</v>
      </c>
      <c r="I695" s="5">
        <v>13.009671905287469</v>
      </c>
      <c r="J695" s="5">
        <v>6.152034125456958</v>
      </c>
      <c r="K695" s="5">
        <v>13.659610893493479</v>
      </c>
      <c r="L695" s="9" t="b">
        <v>0</v>
      </c>
    </row>
    <row r="696" ht="15.75" customHeight="1">
      <c r="A696" s="5">
        <v>9.0</v>
      </c>
      <c r="B696" s="5">
        <v>20201.0</v>
      </c>
      <c r="C696" s="5">
        <v>6219.963</v>
      </c>
      <c r="D696" s="5">
        <v>5438.53</v>
      </c>
      <c r="E696" s="5">
        <v>11.534672426815252</v>
      </c>
      <c r="F696" s="5">
        <v>9.817069744434598</v>
      </c>
      <c r="G696" s="5">
        <v>5.590977804452352</v>
      </c>
      <c r="H696" s="5">
        <v>12.055391753873025</v>
      </c>
      <c r="I696" s="5">
        <v>12.463045027472809</v>
      </c>
      <c r="J696" s="5">
        <v>2.780399371996218</v>
      </c>
      <c r="K696" s="5">
        <v>14.368459859557635</v>
      </c>
      <c r="L696" s="9" t="b">
        <v>0</v>
      </c>
    </row>
    <row r="697" ht="15.75" customHeight="1">
      <c r="A697" s="5">
        <v>9.0</v>
      </c>
      <c r="B697" s="5">
        <v>20202.0</v>
      </c>
      <c r="C697" s="5">
        <v>6289.123</v>
      </c>
      <c r="D697" s="5">
        <v>5616.27</v>
      </c>
      <c r="E697" s="5">
        <v>10.788382473687609</v>
      </c>
      <c r="F697" s="5">
        <v>10.429147774076675</v>
      </c>
      <c r="G697" s="5">
        <v>5.332286794444081</v>
      </c>
      <c r="H697" s="5">
        <v>10.88697417105311</v>
      </c>
      <c r="I697" s="5">
        <v>12.073664138579366</v>
      </c>
      <c r="J697" s="5">
        <v>0.7315796980803988</v>
      </c>
      <c r="K697" s="5">
        <v>11.980424730292505</v>
      </c>
      <c r="L697" s="9" t="b">
        <v>0</v>
      </c>
    </row>
    <row r="698" ht="15.75" customHeight="1">
      <c r="A698" s="5">
        <v>9.0</v>
      </c>
      <c r="B698" s="5">
        <v>20203.0</v>
      </c>
      <c r="C698" s="5">
        <v>6387.698</v>
      </c>
      <c r="D698" s="5">
        <v>5679.7</v>
      </c>
      <c r="E698" s="5">
        <v>8.785268538436242</v>
      </c>
      <c r="F698" s="5">
        <v>9.987773042275798</v>
      </c>
      <c r="G698" s="5">
        <v>4.190739087946476</v>
      </c>
      <c r="H698" s="5">
        <v>10.019041272879047</v>
      </c>
      <c r="I698" s="5">
        <v>11.269387227388483</v>
      </c>
      <c r="J698" s="5">
        <v>-1.3290297832441187</v>
      </c>
      <c r="K698" s="5">
        <v>12.46541190555841</v>
      </c>
      <c r="L698" s="9" t="b">
        <v>0</v>
      </c>
    </row>
    <row r="699" ht="15.75" customHeight="1">
      <c r="A699" s="5">
        <v>9.0</v>
      </c>
      <c r="B699" s="5">
        <v>20204.0</v>
      </c>
      <c r="C699" s="5">
        <v>6425.049</v>
      </c>
      <c r="D699" s="5">
        <v>5784.85</v>
      </c>
      <c r="E699" s="5">
        <v>5.192490967021879</v>
      </c>
      <c r="F699" s="5">
        <v>9.075203601490244</v>
      </c>
      <c r="G699" s="5">
        <v>1.1489119996564154</v>
      </c>
      <c r="H699" s="5">
        <v>7.648147975845987</v>
      </c>
      <c r="I699" s="5">
        <v>10.152388793412793</v>
      </c>
      <c r="J699" s="5">
        <v>-2.8572831118746755</v>
      </c>
      <c r="K699" s="5">
        <v>11.066821093027478</v>
      </c>
      <c r="L699" s="9" t="b">
        <v>0</v>
      </c>
    </row>
    <row r="700" ht="15.75" customHeight="1">
      <c r="A700" s="5">
        <v>9.0</v>
      </c>
      <c r="B700" s="5">
        <v>20211.0</v>
      </c>
      <c r="C700" s="5">
        <v>6448.184</v>
      </c>
      <c r="D700" s="5">
        <v>5805.710576125001</v>
      </c>
      <c r="E700" s="5">
        <v>3.6691697362186915</v>
      </c>
      <c r="F700" s="5">
        <v>7.108827928841105</v>
      </c>
      <c r="G700" s="5">
        <v>-2.7082418155934924</v>
      </c>
      <c r="H700" s="5">
        <v>6.75146732894738</v>
      </c>
      <c r="I700" s="5">
        <v>8.826407687181382</v>
      </c>
      <c r="J700" s="5">
        <v>-3.6366373402914274</v>
      </c>
      <c r="K700" s="5">
        <v>11.066232383630382</v>
      </c>
      <c r="L700" s="9" t="b">
        <v>0</v>
      </c>
    </row>
    <row r="701" ht="15.75" customHeight="1">
      <c r="A701" s="5">
        <v>9.0</v>
      </c>
      <c r="B701" s="5">
        <v>20212.0</v>
      </c>
      <c r="C701" s="5">
        <v>6777.795</v>
      </c>
      <c r="D701" s="5">
        <v>5993.59</v>
      </c>
      <c r="E701" s="5">
        <v>7.770113575454007</v>
      </c>
      <c r="F701" s="5">
        <v>6.354260704282704</v>
      </c>
      <c r="G701" s="5">
        <v>-4.074887069793971</v>
      </c>
      <c r="H701" s="5">
        <v>6.718337971643096</v>
      </c>
      <c r="I701" s="5">
        <v>7.7842486373288775</v>
      </c>
      <c r="J701" s="5">
        <v>-4.289415501250488</v>
      </c>
      <c r="K701" s="5">
        <v>13.084061472339625</v>
      </c>
      <c r="L701" s="9" t="b">
        <v>0</v>
      </c>
    </row>
    <row r="702" ht="15.75" customHeight="1">
      <c r="A702" s="5">
        <v>9.0</v>
      </c>
      <c r="B702" s="5">
        <v>20213.0</v>
      </c>
      <c r="C702" s="5">
        <v>6839.839</v>
      </c>
      <c r="D702" s="5">
        <v>6211.86</v>
      </c>
      <c r="E702" s="5">
        <v>7.078308962007895</v>
      </c>
      <c r="F702" s="5">
        <v>5.9275208101756185</v>
      </c>
      <c r="G702" s="5">
        <v>-4.060252232100179</v>
      </c>
      <c r="H702" s="5">
        <v>9.369508952937643</v>
      </c>
      <c r="I702" s="5">
        <v>7.621865557343527</v>
      </c>
      <c r="J702" s="5">
        <v>-3.6475216700449558</v>
      </c>
      <c r="K702" s="5">
        <v>10.109355329965597</v>
      </c>
      <c r="L702" s="9" t="b">
        <v>0</v>
      </c>
    </row>
    <row r="703" ht="15.75" customHeight="1">
      <c r="A703" s="5">
        <v>9.0</v>
      </c>
      <c r="B703" s="5">
        <v>20214.0</v>
      </c>
      <c r="C703" s="5">
        <v>7031.006</v>
      </c>
      <c r="D703" s="5">
        <v>6371.77</v>
      </c>
      <c r="E703" s="5">
        <v>9.431165427687805</v>
      </c>
      <c r="F703" s="5">
        <v>6.987189425342099</v>
      </c>
      <c r="G703" s="5">
        <v>-2.088014176148145</v>
      </c>
      <c r="H703" s="5">
        <v>10.145811905235224</v>
      </c>
      <c r="I703" s="5">
        <v>8.246281539690836</v>
      </c>
      <c r="J703" s="5">
        <v>-1.9061072537219577</v>
      </c>
      <c r="K703" s="5">
        <v>10.346198936873119</v>
      </c>
      <c r="L703" s="9" t="b">
        <v>0</v>
      </c>
    </row>
    <row r="704" ht="15.75" customHeight="1">
      <c r="A704" s="5">
        <v>9.0</v>
      </c>
      <c r="B704" s="5">
        <v>20221.0</v>
      </c>
      <c r="C704" s="5">
        <v>7445.839</v>
      </c>
      <c r="D704" s="5">
        <v>6846.65</v>
      </c>
      <c r="E704" s="5">
        <v>15.471875492386689</v>
      </c>
      <c r="F704" s="5">
        <v>9.937865864384099</v>
      </c>
      <c r="G704" s="5">
        <v>2.8290379355429938</v>
      </c>
      <c r="H704" s="5">
        <v>17.92957830443158</v>
      </c>
      <c r="I704" s="5">
        <v>11.040809283561885</v>
      </c>
      <c r="J704" s="5">
        <v>2.214401596380503</v>
      </c>
      <c r="K704" s="5">
        <v>8.751564633799024</v>
      </c>
      <c r="L704" s="9" t="b">
        <v>0</v>
      </c>
    </row>
    <row r="705" ht="15.75" customHeight="1">
      <c r="A705" s="5">
        <v>9.0</v>
      </c>
      <c r="B705" s="5">
        <v>20222.0</v>
      </c>
      <c r="C705" s="5">
        <v>7601.753</v>
      </c>
      <c r="D705" s="5">
        <v>7026.06</v>
      </c>
      <c r="E705" s="5">
        <v>12.156726487006452</v>
      </c>
      <c r="F705" s="5">
        <v>11.03451909227221</v>
      </c>
      <c r="G705" s="5">
        <v>4.6802583879895066</v>
      </c>
      <c r="H705" s="5">
        <v>17.226236696203777</v>
      </c>
      <c r="I705" s="5">
        <v>13.667783964702057</v>
      </c>
      <c r="J705" s="5">
        <v>5.883535327373179</v>
      </c>
      <c r="K705" s="5">
        <v>8.193681807442577</v>
      </c>
      <c r="L705" s="9" t="b">
        <v>0</v>
      </c>
    </row>
    <row r="706" ht="15.75" customHeight="1">
      <c r="A706" s="5">
        <v>9.0</v>
      </c>
      <c r="B706" s="5">
        <v>20223.0</v>
      </c>
      <c r="C706" s="5">
        <v>7473.723</v>
      </c>
      <c r="D706" s="5">
        <v>7194.05</v>
      </c>
      <c r="E706" s="5">
        <v>9.267528080704835</v>
      </c>
      <c r="F706" s="5">
        <v>11.581823871946446</v>
      </c>
      <c r="G706" s="5">
        <v>5.654303061770827</v>
      </c>
      <c r="H706" s="5">
        <v>15.81152827011556</v>
      </c>
      <c r="I706" s="5">
        <v>15.278288793996534</v>
      </c>
      <c r="J706" s="5">
        <v>7.656423236653007</v>
      </c>
      <c r="K706" s="5">
        <v>3.8875598584941606</v>
      </c>
      <c r="L706" s="9" t="b">
        <v>0</v>
      </c>
    </row>
    <row r="707" ht="15.75" customHeight="1">
      <c r="A707" s="5">
        <v>9.0</v>
      </c>
      <c r="B707" s="5">
        <v>20224.0</v>
      </c>
      <c r="C707" s="5">
        <v>7562.753</v>
      </c>
      <c r="D707" s="5">
        <v>7059.539</v>
      </c>
      <c r="E707" s="5">
        <v>7.5628864489661884</v>
      </c>
      <c r="F707" s="5">
        <v>11.11475412726604</v>
      </c>
      <c r="G707" s="5">
        <v>4.127564701923942</v>
      </c>
      <c r="H707" s="5">
        <v>10.794002294495876</v>
      </c>
      <c r="I707" s="5">
        <v>15.440336391311696</v>
      </c>
      <c r="J707" s="5">
        <v>7.1940548516208604</v>
      </c>
      <c r="K707" s="5">
        <v>7.128142503356094</v>
      </c>
      <c r="L707" s="9" t="b">
        <v>0</v>
      </c>
    </row>
    <row r="708" ht="15.75" customHeight="1">
      <c r="A708" s="5">
        <v>9.0</v>
      </c>
      <c r="B708" s="5">
        <v>20231.0</v>
      </c>
      <c r="C708" s="5">
        <v>8235.754</v>
      </c>
      <c r="D708" s="5">
        <v>6859.294</v>
      </c>
      <c r="E708" s="5">
        <v>10.608811176282495</v>
      </c>
      <c r="F708" s="5">
        <v>9.898988048239993</v>
      </c>
      <c r="G708" s="5">
        <v>-0.03887781614410635</v>
      </c>
      <c r="H708" s="5">
        <v>0.1846742567533033</v>
      </c>
      <c r="I708" s="5">
        <v>11.004110379392127</v>
      </c>
      <c r="J708" s="5">
        <v>-0.036698904169757185</v>
      </c>
      <c r="K708" s="5">
        <v>20.06707978984428</v>
      </c>
      <c r="L708" s="9" t="b">
        <v>0</v>
      </c>
    </row>
    <row r="709" ht="15.75" customHeight="1">
      <c r="A709" s="5">
        <v>9.0</v>
      </c>
      <c r="B709" s="5">
        <v>20232.0</v>
      </c>
      <c r="C709" s="5">
        <v>8050.151</v>
      </c>
      <c r="D709" s="5">
        <v>7233.038</v>
      </c>
      <c r="E709" s="5">
        <v>5.89861312252582</v>
      </c>
      <c r="F709" s="5">
        <v>8.334459707119834</v>
      </c>
      <c r="G709" s="5">
        <v>-2.700059385152377</v>
      </c>
      <c r="H709" s="5">
        <v>2.945861549716322</v>
      </c>
      <c r="I709" s="5">
        <v>7.434016592770265</v>
      </c>
      <c r="J709" s="5">
        <v>-6.233767371931792</v>
      </c>
      <c r="K709" s="5">
        <v>11.296954336476595</v>
      </c>
      <c r="L709" s="9" t="b">
        <v>0</v>
      </c>
    </row>
    <row r="710" ht="15.75" customHeight="1">
      <c r="A710" s="5">
        <v>9.0</v>
      </c>
      <c r="B710" s="5">
        <v>20233.0</v>
      </c>
      <c r="C710" s="5">
        <v>8567.89</v>
      </c>
      <c r="D710" s="5">
        <v>7292.093</v>
      </c>
      <c r="E710" s="5">
        <v>14.640186691425395</v>
      </c>
      <c r="F710" s="5">
        <v>9.677624359799974</v>
      </c>
      <c r="G710" s="5">
        <v>-1.9041995121464712</v>
      </c>
      <c r="H710" s="5">
        <v>1.362834564674964</v>
      </c>
      <c r="I710" s="5">
        <v>3.8218431664101153</v>
      </c>
      <c r="J710" s="5">
        <v>-11.456445627586419</v>
      </c>
      <c r="K710" s="5">
        <v>17.49562162742575</v>
      </c>
      <c r="L710" s="9" t="b">
        <v>0</v>
      </c>
    </row>
    <row r="711" ht="15.75" customHeight="1">
      <c r="A711" s="5">
        <v>9.0</v>
      </c>
      <c r="B711" s="5">
        <v>20234.0</v>
      </c>
      <c r="C711" s="5">
        <v>8620.113</v>
      </c>
      <c r="D711" s="5">
        <v>7458.3</v>
      </c>
      <c r="E711" s="5">
        <v>13.981152101622252</v>
      </c>
      <c r="F711" s="5">
        <v>11.282190772963991</v>
      </c>
      <c r="G711" s="5">
        <v>0.16743664569795058</v>
      </c>
      <c r="H711" s="5">
        <v>5.648541639900295</v>
      </c>
      <c r="I711" s="5">
        <v>2.53547800276122</v>
      </c>
      <c r="J711" s="5">
        <v>-12.904858388550476</v>
      </c>
      <c r="K711" s="5">
        <v>15.57745062547764</v>
      </c>
      <c r="L711" s="9" t="b">
        <v>0</v>
      </c>
    </row>
    <row r="712" ht="15.75" customHeight="1">
      <c r="A712" s="5">
        <v>9.0</v>
      </c>
      <c r="B712" s="5">
        <v>20241.0</v>
      </c>
      <c r="C712" s="5">
        <v>8838.177</v>
      </c>
      <c r="D712" s="5">
        <v>7731.814</v>
      </c>
      <c r="E712" s="5">
        <v>7.314727953263289</v>
      </c>
      <c r="F712" s="5">
        <v>10.45866996720919</v>
      </c>
      <c r="G712" s="5">
        <v>0.5596819189691971</v>
      </c>
      <c r="H712" s="5">
        <v>12.72025954857745</v>
      </c>
      <c r="I712" s="5">
        <v>5.669374325717257</v>
      </c>
      <c r="J712" s="5">
        <v>-5.33473605367487</v>
      </c>
      <c r="K712" s="5">
        <v>14.309229373598487</v>
      </c>
      <c r="L712" s="9" t="b">
        <v>0</v>
      </c>
    </row>
    <row r="713" ht="15.75" customHeight="1">
      <c r="A713" s="5">
        <v>9.0</v>
      </c>
      <c r="B713" s="5">
        <v>20242.0</v>
      </c>
      <c r="C713" s="5">
        <v>9164.558</v>
      </c>
      <c r="D713" s="5">
        <v>8193.275</v>
      </c>
      <c r="E713" s="5">
        <v>13.843305547933205</v>
      </c>
      <c r="F713" s="5">
        <v>12.444843073561035</v>
      </c>
      <c r="G713" s="5">
        <v>4.1103833664412015</v>
      </c>
      <c r="H713" s="5">
        <v>13.275707939043047</v>
      </c>
      <c r="I713" s="5">
        <v>8.251835923048938</v>
      </c>
      <c r="J713" s="5">
        <v>0.8178193302786738</v>
      </c>
      <c r="K713" s="5">
        <v>11.854636882077084</v>
      </c>
      <c r="L713" s="9" t="b">
        <v>0</v>
      </c>
    </row>
    <row r="714" ht="15.75" customHeight="1">
      <c r="A714" s="5">
        <v>9.0</v>
      </c>
      <c r="B714" s="5">
        <v>20243.0</v>
      </c>
      <c r="C714" s="5">
        <v>9150.848</v>
      </c>
      <c r="D714" s="5">
        <v>8472.037</v>
      </c>
      <c r="E714" s="5">
        <v>6.80398557871309</v>
      </c>
      <c r="F714" s="5">
        <v>10.485792795382958</v>
      </c>
      <c r="G714" s="5">
        <v>0.8081684355829832</v>
      </c>
      <c r="H714" s="5">
        <v>16.18114305453866</v>
      </c>
      <c r="I714" s="5">
        <v>11.95641304551486</v>
      </c>
      <c r="J714" s="5">
        <v>8.134569879104745</v>
      </c>
      <c r="K714" s="5">
        <v>8.012370578645967</v>
      </c>
      <c r="L714" s="9" t="b">
        <v>0</v>
      </c>
    </row>
    <row r="715" ht="15.75" customHeight="1">
      <c r="A715" s="5">
        <v>9.0</v>
      </c>
      <c r="B715" s="5">
        <v>20244.0</v>
      </c>
      <c r="C715" s="5">
        <v>9532.374</v>
      </c>
      <c r="D715" s="5">
        <v>8436.368</v>
      </c>
      <c r="E715" s="5">
        <v>10.58293551372238</v>
      </c>
      <c r="F715" s="5">
        <v>9.63623864840799</v>
      </c>
      <c r="G715" s="5">
        <v>-1.6459521245560023</v>
      </c>
      <c r="H715" s="5">
        <v>13.11381950310393</v>
      </c>
      <c r="I715" s="5">
        <v>13.82273251131577</v>
      </c>
      <c r="J715" s="5">
        <v>11.28725450855455</v>
      </c>
      <c r="K715" s="5">
        <v>12.991443711322216</v>
      </c>
      <c r="L715" s="9" t="b">
        <v>0</v>
      </c>
    </row>
    <row r="716" ht="15.75" customHeight="1">
      <c r="A716" s="5">
        <v>9.0</v>
      </c>
      <c r="B716" s="5">
        <v>20251.0</v>
      </c>
      <c r="C716" s="5">
        <v>9550.399</v>
      </c>
      <c r="D716" s="5">
        <v>8486.078</v>
      </c>
      <c r="E716" s="5">
        <v>8.058471786659172</v>
      </c>
      <c r="F716" s="5">
        <v>9.822174606756962</v>
      </c>
      <c r="G716" s="5">
        <v>-0.6364953604522281</v>
      </c>
      <c r="H716" s="5">
        <v>9.755330379132232</v>
      </c>
      <c r="I716" s="5">
        <v>13.081500218954465</v>
      </c>
      <c r="J716" s="5">
        <v>7.412125893237208</v>
      </c>
      <c r="K716" s="5">
        <v>12.541965793856713</v>
      </c>
      <c r="L716" s="9" t="b">
        <v>0</v>
      </c>
    </row>
    <row r="717" ht="15.75" customHeight="1">
      <c r="A717" s="5">
        <v>9.0</v>
      </c>
      <c r="B717" s="5">
        <v>20252.0</v>
      </c>
      <c r="C717" s="5">
        <v>9995.871</v>
      </c>
      <c r="D717" s="5">
        <v>8492.393</v>
      </c>
      <c r="E717" s="5">
        <v>9.070955740582342</v>
      </c>
      <c r="F717" s="5">
        <v>8.629087154919246</v>
      </c>
      <c r="G717" s="5">
        <v>-3.8157559186417895</v>
      </c>
      <c r="H717" s="5">
        <v>3.650774568167181</v>
      </c>
      <c r="I717" s="5">
        <v>10.675266876235499</v>
      </c>
      <c r="J717" s="5">
        <v>2.4234309531865605</v>
      </c>
      <c r="K717" s="5">
        <v>17.703820348398835</v>
      </c>
      <c r="L717" s="9" t="b">
        <v>0</v>
      </c>
    </row>
    <row r="718" ht="15.75" customHeight="1">
      <c r="A718" s="5">
        <v>9.0</v>
      </c>
      <c r="B718" s="5">
        <v>20253.0</v>
      </c>
      <c r="C718" s="5">
        <v>10245.64</v>
      </c>
      <c r="D718" s="5">
        <v>8757.804</v>
      </c>
      <c r="E718" s="5">
        <v>11.963831111608458</v>
      </c>
      <c r="F718" s="5">
        <v>9.919048538143088</v>
      </c>
      <c r="G718" s="5">
        <v>-0.5667442572398702</v>
      </c>
      <c r="H718" s="5">
        <v>3.373061283844714</v>
      </c>
      <c r="I718" s="5">
        <v>7.4732464335620135</v>
      </c>
      <c r="J718" s="5">
        <v>-4.483166611952847</v>
      </c>
      <c r="K718" s="5">
        <v>16.988688031839928</v>
      </c>
      <c r="L718" s="9" t="b">
        <v>0</v>
      </c>
    </row>
    <row r="719" ht="15.75" customHeight="1">
      <c r="A719" s="5">
        <v>9.0</v>
      </c>
      <c r="B719" s="5">
        <v>20254.0</v>
      </c>
      <c r="C719" s="5">
        <v>10381.82</v>
      </c>
      <c r="D719" s="5">
        <v>8720.74</v>
      </c>
      <c r="E719" s="5">
        <v>8.911169452646316</v>
      </c>
      <c r="F719" s="5">
        <v>9.501107022874072</v>
      </c>
      <c r="G719" s="5">
        <v>-0.13513162553391744</v>
      </c>
      <c r="H719" s="5">
        <v>3.370787049592905</v>
      </c>
      <c r="I719" s="5">
        <v>5.0374883201842575</v>
      </c>
      <c r="J719" s="5">
        <v>-8.785244191131513</v>
      </c>
      <c r="K719" s="5">
        <v>19.047466155395078</v>
      </c>
      <c r="L719" s="9" t="b">
        <v>0</v>
      </c>
    </row>
    <row r="720" ht="15.75" customHeight="1">
      <c r="A720" s="5">
        <v>9.0</v>
      </c>
      <c r="B720" s="5">
        <v>20261.0</v>
      </c>
      <c r="C720" s="5">
        <v>10304.22</v>
      </c>
      <c r="D720" s="5">
        <v>8779.436</v>
      </c>
      <c r="E720" s="5">
        <v>7.893083838696158</v>
      </c>
      <c r="F720" s="5">
        <v>9.459760035883319</v>
      </c>
      <c r="G720" s="5">
        <v>-0.3624145708736428</v>
      </c>
      <c r="H720" s="5">
        <v>3.4569326371970632</v>
      </c>
      <c r="I720" s="5">
        <v>3.462888884700465</v>
      </c>
      <c r="J720" s="5">
        <v>-9.618611334254</v>
      </c>
      <c r="K720" s="5">
        <v>17.3676760101674</v>
      </c>
      <c r="L720" s="9" t="b">
        <v>0</v>
      </c>
    </row>
    <row r="721" ht="15.75" customHeight="1">
      <c r="A721" s="5">
        <v>9.0</v>
      </c>
      <c r="B721" s="5">
        <v>20262.0</v>
      </c>
      <c r="C721" s="5">
        <v>10680.51</v>
      </c>
      <c r="D721" s="5">
        <v>8940.509</v>
      </c>
      <c r="E721" s="5">
        <v>6.849218042129612</v>
      </c>
      <c r="F721" s="5">
        <v>8.904325611270137</v>
      </c>
      <c r="G721" s="5">
        <v>0.27523845635089117</v>
      </c>
      <c r="H721" s="5">
        <v>5.276675255137153</v>
      </c>
      <c r="I721" s="5">
        <v>3.869364056442958</v>
      </c>
      <c r="J721" s="5">
        <v>-6.805902819792541</v>
      </c>
      <c r="K721" s="5">
        <v>19.461990363188498</v>
      </c>
      <c r="L721" s="9" t="b">
        <v>0</v>
      </c>
    </row>
    <row r="722" ht="15.75" customHeight="1">
      <c r="A722" s="5">
        <v>10.0</v>
      </c>
      <c r="B722" s="5">
        <v>20063.0</v>
      </c>
      <c r="C722" s="5">
        <v>3299.1517226232645</v>
      </c>
      <c r="D722" s="5">
        <v>2809.9949873178093</v>
      </c>
      <c r="K722" s="5">
        <v>17.407744053392914</v>
      </c>
      <c r="L722" s="9" t="b">
        <v>0</v>
      </c>
    </row>
    <row r="723" ht="15.75" customHeight="1">
      <c r="A723" s="5">
        <v>10.0</v>
      </c>
      <c r="B723" s="5">
        <v>20064.0</v>
      </c>
      <c r="C723" s="5">
        <v>3342.843092343046</v>
      </c>
      <c r="D723" s="5">
        <v>2898.082093331009</v>
      </c>
      <c r="K723" s="5">
        <v>15.346735692391512</v>
      </c>
      <c r="L723" s="9" t="b">
        <v>0</v>
      </c>
    </row>
    <row r="724" ht="15.75" customHeight="1">
      <c r="A724" s="5">
        <v>10.0</v>
      </c>
      <c r="B724" s="5">
        <v>20071.0</v>
      </c>
      <c r="D724" s="5">
        <v>3405.9781613225327</v>
      </c>
      <c r="L724" s="9" t="b">
        <v>0</v>
      </c>
    </row>
    <row r="725" ht="15.75" customHeight="1">
      <c r="A725" s="5">
        <v>10.0</v>
      </c>
      <c r="B725" s="5">
        <v>20072.0</v>
      </c>
      <c r="C725" s="5">
        <v>3307.345457522684</v>
      </c>
      <c r="D725" s="5">
        <v>3862.3648030006334</v>
      </c>
      <c r="K725" s="5">
        <v>-14.369935875729823</v>
      </c>
      <c r="L725" s="9" t="b">
        <v>0</v>
      </c>
    </row>
    <row r="726" ht="15.75" customHeight="1">
      <c r="A726" s="5">
        <v>10.0</v>
      </c>
      <c r="B726" s="5">
        <v>20073.0</v>
      </c>
      <c r="C726" s="5">
        <v>4253.276317153818</v>
      </c>
      <c r="D726" s="5">
        <v>3859.092787554719</v>
      </c>
      <c r="E726" s="5">
        <v>28.9203005726544</v>
      </c>
      <c r="H726" s="5">
        <v>37.334507889577864</v>
      </c>
      <c r="K726" s="5">
        <v>10.214409222559006</v>
      </c>
      <c r="L726" s="9" t="b">
        <v>0</v>
      </c>
    </row>
    <row r="727" ht="15.75" customHeight="1">
      <c r="A727" s="5">
        <v>10.0</v>
      </c>
      <c r="B727" s="5">
        <v>20074.0</v>
      </c>
      <c r="C727" s="5">
        <v>4441.739988212916</v>
      </c>
      <c r="D727" s="5">
        <v>4010.8484488600425</v>
      </c>
      <c r="E727" s="5">
        <v>32.87312223499062</v>
      </c>
      <c r="H727" s="5">
        <v>38.39664715122122</v>
      </c>
      <c r="K727" s="5">
        <v>10.743151850460485</v>
      </c>
      <c r="L727" s="9" t="b">
        <v>0</v>
      </c>
    </row>
    <row r="728" ht="15.75" customHeight="1">
      <c r="A728" s="5">
        <v>10.0</v>
      </c>
      <c r="B728" s="5">
        <v>20081.0</v>
      </c>
      <c r="C728" s="5">
        <v>4252.540183666087</v>
      </c>
      <c r="D728" s="5">
        <v>3724.5697344674736</v>
      </c>
      <c r="H728" s="5">
        <v>9.35389359693466</v>
      </c>
      <c r="K728" s="5">
        <v>14.175340692717642</v>
      </c>
      <c r="L728" s="9" t="b">
        <v>0</v>
      </c>
    </row>
    <row r="729" ht="15.75" customHeight="1">
      <c r="A729" s="5">
        <v>10.0</v>
      </c>
      <c r="B729" s="5">
        <v>20082.0</v>
      </c>
      <c r="C729" s="5">
        <v>3916.841072255603</v>
      </c>
      <c r="D729" s="5">
        <v>3715.3889964149503</v>
      </c>
      <c r="E729" s="5">
        <v>18.428544056279293</v>
      </c>
      <c r="H729" s="5">
        <v>-3.805332071986034</v>
      </c>
      <c r="I729" s="5">
        <v>20.319929141436926</v>
      </c>
      <c r="K729" s="5">
        <v>5.422099167409877</v>
      </c>
      <c r="L729" s="9" t="b">
        <v>0</v>
      </c>
    </row>
    <row r="730" ht="15.75" customHeight="1">
      <c r="A730" s="5">
        <v>10.0</v>
      </c>
      <c r="B730" s="5">
        <v>20083.0</v>
      </c>
      <c r="C730" s="5">
        <v>3916.197632054861</v>
      </c>
      <c r="D730" s="5">
        <v>3823.238477762764</v>
      </c>
      <c r="E730" s="5">
        <v>-7.925153692448584</v>
      </c>
      <c r="H730" s="5">
        <v>-0.9290864917159469</v>
      </c>
      <c r="I730" s="5">
        <v>10.754030546113473</v>
      </c>
      <c r="K730" s="5">
        <v>2.4314244280805086</v>
      </c>
      <c r="L730" s="9" t="b">
        <v>0</v>
      </c>
    </row>
    <row r="731" ht="15.75" customHeight="1">
      <c r="A731" s="5">
        <v>10.0</v>
      </c>
      <c r="B731" s="5">
        <v>20084.0</v>
      </c>
      <c r="C731" s="5">
        <v>3765.311351643312</v>
      </c>
      <c r="D731" s="5">
        <v>3754.432467651597</v>
      </c>
      <c r="E731" s="5">
        <v>-15.228911155642798</v>
      </c>
      <c r="H731" s="5">
        <v>-6.393060831837804</v>
      </c>
      <c r="I731" s="5">
        <v>-0.44339644965128144</v>
      </c>
      <c r="K731" s="5">
        <v>0.2897610780177251</v>
      </c>
      <c r="L731" s="9" t="b">
        <v>0</v>
      </c>
    </row>
    <row r="732" ht="15.75" customHeight="1">
      <c r="A732" s="5">
        <v>10.0</v>
      </c>
      <c r="B732" s="5">
        <v>20091.0</v>
      </c>
      <c r="C732" s="5">
        <v>3776.489059160362</v>
      </c>
      <c r="D732" s="5">
        <v>3815.823132936066</v>
      </c>
      <c r="E732" s="5">
        <v>-11.194512078550755</v>
      </c>
      <c r="F732" s="5">
        <v>-3.980008217590711</v>
      </c>
      <c r="H732" s="5">
        <v>2.450038661489562</v>
      </c>
      <c r="I732" s="5">
        <v>-2.1693601835125556</v>
      </c>
      <c r="K732" s="5">
        <v>-1.030814909532729</v>
      </c>
      <c r="L732" s="9" t="b">
        <v>0</v>
      </c>
    </row>
    <row r="733" ht="15.75" customHeight="1">
      <c r="A733" s="5">
        <v>10.0</v>
      </c>
      <c r="B733" s="5">
        <v>20092.0</v>
      </c>
      <c r="C733" s="5">
        <v>3471.4591930667075</v>
      </c>
      <c r="D733" s="5">
        <v>3805.828761453672</v>
      </c>
      <c r="E733" s="5">
        <v>-11.370945896776263</v>
      </c>
      <c r="F733" s="5">
        <v>-11.4298807058546</v>
      </c>
      <c r="H733" s="5">
        <v>2.434193704239007</v>
      </c>
      <c r="I733" s="5">
        <v>-0.6094787394562955</v>
      </c>
      <c r="J733" s="5">
        <v>-20.929407880893223</v>
      </c>
      <c r="K733" s="5">
        <v>-8.785722883108615</v>
      </c>
      <c r="L733" s="9" t="b">
        <v>0</v>
      </c>
    </row>
    <row r="734" ht="15.75" customHeight="1">
      <c r="A734" s="5">
        <v>10.0</v>
      </c>
      <c r="B734" s="5">
        <v>20093.0</v>
      </c>
      <c r="C734" s="5">
        <v>3669.263679822869</v>
      </c>
      <c r="D734" s="5">
        <v>3642.0759858145</v>
      </c>
      <c r="E734" s="5">
        <v>-6.305451752761105</v>
      </c>
      <c r="F734" s="5">
        <v>-11.024955220932732</v>
      </c>
      <c r="H734" s="5">
        <v>-4.7384564944605305</v>
      </c>
      <c r="I734" s="5">
        <v>-1.5618212401424414</v>
      </c>
      <c r="J734" s="5">
        <v>-12.315851786255914</v>
      </c>
      <c r="K734" s="5">
        <v>0.7464889286841414</v>
      </c>
      <c r="L734" s="9" t="b">
        <v>0</v>
      </c>
    </row>
    <row r="735" ht="15.75" customHeight="1">
      <c r="A735" s="5">
        <v>10.0</v>
      </c>
      <c r="B735" s="5">
        <v>20094.0</v>
      </c>
      <c r="C735" s="5">
        <v>3492.074297864311</v>
      </c>
      <c r="D735" s="5">
        <v>3646.150870017173</v>
      </c>
      <c r="E735" s="5">
        <v>-7.256692163312084</v>
      </c>
      <c r="F735" s="5">
        <v>-9.031900472850053</v>
      </c>
      <c r="H735" s="5">
        <v>-2.884100288589142</v>
      </c>
      <c r="I735" s="5">
        <v>-0.6845811043302759</v>
      </c>
      <c r="J735" s="5">
        <v>-0.24118465467899441</v>
      </c>
      <c r="K735" s="5">
        <v>-4.225732221336642</v>
      </c>
      <c r="L735" s="9" t="b">
        <v>0</v>
      </c>
    </row>
    <row r="736" ht="15.75" customHeight="1">
      <c r="A736" s="5">
        <v>10.0</v>
      </c>
      <c r="B736" s="5">
        <v>20101.0</v>
      </c>
      <c r="C736" s="5">
        <v>3626.9017510782137</v>
      </c>
      <c r="D736" s="5">
        <v>3725.304318188182</v>
      </c>
      <c r="E736" s="5">
        <v>-3.9610152641460727</v>
      </c>
      <c r="F736" s="5">
        <v>-7.223526269248881</v>
      </c>
      <c r="G736" s="5">
        <v>-3.2435180516581696</v>
      </c>
      <c r="H736" s="5">
        <v>-2.3721962888315185</v>
      </c>
      <c r="I736" s="5">
        <v>-1.890139841910546</v>
      </c>
      <c r="J736" s="5">
        <v>0.2792203416020096</v>
      </c>
      <c r="K736" s="5">
        <v>-2.641463856510573</v>
      </c>
      <c r="L736" s="9" t="b">
        <v>0</v>
      </c>
    </row>
    <row r="737" ht="15.75" customHeight="1">
      <c r="A737" s="5">
        <v>10.0</v>
      </c>
      <c r="B737" s="5">
        <v>20102.0</v>
      </c>
      <c r="C737" s="5">
        <v>4125.444680302217</v>
      </c>
      <c r="D737" s="5">
        <v>3908.7290264801377</v>
      </c>
      <c r="E737" s="5">
        <v>18.83892193062986</v>
      </c>
      <c r="F737" s="5">
        <v>0.3289406876026497</v>
      </c>
      <c r="G737" s="5">
        <v>11.75882139345725</v>
      </c>
      <c r="H737" s="5">
        <v>2.7037544639071376</v>
      </c>
      <c r="I737" s="5">
        <v>-1.8227496519935136</v>
      </c>
      <c r="J737" s="5">
        <v>-1.213270912537218</v>
      </c>
      <c r="K737" s="5">
        <v>5.544402089628475</v>
      </c>
      <c r="L737" s="9" t="b">
        <v>0</v>
      </c>
    </row>
    <row r="738" ht="15.75" customHeight="1">
      <c r="A738" s="5">
        <v>10.0</v>
      </c>
      <c r="B738" s="5">
        <v>20103.0</v>
      </c>
      <c r="C738" s="5">
        <v>4053.832675977609</v>
      </c>
      <c r="D738" s="5">
        <v>3817.71279505988</v>
      </c>
      <c r="E738" s="5">
        <v>10.480822031664538</v>
      </c>
      <c r="F738" s="5">
        <v>4.525509133709059</v>
      </c>
      <c r="G738" s="5">
        <v>15.550464354641791</v>
      </c>
      <c r="H738" s="5">
        <v>4.822436707236943</v>
      </c>
      <c r="I738" s="5">
        <v>0.5674736484308551</v>
      </c>
      <c r="J738" s="5">
        <v>2.1292948885732965</v>
      </c>
      <c r="K738" s="5">
        <v>6.184851862698215</v>
      </c>
      <c r="L738" s="9" t="b">
        <v>0</v>
      </c>
    </row>
    <row r="739" ht="15.75" customHeight="1">
      <c r="A739" s="5">
        <v>10.0</v>
      </c>
      <c r="B739" s="5">
        <v>20104.0</v>
      </c>
      <c r="C739" s="5">
        <v>3816.673846533145</v>
      </c>
      <c r="D739" s="5">
        <v>3743.456977182002</v>
      </c>
      <c r="E739" s="5">
        <v>9.295321948543677</v>
      </c>
      <c r="F739" s="5">
        <v>8.663512661673</v>
      </c>
      <c r="G739" s="5">
        <v>17.69541313452305</v>
      </c>
      <c r="H739" s="5">
        <v>2.6687350752540473</v>
      </c>
      <c r="I739" s="5">
        <v>1.9556824893916525</v>
      </c>
      <c r="J739" s="5">
        <v>2.6402635937219285</v>
      </c>
      <c r="K739" s="5">
        <v>1.9558624500677135</v>
      </c>
      <c r="L739" s="9" t="b">
        <v>0</v>
      </c>
    </row>
    <row r="740" ht="15.75" customHeight="1">
      <c r="A740" s="5">
        <v>10.0</v>
      </c>
      <c r="B740" s="5">
        <v>20111.0</v>
      </c>
      <c r="C740" s="5">
        <v>4759.135389812163</v>
      </c>
      <c r="D740" s="5">
        <v>3976.130465463552</v>
      </c>
      <c r="E740" s="5">
        <v>31.217653976906234</v>
      </c>
      <c r="F740" s="5">
        <v>17.458179971936076</v>
      </c>
      <c r="G740" s="5">
        <v>24.681706241184955</v>
      </c>
      <c r="H740" s="5">
        <v>6.733037783000784</v>
      </c>
      <c r="I740" s="5">
        <v>4.231991007349729</v>
      </c>
      <c r="J740" s="5">
        <v>6.122130849260275</v>
      </c>
      <c r="K740" s="5">
        <v>19.692636626231174</v>
      </c>
      <c r="L740" s="9" t="b">
        <v>0</v>
      </c>
    </row>
    <row r="741" ht="15.75" customHeight="1">
      <c r="A741" s="5">
        <v>10.0</v>
      </c>
      <c r="B741" s="5">
        <v>20112.0</v>
      </c>
      <c r="C741" s="5">
        <v>4776.0</v>
      </c>
      <c r="D741" s="5">
        <v>3957.274638700968</v>
      </c>
      <c r="E741" s="5">
        <v>15.769338098362894</v>
      </c>
      <c r="F741" s="5">
        <v>16.690784013869333</v>
      </c>
      <c r="G741" s="5">
        <v>16.361843326266683</v>
      </c>
      <c r="H741" s="5">
        <v>1.241979474451993</v>
      </c>
      <c r="I741" s="5">
        <v>3.866547259985942</v>
      </c>
      <c r="J741" s="5">
        <v>5.689296911979455</v>
      </c>
      <c r="K741" s="5">
        <v>20.689121581103876</v>
      </c>
      <c r="L741" s="9" t="b">
        <v>0</v>
      </c>
    </row>
    <row r="742" ht="15.75" customHeight="1">
      <c r="A742" s="5">
        <v>10.0</v>
      </c>
      <c r="B742" s="5">
        <v>20113.0</v>
      </c>
      <c r="C742" s="5">
        <v>4726.363727153346</v>
      </c>
      <c r="D742" s="5">
        <v>4005.7313925400863</v>
      </c>
      <c r="E742" s="5">
        <v>16.59000518598246</v>
      </c>
      <c r="F742" s="5">
        <v>18.218079802448816</v>
      </c>
      <c r="G742" s="5">
        <v>13.692570668739757</v>
      </c>
      <c r="H742" s="5">
        <v>4.924901572572504</v>
      </c>
      <c r="I742" s="5">
        <v>3.8921634763198325</v>
      </c>
      <c r="J742" s="5">
        <v>3.324689827888977</v>
      </c>
      <c r="K742" s="5">
        <v>17.990031382416216</v>
      </c>
      <c r="L742" s="9" t="b">
        <v>0</v>
      </c>
    </row>
    <row r="743" ht="15.75" customHeight="1">
      <c r="A743" s="5">
        <v>10.0</v>
      </c>
      <c r="B743" s="5">
        <v>20114.0</v>
      </c>
      <c r="C743" s="5">
        <v>4675.772405765925</v>
      </c>
      <c r="D743" s="5">
        <v>3890.3433851615623</v>
      </c>
      <c r="E743" s="5">
        <v>22.50909021249321</v>
      </c>
      <c r="F743" s="5">
        <v>21.5215218684362</v>
      </c>
      <c r="G743" s="5">
        <v>12.8580092067632</v>
      </c>
      <c r="H743" s="5">
        <v>3.9238171795454635</v>
      </c>
      <c r="I743" s="5">
        <v>4.205934002392686</v>
      </c>
      <c r="J743" s="5">
        <v>2.2502515130010337</v>
      </c>
      <c r="K743" s="5">
        <v>20.18919521603475</v>
      </c>
      <c r="L743" s="9" t="b">
        <v>0</v>
      </c>
    </row>
    <row r="744" ht="15.75" customHeight="1">
      <c r="A744" s="5">
        <v>10.0</v>
      </c>
      <c r="B744" s="5">
        <v>20121.0</v>
      </c>
      <c r="C744" s="5">
        <v>4644.739107845103</v>
      </c>
      <c r="D744" s="5">
        <v>3845.095574387232</v>
      </c>
      <c r="E744" s="5">
        <v>-2.403719848188135</v>
      </c>
      <c r="F744" s="5">
        <v>13.116178412162608</v>
      </c>
      <c r="G744" s="5">
        <v>-4.342001559773468</v>
      </c>
      <c r="H744" s="5">
        <v>-3.2955380165334613</v>
      </c>
      <c r="I744" s="5">
        <v>1.6987900525091248</v>
      </c>
      <c r="J744" s="5">
        <v>-2.533200954840604</v>
      </c>
      <c r="K744" s="5">
        <v>20.796454027941948</v>
      </c>
      <c r="L744" s="9" t="b">
        <v>0</v>
      </c>
    </row>
    <row r="745" ht="15.75" customHeight="1">
      <c r="A745" s="5">
        <v>10.0</v>
      </c>
      <c r="B745" s="5">
        <v>20122.0</v>
      </c>
      <c r="C745" s="5">
        <v>4557.261871481248</v>
      </c>
      <c r="D745" s="5">
        <v>3824.374752255108</v>
      </c>
      <c r="E745" s="5">
        <v>-4.579944064462982</v>
      </c>
      <c r="F745" s="5">
        <v>8.028857871456138</v>
      </c>
      <c r="G745" s="5">
        <v>-8.661926142413195</v>
      </c>
      <c r="H745" s="5">
        <v>-3.3583690438398817</v>
      </c>
      <c r="I745" s="5">
        <v>0.5487029229361562</v>
      </c>
      <c r="J745" s="5">
        <v>-3.3178443370497854</v>
      </c>
      <c r="K745" s="5">
        <v>19.163580106629997</v>
      </c>
      <c r="L745" s="9" t="b">
        <v>0</v>
      </c>
    </row>
    <row r="746" ht="15.75" customHeight="1">
      <c r="A746" s="5">
        <v>10.0</v>
      </c>
      <c r="B746" s="5">
        <v>20123.0</v>
      </c>
      <c r="C746" s="5">
        <v>4428.3064709644</v>
      </c>
      <c r="D746" s="5">
        <v>3854.210382610161</v>
      </c>
      <c r="E746" s="5">
        <v>-6.306269965567446</v>
      </c>
      <c r="F746" s="5">
        <v>2.304789083568661</v>
      </c>
      <c r="G746" s="5">
        <v>-15.913290718880155</v>
      </c>
      <c r="H746" s="5">
        <v>-3.782605349227963</v>
      </c>
      <c r="I746" s="5">
        <v>-1.6281738075139607</v>
      </c>
      <c r="J746" s="5">
        <v>-5.520337283833793</v>
      </c>
      <c r="K746" s="5">
        <v>14.895297126085993</v>
      </c>
      <c r="L746" s="9" t="b">
        <v>0</v>
      </c>
    </row>
    <row r="747" ht="15.75" customHeight="1">
      <c r="A747" s="5">
        <v>10.0</v>
      </c>
      <c r="B747" s="5">
        <v>20124.0</v>
      </c>
      <c r="C747" s="5">
        <v>4203.178876844462</v>
      </c>
      <c r="D747" s="5">
        <v>3769.8157434496848</v>
      </c>
      <c r="E747" s="5">
        <v>-10.10728256017519</v>
      </c>
      <c r="F747" s="5">
        <v>-5.849304109598439</v>
      </c>
      <c r="G747" s="5">
        <v>-27.370825978034638</v>
      </c>
      <c r="H747" s="5">
        <v>-3.0981234759787757</v>
      </c>
      <c r="I747" s="5">
        <v>-3.3836589713950205</v>
      </c>
      <c r="J747" s="5">
        <v>-7.589592973787706</v>
      </c>
      <c r="K747" s="5">
        <v>11.495605167116608</v>
      </c>
      <c r="L747" s="9" t="b">
        <v>0</v>
      </c>
    </row>
    <row r="748" ht="15.75" customHeight="1">
      <c r="A748" s="5">
        <v>10.0</v>
      </c>
      <c r="B748" s="5">
        <v>20131.0</v>
      </c>
      <c r="C748" s="5">
        <v>4428.0</v>
      </c>
      <c r="D748" s="5">
        <v>3734.844260592323</v>
      </c>
      <c r="E748" s="5">
        <v>-4.666335456366621</v>
      </c>
      <c r="F748" s="5">
        <v>-6.41495801164306</v>
      </c>
      <c r="G748" s="5">
        <v>-19.53113642380567</v>
      </c>
      <c r="H748" s="5">
        <v>-2.867323104510322</v>
      </c>
      <c r="I748" s="5">
        <v>-3.276605243389236</v>
      </c>
      <c r="J748" s="5">
        <v>-4.975395295898361</v>
      </c>
      <c r="K748" s="5">
        <v>18.559160464103176</v>
      </c>
      <c r="L748" s="9" t="b">
        <v>0</v>
      </c>
    </row>
    <row r="749" ht="15.75" customHeight="1">
      <c r="A749" s="5">
        <v>10.0</v>
      </c>
      <c r="B749" s="5">
        <v>20132.0</v>
      </c>
      <c r="C749" s="5">
        <v>4526.406356482954</v>
      </c>
      <c r="D749" s="5">
        <v>3731.700628282476</v>
      </c>
      <c r="E749" s="5">
        <v>-0.677062584254462</v>
      </c>
      <c r="F749" s="5">
        <v>-5.43923764159093</v>
      </c>
      <c r="G749" s="5">
        <v>-13.468095513047068</v>
      </c>
      <c r="H749" s="5">
        <v>-2.4232490269941565</v>
      </c>
      <c r="I749" s="5">
        <v>-3.0428252391778043</v>
      </c>
      <c r="J749" s="5">
        <v>-3.5915281621139608</v>
      </c>
      <c r="K749" s="5">
        <v>21.296074025269363</v>
      </c>
      <c r="L749" s="9" t="b">
        <v>0</v>
      </c>
    </row>
    <row r="750" ht="15.75" customHeight="1">
      <c r="A750" s="5">
        <v>10.0</v>
      </c>
      <c r="B750" s="5">
        <v>20133.0</v>
      </c>
      <c r="C750" s="5">
        <v>4616.531080451221</v>
      </c>
      <c r="D750" s="5">
        <v>3808.417932955273</v>
      </c>
      <c r="E750" s="5">
        <v>4.250487420438831</v>
      </c>
      <c r="F750" s="5">
        <v>-2.8000482950893613</v>
      </c>
      <c r="G750" s="5">
        <v>-5.104837378658022</v>
      </c>
      <c r="H750" s="5">
        <v>-1.1881149472664831</v>
      </c>
      <c r="I750" s="5">
        <v>-2.3942026386874344</v>
      </c>
      <c r="J750" s="5">
        <v>-0.7660288311734738</v>
      </c>
      <c r="K750" s="5">
        <v>21.21912987813459</v>
      </c>
      <c r="L750" s="9" t="b">
        <v>0</v>
      </c>
    </row>
    <row r="751" ht="15.75" customHeight="1">
      <c r="A751" s="5">
        <v>10.0</v>
      </c>
      <c r="B751" s="5">
        <v>20134.0</v>
      </c>
      <c r="C751" s="5">
        <v>4638.2330789701455</v>
      </c>
      <c r="D751" s="5">
        <v>3698.566323871981</v>
      </c>
      <c r="E751" s="5">
        <v>10.350599269577131</v>
      </c>
      <c r="F751" s="5">
        <v>2.314422162348719</v>
      </c>
      <c r="G751" s="5">
        <v>8.163726271947159</v>
      </c>
      <c r="H751" s="5">
        <v>-1.8899974011065357</v>
      </c>
      <c r="I751" s="5">
        <v>-2.0921711199693744</v>
      </c>
      <c r="J751" s="5">
        <v>1.291487851425646</v>
      </c>
      <c r="K751" s="5">
        <v>25.406243198430456</v>
      </c>
      <c r="L751" s="9" t="b">
        <v>0</v>
      </c>
    </row>
    <row r="752" ht="15.75" customHeight="1">
      <c r="A752" s="5">
        <v>10.0</v>
      </c>
      <c r="B752" s="5">
        <v>20141.0</v>
      </c>
      <c r="C752" s="5">
        <v>4370.245570183696</v>
      </c>
      <c r="D752" s="5">
        <v>3738.1105082927775</v>
      </c>
      <c r="E752" s="5">
        <v>-1.3043005830240206</v>
      </c>
      <c r="F752" s="5">
        <v>3.154930880684369</v>
      </c>
      <c r="G752" s="5">
        <v>9.56988889232743</v>
      </c>
      <c r="H752" s="5">
        <v>0.08745338419913207</v>
      </c>
      <c r="I752" s="5">
        <v>-1.353476997792011</v>
      </c>
      <c r="J752" s="5">
        <v>1.923128245597225</v>
      </c>
      <c r="K752" s="5">
        <v>16.910550410122017</v>
      </c>
      <c r="L752" s="9" t="b">
        <v>0</v>
      </c>
    </row>
    <row r="753" ht="15.75" customHeight="1">
      <c r="A753" s="5">
        <v>10.0</v>
      </c>
      <c r="B753" s="5">
        <v>20142.0</v>
      </c>
      <c r="C753" s="5">
        <v>4390.327026171129</v>
      </c>
      <c r="D753" s="5">
        <v>3757.960538742274</v>
      </c>
      <c r="E753" s="5">
        <v>-3.0063436553133482</v>
      </c>
      <c r="F753" s="5">
        <v>2.572610612919647</v>
      </c>
      <c r="G753" s="5">
        <v>8.011848254510577</v>
      </c>
      <c r="H753" s="5">
        <v>0.7036982082853749</v>
      </c>
      <c r="I753" s="5">
        <v>-0.571740188972128</v>
      </c>
      <c r="J753" s="5">
        <v>2.4710850502056765</v>
      </c>
      <c r="K753" s="5">
        <v>16.82738498474221</v>
      </c>
      <c r="L753" s="9" t="b">
        <v>0</v>
      </c>
    </row>
    <row r="754" ht="15.75" customHeight="1">
      <c r="A754" s="5">
        <v>10.0</v>
      </c>
      <c r="B754" s="5">
        <v>20143.0</v>
      </c>
      <c r="C754" s="5">
        <v>4608.712054537993</v>
      </c>
      <c r="D754" s="5">
        <v>3862.764923550439</v>
      </c>
      <c r="E754" s="5">
        <v>-0.16937015644360454</v>
      </c>
      <c r="F754" s="5">
        <v>1.4676462186990387</v>
      </c>
      <c r="G754" s="5">
        <v>4.2676945137884</v>
      </c>
      <c r="H754" s="5">
        <v>1.4270227572684924</v>
      </c>
      <c r="I754" s="5">
        <v>0.08204423716161591</v>
      </c>
      <c r="J754" s="5">
        <v>2.4762468758490503</v>
      </c>
      <c r="K754" s="5">
        <v>19.311222550450236</v>
      </c>
      <c r="L754" s="9" t="b">
        <v>0</v>
      </c>
    </row>
    <row r="755" ht="15.75" customHeight="1">
      <c r="A755" s="5">
        <v>10.0</v>
      </c>
      <c r="B755" s="5">
        <v>20144.0</v>
      </c>
      <c r="C755" s="5">
        <v>4650.8307487768</v>
      </c>
      <c r="D755" s="5">
        <v>3861.506422930222</v>
      </c>
      <c r="E755" s="5">
        <v>0.2716049321404901</v>
      </c>
      <c r="F755" s="5">
        <v>-1.0521023656601218</v>
      </c>
      <c r="G755" s="5">
        <v>-3.3665245280088407</v>
      </c>
      <c r="H755" s="5">
        <v>4.405493501808055</v>
      </c>
      <c r="I755" s="5">
        <v>1.6559169628902637</v>
      </c>
      <c r="J755" s="5">
        <v>3.7480880828596383</v>
      </c>
      <c r="K755" s="5">
        <v>20.44083938743304</v>
      </c>
      <c r="L755" s="9" t="b">
        <v>0</v>
      </c>
    </row>
    <row r="756" ht="15.75" customHeight="1">
      <c r="A756" s="5">
        <v>10.0</v>
      </c>
      <c r="B756" s="5">
        <v>20151.0</v>
      </c>
      <c r="C756" s="5">
        <v>4726.986278</v>
      </c>
      <c r="D756" s="5">
        <v>3774.817313746107</v>
      </c>
      <c r="E756" s="5">
        <v>8.162944211881197</v>
      </c>
      <c r="F756" s="5">
        <v>1.3147088330661825</v>
      </c>
      <c r="G756" s="5">
        <v>-1.8402220476181868</v>
      </c>
      <c r="H756" s="5">
        <v>0.9819614848704417</v>
      </c>
      <c r="I756" s="5">
        <v>1.879543988058091</v>
      </c>
      <c r="J756" s="5">
        <v>3.233020985850102</v>
      </c>
      <c r="K756" s="5">
        <v>25.22423961516076</v>
      </c>
      <c r="L756" s="9" t="b">
        <v>0</v>
      </c>
    </row>
    <row r="757" ht="15.75" customHeight="1">
      <c r="A757" s="5">
        <v>10.0</v>
      </c>
      <c r="B757" s="5">
        <v>20152.0</v>
      </c>
      <c r="C757" s="5">
        <v>4427.062365</v>
      </c>
      <c r="D757" s="5">
        <v>3832.4694290726015</v>
      </c>
      <c r="E757" s="5">
        <v>0.836733541940915</v>
      </c>
      <c r="F757" s="5">
        <v>2.2754781323797486</v>
      </c>
      <c r="G757" s="5">
        <v>-0.2971324805398985</v>
      </c>
      <c r="H757" s="5">
        <v>1.982694857015832</v>
      </c>
      <c r="I757" s="5">
        <v>2.199293150240705</v>
      </c>
      <c r="J757" s="5">
        <v>2.771033339212833</v>
      </c>
      <c r="K757" s="5">
        <v>15.514616539844916</v>
      </c>
      <c r="L757" s="9" t="b">
        <v>0</v>
      </c>
    </row>
    <row r="758" ht="15.75" customHeight="1">
      <c r="A758" s="5">
        <v>10.0</v>
      </c>
      <c r="B758" s="5">
        <v>20153.0</v>
      </c>
      <c r="C758" s="5">
        <v>4428.623188</v>
      </c>
      <c r="D758" s="5">
        <v>3884.502758135408</v>
      </c>
      <c r="E758" s="5">
        <v>-3.9075747064880706</v>
      </c>
      <c r="F758" s="5">
        <v>1.3409269948686315</v>
      </c>
      <c r="G758" s="5">
        <v>-0.12671922383040712</v>
      </c>
      <c r="H758" s="5">
        <v>0.5627532354464115</v>
      </c>
      <c r="I758" s="5">
        <v>1.9832257697851852</v>
      </c>
      <c r="J758" s="5">
        <v>1.9011815326235693</v>
      </c>
      <c r="K758" s="5">
        <v>14.007466688626424</v>
      </c>
      <c r="L758" s="9" t="b">
        <v>0</v>
      </c>
    </row>
    <row r="759" ht="15.75" customHeight="1">
      <c r="A759" s="5">
        <v>10.0</v>
      </c>
      <c r="B759" s="5">
        <v>20154.0</v>
      </c>
      <c r="C759" s="5">
        <v>4366.039013</v>
      </c>
      <c r="D759" s="5">
        <v>3823.2260409405926</v>
      </c>
      <c r="E759" s="5">
        <v>-6.123459466928615</v>
      </c>
      <c r="F759" s="5">
        <v>-0.2578391048986446</v>
      </c>
      <c r="G759" s="5">
        <v>0.7942632607614772</v>
      </c>
      <c r="H759" s="5">
        <v>-0.9913328581383274</v>
      </c>
      <c r="I759" s="5">
        <v>0.6340191797985895</v>
      </c>
      <c r="J759" s="5">
        <v>-1.0218977830916742</v>
      </c>
      <c r="K759" s="5">
        <v>14.19777345746116</v>
      </c>
      <c r="L759" s="9" t="b">
        <v>0</v>
      </c>
    </row>
    <row r="760" ht="15.75" customHeight="1">
      <c r="A760" s="5">
        <v>10.0</v>
      </c>
      <c r="B760" s="5">
        <v>20161.0</v>
      </c>
      <c r="C760" s="5">
        <v>4368.945773</v>
      </c>
      <c r="D760" s="5">
        <v>3760.328707878961</v>
      </c>
      <c r="E760" s="5">
        <v>-7.574392730234192</v>
      </c>
      <c r="F760" s="5">
        <v>-4.192173340427492</v>
      </c>
      <c r="G760" s="5">
        <v>-5.506882173493675</v>
      </c>
      <c r="H760" s="5">
        <v>-0.38382270353549686</v>
      </c>
      <c r="I760" s="5">
        <v>0.29257313269710483</v>
      </c>
      <c r="J760" s="5">
        <v>-1.5869708553609863</v>
      </c>
      <c r="K760" s="5">
        <v>16.18520912402719</v>
      </c>
      <c r="L760" s="9" t="b">
        <v>0</v>
      </c>
    </row>
    <row r="761" ht="15.75" customHeight="1">
      <c r="A761" s="5">
        <v>10.0</v>
      </c>
      <c r="B761" s="5">
        <v>20162.0</v>
      </c>
      <c r="C761" s="5">
        <v>4350.12375</v>
      </c>
      <c r="D761" s="5">
        <v>3884.863269831384</v>
      </c>
      <c r="E761" s="5">
        <v>-1.7379157702468895</v>
      </c>
      <c r="F761" s="5">
        <v>-4.835835668474443</v>
      </c>
      <c r="G761" s="5">
        <v>-7.111313800854192</v>
      </c>
      <c r="H761" s="5">
        <v>1.367103945078596</v>
      </c>
      <c r="I761" s="5">
        <v>0.13867540471279582</v>
      </c>
      <c r="J761" s="5">
        <v>-2.0606177455279093</v>
      </c>
      <c r="K761" s="5">
        <v>11.976238231643332</v>
      </c>
      <c r="L761" s="9" t="b">
        <v>0</v>
      </c>
    </row>
    <row r="762" ht="15.75" customHeight="1">
      <c r="A762" s="5">
        <v>10.0</v>
      </c>
      <c r="B762" s="5">
        <v>20163.0</v>
      </c>
      <c r="C762" s="5">
        <v>4431.86064</v>
      </c>
      <c r="D762" s="5">
        <v>3830.094670718639</v>
      </c>
      <c r="E762" s="5">
        <v>0.07310290044031387</v>
      </c>
      <c r="F762" s="5">
        <v>-3.8406662667423466</v>
      </c>
      <c r="G762" s="5">
        <v>-5.181593261610978</v>
      </c>
      <c r="H762" s="5">
        <v>-1.4006448393638182</v>
      </c>
      <c r="I762" s="5">
        <v>-0.3521741139897616</v>
      </c>
      <c r="J762" s="5">
        <v>-2.335399883774947</v>
      </c>
      <c r="K762" s="5">
        <v>15.711516842701222</v>
      </c>
      <c r="L762" s="9" t="b">
        <v>0</v>
      </c>
    </row>
    <row r="763" ht="15.75" customHeight="1">
      <c r="A763" s="5">
        <v>10.0</v>
      </c>
      <c r="B763" s="5">
        <v>20164.0</v>
      </c>
      <c r="C763" s="5">
        <v>4686.188644</v>
      </c>
      <c r="D763" s="5">
        <v>3885.003548230754</v>
      </c>
      <c r="E763" s="5">
        <v>7.332724926340473</v>
      </c>
      <c r="F763" s="5">
        <v>-0.4766201684250746</v>
      </c>
      <c r="G763" s="5">
        <v>-0.21878106352643</v>
      </c>
      <c r="H763" s="5">
        <v>1.6158476278573142</v>
      </c>
      <c r="I763" s="5">
        <v>0.2996210075091488</v>
      </c>
      <c r="J763" s="5">
        <v>-0.3343981722894407</v>
      </c>
      <c r="K763" s="5">
        <v>20.622506152770658</v>
      </c>
      <c r="L763" s="9" t="b">
        <v>0</v>
      </c>
    </row>
    <row r="764" ht="15.75" customHeight="1">
      <c r="A764" s="5">
        <v>10.0</v>
      </c>
      <c r="B764" s="5">
        <v>20171.0</v>
      </c>
      <c r="C764" s="5">
        <v>4528.959688</v>
      </c>
      <c r="D764" s="5">
        <v>3963.619888878775</v>
      </c>
      <c r="E764" s="5">
        <v>3.6625292075924243</v>
      </c>
      <c r="F764" s="5">
        <v>2.3326103160315794</v>
      </c>
      <c r="G764" s="5">
        <v>6.524783656459071</v>
      </c>
      <c r="H764" s="5">
        <v>5.406207722581824</v>
      </c>
      <c r="I764" s="5">
        <v>1.747128614038479</v>
      </c>
      <c r="J764" s="5">
        <v>1.4545554813413741</v>
      </c>
      <c r="K764" s="5">
        <v>14.263219354294531</v>
      </c>
      <c r="L764" s="9" t="b">
        <v>0</v>
      </c>
    </row>
    <row r="765" ht="15.75" customHeight="1">
      <c r="A765" s="5">
        <v>10.0</v>
      </c>
      <c r="B765" s="5">
        <v>20172.0</v>
      </c>
      <c r="C765" s="5">
        <v>4657.14762</v>
      </c>
      <c r="D765" s="5">
        <v>4103.784375360283</v>
      </c>
      <c r="E765" s="5">
        <v>7.057819217211914</v>
      </c>
      <c r="F765" s="5">
        <v>4.53154406289628</v>
      </c>
      <c r="G765" s="5">
        <v>9.367379731370724</v>
      </c>
      <c r="H765" s="5">
        <v>5.635233219891433</v>
      </c>
      <c r="I765" s="5">
        <v>2.8141609327416885</v>
      </c>
      <c r="J765" s="5">
        <v>2.6754855280288927</v>
      </c>
      <c r="K765" s="5">
        <v>13.484218322049045</v>
      </c>
      <c r="L765" s="9" t="b">
        <v>0</v>
      </c>
    </row>
    <row r="766" ht="15.75" customHeight="1">
      <c r="A766" s="5">
        <v>10.0</v>
      </c>
      <c r="B766" s="5">
        <v>20173.0</v>
      </c>
      <c r="C766" s="5">
        <v>4758.878130449219</v>
      </c>
      <c r="D766" s="5">
        <v>4112.541253043501</v>
      </c>
      <c r="E766" s="5">
        <v>7.37878550371609</v>
      </c>
      <c r="F766" s="5">
        <v>6.357964713715224</v>
      </c>
      <c r="G766" s="5">
        <v>10.19863098045757</v>
      </c>
      <c r="H766" s="5">
        <v>7.374402112934364</v>
      </c>
      <c r="I766" s="5">
        <v>5.007922670816233</v>
      </c>
      <c r="J766" s="5">
        <v>5.360096784805995</v>
      </c>
      <c r="K766" s="5">
        <v>15.716240583055407</v>
      </c>
      <c r="L766" s="9" t="b">
        <v>0</v>
      </c>
    </row>
    <row r="767" ht="15.75" customHeight="1">
      <c r="A767" s="5">
        <v>10.0</v>
      </c>
      <c r="B767" s="5">
        <v>20174.0</v>
      </c>
      <c r="C767" s="5">
        <v>4793.777033847423</v>
      </c>
      <c r="D767" s="5">
        <v>4215.9439339883975</v>
      </c>
      <c r="E767" s="5">
        <v>2.2958612642530962</v>
      </c>
      <c r="F767" s="5">
        <v>5.09874879819338</v>
      </c>
      <c r="G767" s="5">
        <v>5.575368966618455</v>
      </c>
      <c r="H767" s="5">
        <v>8.51840626782323</v>
      </c>
      <c r="I767" s="5">
        <v>6.733562330807713</v>
      </c>
      <c r="J767" s="5">
        <v>6.433941323298564</v>
      </c>
      <c r="K767" s="5">
        <v>13.7059009537724</v>
      </c>
      <c r="L767" s="9" t="b">
        <v>0</v>
      </c>
    </row>
    <row r="768" ht="15.75" customHeight="1">
      <c r="A768" s="5">
        <v>10.0</v>
      </c>
      <c r="B768" s="5">
        <v>20181.0</v>
      </c>
      <c r="C768" s="5">
        <v>4704.297236903116</v>
      </c>
      <c r="D768" s="5">
        <v>4242.079311565076</v>
      </c>
      <c r="E768" s="5">
        <v>3.871475150633219</v>
      </c>
      <c r="F768" s="5">
        <v>5.150985283953579</v>
      </c>
      <c r="G768" s="5">
        <v>2.818374967922</v>
      </c>
      <c r="H768" s="5">
        <v>7.0253816080499965</v>
      </c>
      <c r="I768" s="5">
        <v>7.138355802174756</v>
      </c>
      <c r="J768" s="5">
        <v>5.391227188136277</v>
      </c>
      <c r="K768" s="5">
        <v>10.896022714094645</v>
      </c>
      <c r="L768" s="9" t="b">
        <v>0</v>
      </c>
    </row>
    <row r="769" ht="15.75" customHeight="1">
      <c r="A769" s="5">
        <v>10.0</v>
      </c>
      <c r="B769" s="5">
        <v>20182.0</v>
      </c>
      <c r="C769" s="5">
        <v>4993.706426875571</v>
      </c>
      <c r="D769" s="5">
        <v>4523.972206569341</v>
      </c>
      <c r="E769" s="5">
        <v>7.22671545626401</v>
      </c>
      <c r="F769" s="5">
        <v>5.193209343716603</v>
      </c>
      <c r="G769" s="5">
        <v>0.6616652808203227</v>
      </c>
      <c r="H769" s="5">
        <v>10.239032872485376</v>
      </c>
      <c r="I769" s="5">
        <v>8.289305715323241</v>
      </c>
      <c r="J769" s="5">
        <v>5.475144782581553</v>
      </c>
      <c r="K769" s="5">
        <v>10.383225158282805</v>
      </c>
      <c r="L769" s="9" t="b">
        <v>0</v>
      </c>
    </row>
    <row r="770" ht="15.75" customHeight="1">
      <c r="A770" s="5">
        <v>10.0</v>
      </c>
      <c r="B770" s="5">
        <v>20183.0</v>
      </c>
      <c r="C770" s="5">
        <v>5012.7784369825295</v>
      </c>
      <c r="D770" s="5">
        <v>4689.318035593763</v>
      </c>
      <c r="E770" s="5">
        <v>5.335297512847714</v>
      </c>
      <c r="F770" s="5">
        <v>4.6823373459995095</v>
      </c>
      <c r="G770" s="5">
        <v>-1.6756273677157143</v>
      </c>
      <c r="H770" s="5">
        <v>14.024826671912827</v>
      </c>
      <c r="I770" s="5">
        <v>9.951911855067857</v>
      </c>
      <c r="J770" s="5">
        <v>4.943989184251624</v>
      </c>
      <c r="K770" s="5">
        <v>6.897813262687147</v>
      </c>
      <c r="L770" s="9" t="b">
        <v>0</v>
      </c>
    </row>
    <row r="771" ht="15.75" customHeight="1">
      <c r="A771" s="5">
        <v>10.0</v>
      </c>
      <c r="B771" s="5">
        <v>20184.0</v>
      </c>
      <c r="C771" s="5">
        <v>5312.083558580743</v>
      </c>
      <c r="D771" s="5">
        <v>4684.183246436659</v>
      </c>
      <c r="E771" s="5">
        <v>10.812069920518063</v>
      </c>
      <c r="F771" s="5">
        <v>6.811389510065751</v>
      </c>
      <c r="G771" s="5">
        <v>1.7126407118723703</v>
      </c>
      <c r="H771" s="5">
        <v>11.106393248576584</v>
      </c>
      <c r="I771" s="5">
        <v>10.598908600256195</v>
      </c>
      <c r="J771" s="5">
        <v>3.865346269448482</v>
      </c>
      <c r="K771" s="5">
        <v>13.404691471490548</v>
      </c>
      <c r="L771" s="9" t="b">
        <v>0</v>
      </c>
    </row>
    <row r="772" ht="15.75" customHeight="1">
      <c r="A772" s="5">
        <v>10.0</v>
      </c>
      <c r="B772" s="5">
        <v>20191.0</v>
      </c>
      <c r="C772" s="5">
        <v>5302.899746876371</v>
      </c>
      <c r="D772" s="5">
        <v>4707.539863431569</v>
      </c>
      <c r="E772" s="5">
        <v>12.72458945148034</v>
      </c>
      <c r="F772" s="5">
        <v>9.024668085277531</v>
      </c>
      <c r="G772" s="5">
        <v>3.8736828013239517</v>
      </c>
      <c r="H772" s="5">
        <v>10.972462268621896</v>
      </c>
      <c r="I772" s="5">
        <v>11.58567876539917</v>
      </c>
      <c r="J772" s="5">
        <v>4.447322963224414</v>
      </c>
      <c r="K772" s="5">
        <v>12.64694300455298</v>
      </c>
      <c r="L772" s="9" t="b">
        <v>0</v>
      </c>
    </row>
    <row r="773" ht="15.75" customHeight="1">
      <c r="A773" s="5">
        <v>10.0</v>
      </c>
      <c r="B773" s="5">
        <v>20192.0</v>
      </c>
      <c r="C773" s="5">
        <v>5222.317693886213</v>
      </c>
      <c r="D773" s="5">
        <v>4901.220873951459</v>
      </c>
      <c r="E773" s="5">
        <v>4.577987720308951</v>
      </c>
      <c r="F773" s="5">
        <v>8.362486151288765</v>
      </c>
      <c r="G773" s="5">
        <v>3.169276807572162</v>
      </c>
      <c r="H773" s="5">
        <v>8.338881190169744</v>
      </c>
      <c r="I773" s="5">
        <v>11.110640844820264</v>
      </c>
      <c r="J773" s="5">
        <v>2.8213351294970224</v>
      </c>
      <c r="K773" s="5">
        <v>6.551364000779669</v>
      </c>
      <c r="L773" s="9" t="b">
        <v>0</v>
      </c>
    </row>
    <row r="774" ht="15.75" customHeight="1">
      <c r="A774" s="5">
        <v>10.0</v>
      </c>
      <c r="B774" s="5">
        <v>20193.0</v>
      </c>
      <c r="C774" s="5">
        <v>5728.367036492785</v>
      </c>
      <c r="D774" s="5">
        <v>5034.64887553364</v>
      </c>
      <c r="E774" s="5">
        <v>14.275288814500398</v>
      </c>
      <c r="F774" s="5">
        <v>10.597483976701938</v>
      </c>
      <c r="G774" s="5">
        <v>5.915146630702428</v>
      </c>
      <c r="H774" s="5">
        <v>7.364201730799258</v>
      </c>
      <c r="I774" s="5">
        <v>9.44548460954187</v>
      </c>
      <c r="J774" s="5">
        <v>-0.5064272455259875</v>
      </c>
      <c r="K774" s="5">
        <v>13.778878688647666</v>
      </c>
      <c r="L774" s="9" t="b">
        <v>0</v>
      </c>
    </row>
    <row r="775" ht="15.75" customHeight="1">
      <c r="A775" s="5">
        <v>10.0</v>
      </c>
      <c r="B775" s="5">
        <v>20194.0</v>
      </c>
      <c r="C775" s="5">
        <v>5487.453865468976</v>
      </c>
      <c r="D775" s="5">
        <v>5010.412405486989</v>
      </c>
      <c r="E775" s="5">
        <v>3.3013469188554634</v>
      </c>
      <c r="F775" s="5">
        <v>8.719803226286286</v>
      </c>
      <c r="G775" s="5">
        <v>1.9084137162205357</v>
      </c>
      <c r="H775" s="5">
        <v>6.9644832810180635</v>
      </c>
      <c r="I775" s="5">
        <v>8.41000711765224</v>
      </c>
      <c r="J775" s="5">
        <v>-2.1889014826039546</v>
      </c>
      <c r="K775" s="5">
        <v>9.521001893168934</v>
      </c>
      <c r="L775" s="9" t="b">
        <v>0</v>
      </c>
    </row>
    <row r="776" ht="15.75" customHeight="1">
      <c r="A776" s="5">
        <v>10.0</v>
      </c>
      <c r="B776" s="5">
        <v>20201.0</v>
      </c>
      <c r="C776" s="5">
        <v>6201.625898162712</v>
      </c>
      <c r="D776" s="5">
        <v>5175.0484186826525</v>
      </c>
      <c r="E776" s="5">
        <v>16.947824665471533</v>
      </c>
      <c r="F776" s="5">
        <v>9.775612029784085</v>
      </c>
      <c r="G776" s="5">
        <v>0.7509439445065542</v>
      </c>
      <c r="H776" s="5">
        <v>9.93105887180512</v>
      </c>
      <c r="I776" s="5">
        <v>8.149656268448046</v>
      </c>
      <c r="J776" s="5">
        <v>-3.4360224969511233</v>
      </c>
      <c r="K776" s="5">
        <v>19.83706037945403</v>
      </c>
      <c r="L776" s="9" t="b">
        <v>0</v>
      </c>
    </row>
    <row r="777" ht="15.75" customHeight="1">
      <c r="A777" s="5">
        <v>10.0</v>
      </c>
      <c r="B777" s="5">
        <v>20202.0</v>
      </c>
      <c r="C777" s="5">
        <v>6081.523189657966</v>
      </c>
      <c r="D777" s="5">
        <v>5419.313027966474</v>
      </c>
      <c r="E777" s="5">
        <v>16.452570412895938</v>
      </c>
      <c r="F777" s="5">
        <v>12.744257702930833</v>
      </c>
      <c r="G777" s="5">
        <v>4.381771551642068</v>
      </c>
      <c r="H777" s="5">
        <v>10.570675497783032</v>
      </c>
      <c r="I777" s="5">
        <v>8.70760484535137</v>
      </c>
      <c r="J777" s="5">
        <v>-2.4030359994688943</v>
      </c>
      <c r="K777" s="5">
        <v>12.219448448062398</v>
      </c>
      <c r="L777" s="9" t="b">
        <v>0</v>
      </c>
    </row>
    <row r="778" ht="15.75" customHeight="1">
      <c r="A778" s="5">
        <v>10.0</v>
      </c>
      <c r="B778" s="5">
        <v>20203.0</v>
      </c>
      <c r="C778" s="5">
        <v>5955.418277328235</v>
      </c>
      <c r="D778" s="5">
        <v>5446.320879266279</v>
      </c>
      <c r="E778" s="5">
        <v>3.9636294146134565</v>
      </c>
      <c r="F778" s="5">
        <v>10.166342852959097</v>
      </c>
      <c r="G778" s="5">
        <v>-0.4311411237428402</v>
      </c>
      <c r="H778" s="5">
        <v>8.17677684998448</v>
      </c>
      <c r="I778" s="5">
        <v>8.910748625147674</v>
      </c>
      <c r="J778" s="5">
        <v>-0.5347359843941959</v>
      </c>
      <c r="K778" s="5">
        <v>9.347546891701697</v>
      </c>
      <c r="L778" s="9" t="b">
        <v>0</v>
      </c>
    </row>
    <row r="779" ht="15.75" customHeight="1">
      <c r="A779" s="5">
        <v>10.0</v>
      </c>
      <c r="B779" s="5">
        <v>20204.0</v>
      </c>
      <c r="C779" s="5">
        <v>6031.419606045068</v>
      </c>
      <c r="D779" s="5">
        <v>5461.208623423973</v>
      </c>
      <c r="E779" s="5">
        <v>9.912898657774916</v>
      </c>
      <c r="F779" s="5">
        <v>11.819230787688959</v>
      </c>
      <c r="G779" s="5">
        <v>3.0994275614026723</v>
      </c>
      <c r="H779" s="5">
        <v>8.99718788503936</v>
      </c>
      <c r="I779" s="5">
        <v>9.418924776152998</v>
      </c>
      <c r="J779" s="5">
        <v>1.0089176585007582</v>
      </c>
      <c r="K779" s="5">
        <v>10.441113349440112</v>
      </c>
      <c r="L779" s="9" t="b">
        <v>0</v>
      </c>
    </row>
    <row r="780" ht="15.75" customHeight="1">
      <c r="A780" s="5">
        <v>10.0</v>
      </c>
      <c r="B780" s="5">
        <v>20211.0</v>
      </c>
      <c r="C780" s="5">
        <v>6231.313264989034</v>
      </c>
      <c r="D780" s="5">
        <v>5387.974160606422</v>
      </c>
      <c r="E780" s="5">
        <v>0.4787029613495086</v>
      </c>
      <c r="F780" s="5">
        <v>7.701950361658454</v>
      </c>
      <c r="G780" s="5">
        <v>-2.073661668125631</v>
      </c>
      <c r="H780" s="5">
        <v>4.114468594246912</v>
      </c>
      <c r="I780" s="5">
        <v>7.964777206763445</v>
      </c>
      <c r="J780" s="5">
        <v>-0.184879061684601</v>
      </c>
      <c r="K780" s="5">
        <v>15.652248493480037</v>
      </c>
      <c r="L780" s="9" t="b">
        <v>0</v>
      </c>
    </row>
    <row r="781" ht="15.75" customHeight="1">
      <c r="A781" s="5">
        <v>10.0</v>
      </c>
      <c r="B781" s="5">
        <v>20212.0</v>
      </c>
      <c r="C781" s="5">
        <v>6152.464337933488</v>
      </c>
      <c r="D781" s="5">
        <v>5485.709869709854</v>
      </c>
      <c r="E781" s="5">
        <v>1.1665029641942715</v>
      </c>
      <c r="F781" s="5">
        <v>3.880433499483038</v>
      </c>
      <c r="G781" s="5">
        <v>-8.863824203447795</v>
      </c>
      <c r="H781" s="5">
        <v>1.2251892703140976</v>
      </c>
      <c r="I781" s="5">
        <v>5.628405649896212</v>
      </c>
      <c r="J781" s="5">
        <v>-3.079199195455157</v>
      </c>
      <c r="K781" s="5">
        <v>12.154388111285597</v>
      </c>
      <c r="L781" s="9" t="b">
        <v>0</v>
      </c>
    </row>
    <row r="782" ht="15.75" customHeight="1">
      <c r="A782" s="5">
        <v>10.0</v>
      </c>
      <c r="B782" s="5">
        <v>20213.0</v>
      </c>
      <c r="C782" s="5">
        <v>6118.876235407634</v>
      </c>
      <c r="D782" s="5">
        <v>5723.3732473768905</v>
      </c>
      <c r="E782" s="5">
        <v>2.744693159532896</v>
      </c>
      <c r="F782" s="5">
        <v>3.5756994357128975</v>
      </c>
      <c r="G782" s="5">
        <v>-6.5906434172462</v>
      </c>
      <c r="H782" s="5">
        <v>5.086963736663552</v>
      </c>
      <c r="I782" s="5">
        <v>4.85595237156598</v>
      </c>
      <c r="J782" s="5">
        <v>-4.054796253581694</v>
      </c>
      <c r="K782" s="5">
        <v>6.910312693864751</v>
      </c>
      <c r="L782" s="9" t="b">
        <v>0</v>
      </c>
    </row>
    <row r="783" ht="15.75" customHeight="1">
      <c r="A783" s="5">
        <v>10.0</v>
      </c>
      <c r="B783" s="5">
        <v>20214.0</v>
      </c>
      <c r="C783" s="5">
        <v>6844.16496333886</v>
      </c>
      <c r="D783" s="5">
        <v>5968.921044045989</v>
      </c>
      <c r="E783" s="5">
        <v>13.475191752190607</v>
      </c>
      <c r="F783" s="5">
        <v>4.46627270931682</v>
      </c>
      <c r="G783" s="5">
        <v>-7.352958078372138</v>
      </c>
      <c r="H783" s="5">
        <v>9.296704367680775</v>
      </c>
      <c r="I783" s="5">
        <v>4.930831492226334</v>
      </c>
      <c r="J783" s="5">
        <v>-4.4880932839266645</v>
      </c>
      <c r="K783" s="5">
        <v>14.66335226809421</v>
      </c>
      <c r="L783" s="9" t="b">
        <v>0</v>
      </c>
    </row>
    <row r="784" ht="15.75" customHeight="1">
      <c r="A784" s="5">
        <v>10.0</v>
      </c>
      <c r="B784" s="5">
        <v>20221.0</v>
      </c>
      <c r="C784" s="5">
        <v>7101.625412164415</v>
      </c>
      <c r="D784" s="5">
        <v>5985.743855304248</v>
      </c>
      <c r="E784" s="5">
        <v>13.966753237480066</v>
      </c>
      <c r="F784" s="5">
        <v>7.83828527834946</v>
      </c>
      <c r="G784" s="5">
        <v>0.1363349166910055</v>
      </c>
      <c r="H784" s="5">
        <v>11.094516730765957</v>
      </c>
      <c r="I784" s="5">
        <v>6.675843526356095</v>
      </c>
      <c r="J784" s="5">
        <v>-1.2889336804073501</v>
      </c>
      <c r="K784" s="5">
        <v>18.64232055087576</v>
      </c>
      <c r="L784" s="9" t="b">
        <v>0</v>
      </c>
    </row>
    <row r="785" ht="15.75" customHeight="1">
      <c r="A785" s="5">
        <v>10.0</v>
      </c>
      <c r="B785" s="5">
        <v>20222.0</v>
      </c>
      <c r="C785" s="5">
        <v>6937.4617476120375</v>
      </c>
      <c r="D785" s="5">
        <v>6254.649211708774</v>
      </c>
      <c r="E785" s="5">
        <v>12.759072894394329</v>
      </c>
      <c r="F785" s="5">
        <v>10.736427760899474</v>
      </c>
      <c r="G785" s="5">
        <v>6.855994261416436</v>
      </c>
      <c r="H785" s="5">
        <v>14.017134705660084</v>
      </c>
      <c r="I785" s="5">
        <v>9.873829885192592</v>
      </c>
      <c r="J785" s="5">
        <v>4.24542423529638</v>
      </c>
      <c r="K785" s="5">
        <v>10.916879792795275</v>
      </c>
      <c r="L785" s="9" t="b">
        <v>0</v>
      </c>
    </row>
    <row r="786" ht="15.75" customHeight="1">
      <c r="A786" s="5">
        <v>10.0</v>
      </c>
      <c r="B786" s="5">
        <v>20223.0</v>
      </c>
      <c r="C786" s="5">
        <v>8367.315355919134</v>
      </c>
      <c r="D786" s="5">
        <v>6577.651873439335</v>
      </c>
      <c r="E786" s="5">
        <v>36.74594866783918</v>
      </c>
      <c r="F786" s="5">
        <v>19.236741637976046</v>
      </c>
      <c r="G786" s="5">
        <v>15.661042202263149</v>
      </c>
      <c r="H786" s="5">
        <v>14.92613864479262</v>
      </c>
      <c r="I786" s="5">
        <v>12.333623612224859</v>
      </c>
      <c r="J786" s="5">
        <v>7.477671240658879</v>
      </c>
      <c r="K786" s="5">
        <v>27.208242651248995</v>
      </c>
      <c r="L786" s="9" t="b">
        <v>0</v>
      </c>
    </row>
    <row r="787" ht="15.75" customHeight="1">
      <c r="A787" s="5">
        <v>10.0</v>
      </c>
      <c r="B787" s="5">
        <v>20224.0</v>
      </c>
      <c r="C787" s="5">
        <v>8276.880172147736</v>
      </c>
      <c r="D787" s="5">
        <v>6568.863742806741</v>
      </c>
      <c r="E787" s="5">
        <v>20.933382180051076</v>
      </c>
      <c r="F787" s="5">
        <v>21.101289244941164</v>
      </c>
      <c r="G787" s="5">
        <v>16.635016535624345</v>
      </c>
      <c r="H787" s="5">
        <v>10.051107969658869</v>
      </c>
      <c r="I787" s="5">
        <v>12.522224512719381</v>
      </c>
      <c r="J787" s="5">
        <v>7.591393020493047</v>
      </c>
      <c r="K787" s="5">
        <v>26.001702824348637</v>
      </c>
      <c r="L787" s="9" t="b">
        <v>0</v>
      </c>
    </row>
    <row r="788" ht="15.75" customHeight="1">
      <c r="A788" s="5">
        <v>10.0</v>
      </c>
      <c r="B788" s="5">
        <v>20231.0</v>
      </c>
      <c r="C788" s="5">
        <v>8757.111045841855</v>
      </c>
      <c r="D788" s="5">
        <v>6690.322118596861</v>
      </c>
      <c r="E788" s="5">
        <v>23.31136236560365</v>
      </c>
      <c r="F788" s="5">
        <v>23.43744152697206</v>
      </c>
      <c r="G788" s="5">
        <v>15.599156248622599</v>
      </c>
      <c r="H788" s="5">
        <v>11.770939090022248</v>
      </c>
      <c r="I788" s="5">
        <v>12.691330102533454</v>
      </c>
      <c r="J788" s="5">
        <v>6.015486576177359</v>
      </c>
      <c r="K788" s="5">
        <v>30.892218500212575</v>
      </c>
      <c r="L788" s="9" t="b">
        <v>0</v>
      </c>
    </row>
    <row r="789" ht="15.75" customHeight="1">
      <c r="A789" s="5">
        <v>10.0</v>
      </c>
      <c r="B789" s="5">
        <v>20232.0</v>
      </c>
      <c r="C789" s="5">
        <v>8832.944977499485</v>
      </c>
      <c r="D789" s="5">
        <v>6803.141016537149</v>
      </c>
      <c r="E789" s="5">
        <v>27.32243144317006</v>
      </c>
      <c r="F789" s="5">
        <v>27.07828116416599</v>
      </c>
      <c r="G789" s="5">
        <v>16.341853403266516</v>
      </c>
      <c r="H789" s="5">
        <v>8.76934559018261</v>
      </c>
      <c r="I789" s="5">
        <v>11.379382823664086</v>
      </c>
      <c r="J789" s="5">
        <v>1.505552938471494</v>
      </c>
      <c r="K789" s="5">
        <v>29.836276449779085</v>
      </c>
      <c r="L789" s="9" t="b">
        <v>0</v>
      </c>
    </row>
    <row r="790" ht="15.75" customHeight="1">
      <c r="A790" s="5">
        <v>10.0</v>
      </c>
      <c r="B790" s="5">
        <v>20233.0</v>
      </c>
      <c r="C790" s="5">
        <v>9267.588724579717</v>
      </c>
      <c r="D790" s="5">
        <v>7352.717440152912</v>
      </c>
      <c r="E790" s="5">
        <v>10.759405261613786</v>
      </c>
      <c r="F790" s="5">
        <v>20.581645312609645</v>
      </c>
      <c r="G790" s="5">
        <v>1.3449036746335992</v>
      </c>
      <c r="H790" s="5">
        <v>11.783316928694632</v>
      </c>
      <c r="I790" s="5">
        <v>10.59367739463959</v>
      </c>
      <c r="J790" s="5">
        <v>-1.7399462175852687</v>
      </c>
      <c r="K790" s="5">
        <v>26.043041909509057</v>
      </c>
      <c r="L790" s="9" t="b">
        <v>0</v>
      </c>
    </row>
    <row r="791" ht="15.75" customHeight="1">
      <c r="A791" s="5">
        <v>10.0</v>
      </c>
      <c r="B791" s="5">
        <v>20234.0</v>
      </c>
      <c r="C791" s="5">
        <v>9487.95455048444</v>
      </c>
      <c r="D791" s="5">
        <v>7341.535035857208</v>
      </c>
      <c r="E791" s="5">
        <v>14.632015362648975</v>
      </c>
      <c r="F791" s="5">
        <v>19.006303608259117</v>
      </c>
      <c r="G791" s="5">
        <v>-2.094985636682047</v>
      </c>
      <c r="H791" s="5">
        <v>11.762632371490177</v>
      </c>
      <c r="I791" s="5">
        <v>11.021558495097418</v>
      </c>
      <c r="J791" s="5">
        <v>-1.5006660176219633</v>
      </c>
      <c r="K791" s="5">
        <v>29.23665833022362</v>
      </c>
      <c r="L791" s="9" t="b">
        <v>0</v>
      </c>
    </row>
    <row r="792" ht="15.75" customHeight="1">
      <c r="A792" s="5">
        <v>10.0</v>
      </c>
      <c r="B792" s="5">
        <v>20241.0</v>
      </c>
      <c r="C792" s="5">
        <v>10233.897368184837</v>
      </c>
      <c r="D792" s="5">
        <v>7916.109413402633</v>
      </c>
      <c r="E792" s="5">
        <v>16.863852868968742</v>
      </c>
      <c r="F792" s="5">
        <v>17.39442623410039</v>
      </c>
      <c r="G792" s="5">
        <v>-6.043015292871669</v>
      </c>
      <c r="H792" s="5">
        <v>18.32179786080095</v>
      </c>
      <c r="I792" s="5">
        <v>12.659273187792092</v>
      </c>
      <c r="J792" s="5">
        <v>-0.03205691474136252</v>
      </c>
      <c r="K792" s="5">
        <v>29.279382506487273</v>
      </c>
      <c r="L792" s="9" t="b">
        <v>0</v>
      </c>
    </row>
    <row r="793" ht="15.75" customHeight="1">
      <c r="A793" s="5">
        <v>10.0</v>
      </c>
      <c r="B793" s="5">
        <v>20242.0</v>
      </c>
      <c r="C793" s="5">
        <v>10428.23528299025</v>
      </c>
      <c r="D793" s="5">
        <v>8542.307304375263</v>
      </c>
      <c r="E793" s="5">
        <v>18.06068428541685</v>
      </c>
      <c r="F793" s="5">
        <v>15.078989444662088</v>
      </c>
      <c r="G793" s="5">
        <v>-11.999291719503901</v>
      </c>
      <c r="H793" s="5">
        <v>25.564166369777276</v>
      </c>
      <c r="I793" s="5">
        <v>16.85797838269076</v>
      </c>
      <c r="J793" s="5">
        <v>5.478595559026674</v>
      </c>
      <c r="K793" s="5">
        <v>22.07750097738861</v>
      </c>
      <c r="L793" s="9" t="b">
        <v>0</v>
      </c>
    </row>
    <row r="794" ht="15.75" customHeight="1">
      <c r="A794" s="5">
        <v>10.0</v>
      </c>
      <c r="B794" s="5">
        <v>20243.0</v>
      </c>
      <c r="C794" s="5">
        <v>10584.45109771038</v>
      </c>
      <c r="D794" s="5">
        <v>8601.420812227321</v>
      </c>
      <c r="E794" s="5">
        <v>14.20933116764289</v>
      </c>
      <c r="F794" s="5">
        <v>15.941470921169365</v>
      </c>
      <c r="G794" s="5">
        <v>-4.640174391440279</v>
      </c>
      <c r="H794" s="5">
        <v>16.982882617728336</v>
      </c>
      <c r="I794" s="5">
        <v>18.157869804949186</v>
      </c>
      <c r="J794" s="5">
        <v>7.564192410309596</v>
      </c>
      <c r="K794" s="5">
        <v>23.054682810822236</v>
      </c>
      <c r="L794" s="9" t="b">
        <v>0</v>
      </c>
    </row>
    <row r="795" ht="15.75" customHeight="1">
      <c r="A795" s="5">
        <v>10.0</v>
      </c>
      <c r="B795" s="5">
        <v>20244.0</v>
      </c>
      <c r="C795" s="5">
        <v>10351.560315059569</v>
      </c>
      <c r="D795" s="5">
        <v>8679.744878143372</v>
      </c>
      <c r="E795" s="5">
        <v>9.102127966359564</v>
      </c>
      <c r="F795" s="5">
        <v>14.558999072097013</v>
      </c>
      <c r="G795" s="5">
        <v>-4.447304536162104</v>
      </c>
      <c r="H795" s="5">
        <v>18.22792965980735</v>
      </c>
      <c r="I795" s="5">
        <v>19.77419412702848</v>
      </c>
      <c r="J795" s="5">
        <v>8.752635631931062</v>
      </c>
      <c r="K795" s="5">
        <v>19.261112629312716</v>
      </c>
      <c r="L795" s="9" t="b">
        <v>0</v>
      </c>
    </row>
    <row r="796" ht="15.75" customHeight="1">
      <c r="A796" s="5">
        <v>10.0</v>
      </c>
      <c r="B796" s="5">
        <v>20251.0</v>
      </c>
      <c r="C796" s="5">
        <v>11209.775691387218</v>
      </c>
      <c r="D796" s="5">
        <v>8824.234296281942</v>
      </c>
      <c r="E796" s="5">
        <v>9.535744673736858</v>
      </c>
      <c r="F796" s="5">
        <v>12.72697202328904</v>
      </c>
      <c r="G796" s="5">
        <v>-4.66745421081135</v>
      </c>
      <c r="H796" s="5">
        <v>11.471858654982437</v>
      </c>
      <c r="I796" s="5">
        <v>18.06170932557385</v>
      </c>
      <c r="J796" s="5">
        <v>5.402436137781759</v>
      </c>
      <c r="K796" s="5">
        <v>27.03397615032066</v>
      </c>
      <c r="L796" s="9" t="b">
        <v>0</v>
      </c>
    </row>
    <row r="797" ht="15.75" customHeight="1">
      <c r="A797" s="5">
        <v>10.0</v>
      </c>
      <c r="B797" s="5">
        <v>20252.0</v>
      </c>
      <c r="C797" s="5">
        <v>11037.266698110196</v>
      </c>
      <c r="D797" s="5">
        <v>8746.57139317237</v>
      </c>
      <c r="E797" s="5">
        <v>5.840215516745695</v>
      </c>
      <c r="F797" s="5">
        <v>9.671854831121252</v>
      </c>
      <c r="G797" s="5">
        <v>-5.407134613540837</v>
      </c>
      <c r="H797" s="5">
        <v>2.3912051102690457</v>
      </c>
      <c r="I797" s="5">
        <v>12.268469010696792</v>
      </c>
      <c r="J797" s="5">
        <v>-4.589509371993968</v>
      </c>
      <c r="K797" s="5">
        <v>26.189637081404914</v>
      </c>
      <c r="L797" s="9" t="b">
        <v>0</v>
      </c>
    </row>
    <row r="798" ht="15.75" customHeight="1">
      <c r="A798" s="5">
        <v>10.0</v>
      </c>
      <c r="B798" s="5">
        <v>20253.0</v>
      </c>
      <c r="C798" s="5">
        <v>11646.849365707403</v>
      </c>
      <c r="D798" s="5">
        <v>8980.851318968138</v>
      </c>
      <c r="E798" s="5">
        <v>10.037348731544892</v>
      </c>
      <c r="F798" s="5">
        <v>8.628859222096752</v>
      </c>
      <c r="G798" s="5">
        <v>-7.3126116990726135</v>
      </c>
      <c r="H798" s="5">
        <v>4.411253850078323</v>
      </c>
      <c r="I798" s="5">
        <v>9.12556181878429</v>
      </c>
      <c r="J798" s="5">
        <v>-9.032307986164897</v>
      </c>
      <c r="K798" s="5">
        <v>29.685360018247998</v>
      </c>
      <c r="L798" s="9" t="b">
        <v>0</v>
      </c>
    </row>
    <row r="799" ht="15.75" customHeight="1">
      <c r="A799" s="5">
        <v>10.0</v>
      </c>
      <c r="B799" s="5">
        <v>20254.0</v>
      </c>
      <c r="C799" s="5">
        <v>10772.651802690196</v>
      </c>
      <c r="D799" s="5">
        <v>8971.802656680591</v>
      </c>
      <c r="E799" s="5">
        <v>4.067903531586614</v>
      </c>
      <c r="F799" s="5">
        <v>7.370303113403514</v>
      </c>
      <c r="G799" s="5">
        <v>-7.188695958693499</v>
      </c>
      <c r="H799" s="5">
        <v>3.3648198494019788</v>
      </c>
      <c r="I799" s="5">
        <v>5.409784366182946</v>
      </c>
      <c r="J799" s="5">
        <v>-14.364409760845533</v>
      </c>
      <c r="K799" s="5">
        <v>20.07232230714142</v>
      </c>
      <c r="L799" s="9" t="b">
        <v>0</v>
      </c>
    </row>
    <row r="800" ht="15.75" customHeight="1">
      <c r="A800" s="5">
        <v>10.0</v>
      </c>
      <c r="B800" s="5">
        <v>20261.0</v>
      </c>
      <c r="C800" s="5">
        <v>10732.63478284603</v>
      </c>
      <c r="D800" s="5">
        <v>9038.23849908429</v>
      </c>
      <c r="E800" s="5">
        <v>-4.256471509129211</v>
      </c>
      <c r="F800" s="5">
        <v>3.922249067686997</v>
      </c>
      <c r="G800" s="5">
        <v>-8.804722955602042</v>
      </c>
      <c r="H800" s="5">
        <v>2.425187224375014</v>
      </c>
      <c r="I800" s="5">
        <v>3.14811650853109</v>
      </c>
      <c r="J800" s="5">
        <v>-14.913592817042762</v>
      </c>
      <c r="K800" s="5">
        <v>18.746974689076957</v>
      </c>
      <c r="L800" s="9" t="b">
        <v>0</v>
      </c>
    </row>
    <row r="801" ht="15.75" customHeight="1">
      <c r="A801" s="5">
        <v>10.0</v>
      </c>
      <c r="B801" s="5">
        <v>20262.0</v>
      </c>
      <c r="C801" s="5">
        <v>11624.601331814729</v>
      </c>
      <c r="D801" s="5">
        <v>9215.276557318051</v>
      </c>
      <c r="E801" s="5">
        <v>5.3213775635692295</v>
      </c>
      <c r="F801" s="5">
        <v>3.792539579392881</v>
      </c>
      <c r="G801" s="5">
        <v>-5.879315251728371</v>
      </c>
      <c r="H801" s="5">
        <v>5.358730216408647</v>
      </c>
      <c r="I801" s="5">
        <v>3.889997785065991</v>
      </c>
      <c r="J801" s="5">
        <v>-8.3784712256308</v>
      </c>
      <c r="K801" s="5">
        <v>26.1448992823051</v>
      </c>
      <c r="L801" s="9" t="b">
        <v>0</v>
      </c>
    </row>
    <row r="802" ht="15.75" customHeight="1">
      <c r="A802" s="5">
        <v>11.0</v>
      </c>
      <c r="B802" s="5">
        <v>20063.0</v>
      </c>
      <c r="C802" s="5">
        <v>3620.8452411575568</v>
      </c>
      <c r="D802" s="5">
        <v>3373.783882739749</v>
      </c>
      <c r="K802" s="5">
        <v>7.322975240997853</v>
      </c>
      <c r="L802" s="9" t="b">
        <v>0</v>
      </c>
    </row>
    <row r="803" ht="15.75" customHeight="1">
      <c r="A803" s="5">
        <v>11.0</v>
      </c>
      <c r="B803" s="5">
        <v>20064.0</v>
      </c>
      <c r="C803" s="5">
        <v>4725.658133704735</v>
      </c>
      <c r="D803" s="5">
        <v>3646.063754260175</v>
      </c>
      <c r="K803" s="5">
        <v>29.609860172717163</v>
      </c>
      <c r="L803" s="9" t="b">
        <v>0</v>
      </c>
    </row>
    <row r="804" ht="15.75" customHeight="1">
      <c r="A804" s="5">
        <v>11.0</v>
      </c>
      <c r="B804" s="5">
        <v>20071.0</v>
      </c>
      <c r="C804" s="5">
        <v>6444.721993769471</v>
      </c>
      <c r="D804" s="5">
        <v>4268.728076408788</v>
      </c>
      <c r="K804" s="5">
        <v>50.975229117693324</v>
      </c>
      <c r="L804" s="9" t="b">
        <v>0</v>
      </c>
    </row>
    <row r="805" ht="15.75" customHeight="1">
      <c r="A805" s="5">
        <v>11.0</v>
      </c>
      <c r="B805" s="5">
        <v>20072.0</v>
      </c>
      <c r="C805" s="5">
        <v>7242.73</v>
      </c>
      <c r="D805" s="5">
        <v>5206.27310170414</v>
      </c>
      <c r="K805" s="5">
        <v>39.11544512771099</v>
      </c>
      <c r="L805" s="9" t="b">
        <v>0</v>
      </c>
    </row>
    <row r="806" ht="15.75" customHeight="1">
      <c r="A806" s="5">
        <v>11.0</v>
      </c>
      <c r="B806" s="5">
        <v>20073.0</v>
      </c>
      <c r="C806" s="5">
        <v>5425.817049180328</v>
      </c>
      <c r="D806" s="5">
        <v>5773.971043375668</v>
      </c>
      <c r="E806" s="5">
        <v>49.84946021735341</v>
      </c>
      <c r="H806" s="5">
        <v>71.14229138728349</v>
      </c>
      <c r="K806" s="5">
        <v>-6.02971493240807</v>
      </c>
      <c r="L806" s="9" t="b">
        <v>0</v>
      </c>
    </row>
    <row r="807" ht="15.75" customHeight="1">
      <c r="A807" s="5">
        <v>11.0</v>
      </c>
      <c r="B807" s="5">
        <v>20074.0</v>
      </c>
      <c r="C807" s="5">
        <v>6865.071818181818</v>
      </c>
      <c r="D807" s="5">
        <v>5845.889350479244</v>
      </c>
      <c r="E807" s="5">
        <v>45.272290630127856</v>
      </c>
      <c r="H807" s="5">
        <v>60.33426030054259</v>
      </c>
      <c r="K807" s="5">
        <v>17.434173084699633</v>
      </c>
      <c r="L807" s="9" t="b">
        <v>0</v>
      </c>
    </row>
    <row r="808" ht="15.75" customHeight="1">
      <c r="A808" s="5">
        <v>11.0</v>
      </c>
      <c r="B808" s="5">
        <v>20081.0</v>
      </c>
      <c r="C808" s="5">
        <v>7597.508333333334</v>
      </c>
      <c r="D808" s="5">
        <v>5656.920618419053</v>
      </c>
      <c r="E808" s="5">
        <v>17.887293519849834</v>
      </c>
      <c r="H808" s="5">
        <v>32.52005087140919</v>
      </c>
      <c r="K808" s="5">
        <v>34.304665838790214</v>
      </c>
      <c r="L808" s="9" t="b">
        <v>0</v>
      </c>
    </row>
    <row r="809" ht="15.75" customHeight="1">
      <c r="A809" s="5">
        <v>11.0</v>
      </c>
      <c r="B809" s="5">
        <v>20082.0</v>
      </c>
      <c r="C809" s="5">
        <v>7070.440877192981</v>
      </c>
      <c r="D809" s="5">
        <v>5522.901955199791</v>
      </c>
      <c r="E809" s="5">
        <v>-2.378787043104169</v>
      </c>
      <c r="F809" s="5">
        <v>27.657564331056733</v>
      </c>
      <c r="H809" s="5">
        <v>6.08167968353428</v>
      </c>
      <c r="I809" s="5">
        <v>42.51957056069239</v>
      </c>
      <c r="K809" s="5">
        <v>28.02039461403418</v>
      </c>
      <c r="L809" s="9" t="b">
        <v>0</v>
      </c>
    </row>
    <row r="810" ht="15.75" customHeight="1">
      <c r="A810" s="5">
        <v>11.0</v>
      </c>
      <c r="B810" s="5">
        <v>20083.0</v>
      </c>
      <c r="C810" s="5">
        <v>6854.37064516129</v>
      </c>
      <c r="D810" s="5">
        <v>5454.155086609941</v>
      </c>
      <c r="E810" s="5">
        <v>26.32881984468629</v>
      </c>
      <c r="F810" s="5">
        <v>21.777404237889954</v>
      </c>
      <c r="H810" s="5">
        <v>-5.53892553951486</v>
      </c>
      <c r="I810" s="5">
        <v>23.3492663289928</v>
      </c>
      <c r="K810" s="5">
        <v>25.67245588576874</v>
      </c>
      <c r="L810" s="9" t="b">
        <v>0</v>
      </c>
    </row>
    <row r="811" ht="15.75" customHeight="1">
      <c r="A811" s="5">
        <v>11.0</v>
      </c>
      <c r="B811" s="5">
        <v>20084.0</v>
      </c>
      <c r="C811" s="5">
        <v>6767.977341772152</v>
      </c>
      <c r="D811" s="5">
        <v>5441.390696881557</v>
      </c>
      <c r="E811" s="5">
        <v>-1.4143257198346637</v>
      </c>
      <c r="F811" s="5">
        <v>10.105750150399324</v>
      </c>
      <c r="H811" s="5">
        <v>-6.9193689676067205</v>
      </c>
      <c r="I811" s="5">
        <v>6.5358590119554725</v>
      </c>
      <c r="K811" s="5">
        <v>24.379551456410887</v>
      </c>
      <c r="L811" s="9" t="b">
        <v>0</v>
      </c>
    </row>
    <row r="812" ht="15.75" customHeight="1">
      <c r="A812" s="5">
        <v>11.0</v>
      </c>
      <c r="B812" s="5">
        <v>20091.0</v>
      </c>
      <c r="C812" s="5">
        <v>6364.834916666665</v>
      </c>
      <c r="D812" s="5">
        <v>5174.368046685246</v>
      </c>
      <c r="E812" s="5">
        <v>-16.22470634561115</v>
      </c>
      <c r="F812" s="5">
        <v>1.5777501840340769</v>
      </c>
      <c r="H812" s="5">
        <v>-8.530304812173007</v>
      </c>
      <c r="I812" s="5">
        <v>-3.7267299089400767</v>
      </c>
      <c r="K812" s="5">
        <v>23.007000260525423</v>
      </c>
      <c r="L812" s="9" t="b">
        <v>0</v>
      </c>
    </row>
    <row r="813" ht="15.75" customHeight="1">
      <c r="A813" s="5">
        <v>11.0</v>
      </c>
      <c r="B813" s="5">
        <v>20092.0</v>
      </c>
      <c r="C813" s="5">
        <v>6283.931773049647</v>
      </c>
      <c r="D813" s="5">
        <v>5136.849616728129</v>
      </c>
      <c r="E813" s="5">
        <v>-11.123904687193765</v>
      </c>
      <c r="F813" s="5">
        <v>-0.6085292269883222</v>
      </c>
      <c r="G813" s="5">
        <v>-28.266093558045057</v>
      </c>
      <c r="H813" s="5">
        <v>-6.990027011219979</v>
      </c>
      <c r="I813" s="5">
        <v>-6.994656582628641</v>
      </c>
      <c r="J813" s="5">
        <v>-49.51422714332103</v>
      </c>
      <c r="K813" s="5">
        <v>22.330460144016072</v>
      </c>
      <c r="L813" s="9" t="b">
        <v>0</v>
      </c>
    </row>
    <row r="814" ht="15.75" customHeight="1">
      <c r="A814" s="5">
        <v>11.0</v>
      </c>
      <c r="B814" s="5">
        <v>20093.0</v>
      </c>
      <c r="C814" s="5">
        <v>6145.965106951872</v>
      </c>
      <c r="D814" s="5">
        <v>5028.120679445986</v>
      </c>
      <c r="E814" s="5">
        <v>-10.335092379480571</v>
      </c>
      <c r="F814" s="5">
        <v>-9.774507283030037</v>
      </c>
      <c r="G814" s="5">
        <v>-31.55191152091999</v>
      </c>
      <c r="H814" s="5">
        <v>-7.811189824980913</v>
      </c>
      <c r="I814" s="5">
        <v>-7.562722653995154</v>
      </c>
      <c r="J814" s="5">
        <v>-30.911988982987957</v>
      </c>
      <c r="K814" s="5">
        <v>22.231853584489826</v>
      </c>
      <c r="L814" s="9" t="b">
        <v>0</v>
      </c>
    </row>
    <row r="815" ht="15.75" customHeight="1">
      <c r="A815" s="5">
        <v>11.0</v>
      </c>
      <c r="B815" s="5">
        <v>20094.0</v>
      </c>
      <c r="C815" s="5">
        <v>6129.590895522384</v>
      </c>
      <c r="D815" s="5">
        <v>5064.127853930389</v>
      </c>
      <c r="E815" s="5">
        <v>-9.432455429624865</v>
      </c>
      <c r="F815" s="5">
        <v>-11.779039710477587</v>
      </c>
      <c r="G815" s="5">
        <v>-21.88478986087691</v>
      </c>
      <c r="H815" s="5">
        <v>-6.933206306383699</v>
      </c>
      <c r="I815" s="5">
        <v>-7.566181988689399</v>
      </c>
      <c r="J815" s="5">
        <v>-14.10204100064487</v>
      </c>
      <c r="K815" s="5">
        <v>21.039418283348898</v>
      </c>
      <c r="L815" s="9" t="b">
        <v>0</v>
      </c>
    </row>
    <row r="816" ht="15.75" customHeight="1">
      <c r="A816" s="5">
        <v>11.0</v>
      </c>
      <c r="B816" s="5">
        <v>20101.0</v>
      </c>
      <c r="C816" s="5">
        <v>6436.406104651162</v>
      </c>
      <c r="D816" s="5">
        <v>5213.897484216292</v>
      </c>
      <c r="E816" s="5">
        <v>1.1244783081032494</v>
      </c>
      <c r="F816" s="5">
        <v>-7.441743547048988</v>
      </c>
      <c r="G816" s="5">
        <v>-9.019493731083065</v>
      </c>
      <c r="H816" s="5">
        <v>0.763947155950162</v>
      </c>
      <c r="I816" s="5">
        <v>-5.242618996658607</v>
      </c>
      <c r="J816" s="5">
        <v>-1.5158890877185307</v>
      </c>
      <c r="K816" s="5">
        <v>23.44711655984215</v>
      </c>
      <c r="L816" s="9" t="b">
        <v>0</v>
      </c>
    </row>
    <row r="817" ht="15.75" customHeight="1">
      <c r="A817" s="5">
        <v>11.0</v>
      </c>
      <c r="B817" s="5">
        <v>20102.0</v>
      </c>
      <c r="C817" s="5">
        <v>6631.571162790699</v>
      </c>
      <c r="D817" s="5">
        <v>5245.126318128058</v>
      </c>
      <c r="E817" s="5">
        <v>5.532195483598312</v>
      </c>
      <c r="F817" s="5">
        <v>-3.2777185043509682</v>
      </c>
      <c r="G817" s="5">
        <v>-2.669189277362646</v>
      </c>
      <c r="H817" s="5">
        <v>2.1078425392740074</v>
      </c>
      <c r="I817" s="5">
        <v>-2.9681516090351105</v>
      </c>
      <c r="J817" s="5">
        <v>4.02650497359353</v>
      </c>
      <c r="K817" s="5">
        <v>26.433011534361906</v>
      </c>
      <c r="L817" s="9" t="b">
        <v>0</v>
      </c>
    </row>
    <row r="818" ht="15.75" customHeight="1">
      <c r="A818" s="5">
        <v>11.0</v>
      </c>
      <c r="B818" s="5">
        <v>20103.0</v>
      </c>
      <c r="C818" s="5">
        <v>6303.847288135593</v>
      </c>
      <c r="D818" s="5">
        <v>5206.466381468427</v>
      </c>
      <c r="E818" s="5">
        <v>2.568875326108433</v>
      </c>
      <c r="F818" s="5">
        <v>-0.05172657795371749</v>
      </c>
      <c r="G818" s="5">
        <v>9.72278070507632</v>
      </c>
      <c r="H818" s="5">
        <v>3.5469654249048688</v>
      </c>
      <c r="I818" s="5">
        <v>-0.1286127965636652</v>
      </c>
      <c r="J818" s="5">
        <v>7.434109857431489</v>
      </c>
      <c r="K818" s="5">
        <v>21.077268655245994</v>
      </c>
      <c r="L818" s="9" t="b">
        <v>0</v>
      </c>
    </row>
    <row r="819" ht="15.75" customHeight="1">
      <c r="A819" s="5">
        <v>11.0</v>
      </c>
      <c r="B819" s="5">
        <v>20104.0</v>
      </c>
      <c r="C819" s="5">
        <v>6591.292700729927</v>
      </c>
      <c r="D819" s="5">
        <v>5188.997130967611</v>
      </c>
      <c r="E819" s="5">
        <v>7.532342909619172</v>
      </c>
      <c r="F819" s="5">
        <v>4.189473006857291</v>
      </c>
      <c r="G819" s="5">
        <v>15.968512717334878</v>
      </c>
      <c r="H819" s="5">
        <v>2.465760751682211</v>
      </c>
      <c r="I819" s="5">
        <v>2.2211289679528123</v>
      </c>
      <c r="J819" s="5">
        <v>9.787310956642212</v>
      </c>
      <c r="K819" s="5">
        <v>27.024404415132608</v>
      </c>
      <c r="L819" s="9" t="b">
        <v>0</v>
      </c>
    </row>
    <row r="820" ht="15.75" customHeight="1">
      <c r="A820" s="5">
        <v>11.0</v>
      </c>
      <c r="B820" s="5">
        <v>20111.0</v>
      </c>
      <c r="C820" s="5">
        <v>6263.621980676328</v>
      </c>
      <c r="D820" s="5">
        <v>5264.067478340872</v>
      </c>
      <c r="E820" s="5">
        <v>-2.6844813886118035</v>
      </c>
      <c r="F820" s="5">
        <v>3.2372330826785287</v>
      </c>
      <c r="G820" s="5">
        <v>10.678976629727517</v>
      </c>
      <c r="H820" s="5">
        <v>0.9622359142360759</v>
      </c>
      <c r="I820" s="5">
        <v>2.2707011575242904</v>
      </c>
      <c r="J820" s="5">
        <v>7.513320154182898</v>
      </c>
      <c r="K820" s="5">
        <v>18.988253977521108</v>
      </c>
      <c r="L820" s="9" t="b">
        <v>0</v>
      </c>
    </row>
    <row r="821" ht="15.75" customHeight="1">
      <c r="A821" s="5">
        <v>11.0</v>
      </c>
      <c r="B821" s="5">
        <v>20112.0</v>
      </c>
      <c r="C821" s="5">
        <v>6535.631145038168</v>
      </c>
      <c r="D821" s="5">
        <v>5287.848584654032</v>
      </c>
      <c r="E821" s="5">
        <v>-1.446716251660607</v>
      </c>
      <c r="F821" s="5">
        <v>1.4925051488637988</v>
      </c>
      <c r="G821" s="5">
        <v>4.770223653214767</v>
      </c>
      <c r="H821" s="5">
        <v>0.8145135871812537</v>
      </c>
      <c r="I821" s="5">
        <v>1.9473689195011024</v>
      </c>
      <c r="J821" s="5">
        <v>4.915520528536213</v>
      </c>
      <c r="K821" s="5">
        <v>23.597168875170716</v>
      </c>
      <c r="L821" s="9" t="b">
        <v>0</v>
      </c>
    </row>
    <row r="822" ht="15.75" customHeight="1">
      <c r="A822" s="5">
        <v>11.0</v>
      </c>
      <c r="B822" s="5">
        <v>20113.0</v>
      </c>
      <c r="C822" s="5">
        <v>6155.141729729731</v>
      </c>
      <c r="D822" s="5">
        <v>5313.959318721354</v>
      </c>
      <c r="E822" s="5">
        <v>-2.3589651146172064</v>
      </c>
      <c r="F822" s="5">
        <v>0.260545038682389</v>
      </c>
      <c r="G822" s="5">
        <v>0.3122716166361065</v>
      </c>
      <c r="H822" s="5">
        <v>2.064604462549302</v>
      </c>
      <c r="I822" s="5">
        <v>1.5767786789122107</v>
      </c>
      <c r="J822" s="5">
        <v>1.7053914754758759</v>
      </c>
      <c r="K822" s="5">
        <v>15.829673517538012</v>
      </c>
      <c r="L822" s="9" t="b">
        <v>0</v>
      </c>
    </row>
    <row r="823" ht="15.75" customHeight="1">
      <c r="A823" s="5">
        <v>11.0</v>
      </c>
      <c r="B823" s="5">
        <v>20114.0</v>
      </c>
      <c r="C823" s="5">
        <v>6218.92322368421</v>
      </c>
      <c r="D823" s="5">
        <v>5192.011747498287</v>
      </c>
      <c r="E823" s="5">
        <v>-5.649414977497214</v>
      </c>
      <c r="F823" s="5">
        <v>-3.0348944330967074</v>
      </c>
      <c r="G823" s="5">
        <v>-7.2243674399539985</v>
      </c>
      <c r="H823" s="5">
        <v>0.05809632294233591</v>
      </c>
      <c r="I823" s="5">
        <v>0.9748625717272419</v>
      </c>
      <c r="J823" s="5">
        <v>-1.2462663962255704</v>
      </c>
      <c r="K823" s="5">
        <v>19.778681677304142</v>
      </c>
      <c r="L823" s="9" t="b">
        <v>0</v>
      </c>
    </row>
    <row r="824" ht="15.75" customHeight="1">
      <c r="A824" s="5">
        <v>11.0</v>
      </c>
      <c r="B824" s="5">
        <v>20121.0</v>
      </c>
      <c r="C824" s="5">
        <v>5931.560451977401</v>
      </c>
      <c r="D824" s="5">
        <v>5151.038885545616</v>
      </c>
      <c r="E824" s="5">
        <v>-5.301429903071398</v>
      </c>
      <c r="F824" s="5">
        <v>-3.6891315617116063</v>
      </c>
      <c r="G824" s="5">
        <v>-6.926364644390135</v>
      </c>
      <c r="H824" s="5">
        <v>-2.1471721869127824</v>
      </c>
      <c r="I824" s="5">
        <v>0.1975105464400273</v>
      </c>
      <c r="J824" s="5">
        <v>-2.073190611084263</v>
      </c>
      <c r="K824" s="5">
        <v>15.152701887419529</v>
      </c>
      <c r="L824" s="9" t="b">
        <v>0</v>
      </c>
    </row>
    <row r="825" ht="15.75" customHeight="1">
      <c r="A825" s="5">
        <v>11.0</v>
      </c>
      <c r="B825" s="5">
        <v>20122.0</v>
      </c>
      <c r="C825" s="5">
        <v>5880.134897119337</v>
      </c>
      <c r="D825" s="5">
        <v>4953.708255949625</v>
      </c>
      <c r="E825" s="5">
        <v>-10.029578373872605</v>
      </c>
      <c r="F825" s="5">
        <v>-5.834847092264606</v>
      </c>
      <c r="G825" s="5">
        <v>-7.327352241128405</v>
      </c>
      <c r="H825" s="5">
        <v>-6.319022251774042</v>
      </c>
      <c r="I825" s="5">
        <v>-1.5858734132987966</v>
      </c>
      <c r="J825" s="5">
        <v>-3.533242332799899</v>
      </c>
      <c r="K825" s="5">
        <v>18.701679495497793</v>
      </c>
      <c r="L825" s="9" t="b">
        <v>0</v>
      </c>
    </row>
    <row r="826" ht="15.75" customHeight="1">
      <c r="A826" s="5">
        <v>11.0</v>
      </c>
      <c r="B826" s="5">
        <v>20123.0</v>
      </c>
      <c r="C826" s="5">
        <v>5978.397531645569</v>
      </c>
      <c r="D826" s="5">
        <v>4960.648599116939</v>
      </c>
      <c r="E826" s="5">
        <v>-2.8714886812512552</v>
      </c>
      <c r="F826" s="5">
        <v>-5.962977983923118</v>
      </c>
      <c r="G826" s="5">
        <v>-6.223523022605507</v>
      </c>
      <c r="H826" s="5">
        <v>-6.648728347612353</v>
      </c>
      <c r="I826" s="5">
        <v>-3.7642066158392105</v>
      </c>
      <c r="J826" s="5">
        <v>-5.340985294751421</v>
      </c>
      <c r="K826" s="5">
        <v>20.51644885126116</v>
      </c>
      <c r="L826" s="9" t="b">
        <v>0</v>
      </c>
    </row>
    <row r="827" ht="15.75" customHeight="1">
      <c r="A827" s="5">
        <v>11.0</v>
      </c>
      <c r="B827" s="5">
        <v>20124.0</v>
      </c>
      <c r="C827" s="5">
        <v>5338.923826086956</v>
      </c>
      <c r="D827" s="5">
        <v>4846.801257323012</v>
      </c>
      <c r="E827" s="5">
        <v>-14.150349923051875</v>
      </c>
      <c r="F827" s="5">
        <v>-8.088211720311783</v>
      </c>
      <c r="G827" s="5">
        <v>-5.053317287215076</v>
      </c>
      <c r="H827" s="5">
        <v>-6.648877293885391</v>
      </c>
      <c r="I827" s="5">
        <v>-5.4409500200461425</v>
      </c>
      <c r="J827" s="5">
        <v>-6.415812591773385</v>
      </c>
      <c r="K827" s="5">
        <v>10.153553707621054</v>
      </c>
      <c r="L827" s="9" t="b">
        <v>0</v>
      </c>
    </row>
    <row r="828" ht="15.75" customHeight="1">
      <c r="A828" s="5">
        <v>11.0</v>
      </c>
      <c r="B828" s="5">
        <v>20131.0</v>
      </c>
      <c r="C828" s="5">
        <v>6147.073173076925</v>
      </c>
      <c r="D828" s="5">
        <v>4725.314569441692</v>
      </c>
      <c r="E828" s="5">
        <v>3.6333225100602107</v>
      </c>
      <c r="F828" s="5">
        <v>-5.854523617028882</v>
      </c>
      <c r="G828" s="5">
        <v>-2.1653920553172754</v>
      </c>
      <c r="H828" s="5">
        <v>-8.264824350259781</v>
      </c>
      <c r="I828" s="5">
        <v>-6.970363060882892</v>
      </c>
      <c r="J828" s="5">
        <v>-7.167873607322919</v>
      </c>
      <c r="K828" s="5">
        <v>30.088126044129538</v>
      </c>
      <c r="L828" s="9" t="b">
        <v>0</v>
      </c>
    </row>
    <row r="829" ht="15.75" customHeight="1">
      <c r="A829" s="5">
        <v>11.0</v>
      </c>
      <c r="B829" s="5">
        <v>20132.0</v>
      </c>
      <c r="C829" s="5">
        <v>5997.617408376966</v>
      </c>
      <c r="D829" s="5">
        <v>4837.713239158436</v>
      </c>
      <c r="E829" s="5">
        <v>1.9979560556541376</v>
      </c>
      <c r="F829" s="5">
        <v>-2.8476400096471957</v>
      </c>
      <c r="G829" s="5">
        <v>2.98720708261741</v>
      </c>
      <c r="H829" s="5">
        <v>-2.3415794955601865</v>
      </c>
      <c r="I829" s="5">
        <v>-5.976002371829428</v>
      </c>
      <c r="J829" s="5">
        <v>-4.390128958530632</v>
      </c>
      <c r="K829" s="5">
        <v>23.976290281734535</v>
      </c>
      <c r="L829" s="9" t="b">
        <v>0</v>
      </c>
    </row>
    <row r="830" ht="15.75" customHeight="1">
      <c r="A830" s="5">
        <v>11.0</v>
      </c>
      <c r="B830" s="5">
        <v>20133.0</v>
      </c>
      <c r="C830" s="5">
        <v>5913.432942779289</v>
      </c>
      <c r="D830" s="5">
        <v>4943.523576846867</v>
      </c>
      <c r="E830" s="5">
        <v>-1.0866555548104895</v>
      </c>
      <c r="F830" s="5">
        <v>-2.401431728037004</v>
      </c>
      <c r="G830" s="5">
        <v>3.5615462558861135</v>
      </c>
      <c r="H830" s="5">
        <v>-0.3452174030855626</v>
      </c>
      <c r="I830" s="5">
        <v>-4.400124635697731</v>
      </c>
      <c r="J830" s="5">
        <v>-0.6359180198585204</v>
      </c>
      <c r="K830" s="5">
        <v>19.619798527411092</v>
      </c>
      <c r="L830" s="9" t="b">
        <v>0</v>
      </c>
    </row>
    <row r="831" ht="15.75" customHeight="1">
      <c r="A831" s="5">
        <v>11.0</v>
      </c>
      <c r="B831" s="5">
        <v>20134.0</v>
      </c>
      <c r="C831" s="5">
        <v>5867.854567901235</v>
      </c>
      <c r="D831" s="5">
        <v>4922.037356951497</v>
      </c>
      <c r="E831" s="5">
        <v>9.907066649458951</v>
      </c>
      <c r="F831" s="5">
        <v>3.6129224150907024</v>
      </c>
      <c r="G831" s="5">
        <v>11.701134135402485</v>
      </c>
      <c r="H831" s="5">
        <v>1.552283570835744</v>
      </c>
      <c r="I831" s="5">
        <v>-2.3498344195174465</v>
      </c>
      <c r="J831" s="5">
        <v>3.091115600528696</v>
      </c>
      <c r="K831" s="5">
        <v>19.215969777513784</v>
      </c>
      <c r="L831" s="9" t="b">
        <v>0</v>
      </c>
    </row>
    <row r="832" ht="15.75" customHeight="1">
      <c r="A832" s="5">
        <v>11.0</v>
      </c>
      <c r="B832" s="5">
        <v>20141.0</v>
      </c>
      <c r="C832" s="5">
        <v>6145.525564387916</v>
      </c>
      <c r="D832" s="5">
        <v>4961.629893452498</v>
      </c>
      <c r="E832" s="5">
        <v>-0.025176350523803404</v>
      </c>
      <c r="F832" s="5">
        <v>2.698297699944699</v>
      </c>
      <c r="G832" s="5">
        <v>8.552821316973581</v>
      </c>
      <c r="H832" s="5">
        <v>5.0010495711553915</v>
      </c>
      <c r="I832" s="5">
        <v>0.9666340608363466</v>
      </c>
      <c r="J832" s="5">
        <v>7.936997121719239</v>
      </c>
      <c r="K832" s="5">
        <v>23.86102342090688</v>
      </c>
      <c r="L832" s="9" t="b">
        <v>0</v>
      </c>
    </row>
    <row r="833" ht="15.75" customHeight="1">
      <c r="A833" s="5">
        <v>11.0</v>
      </c>
      <c r="B833" s="5">
        <v>20142.0</v>
      </c>
      <c r="C833" s="5">
        <v>6116.460735735736</v>
      </c>
      <c r="D833" s="5">
        <v>4957.608058620553</v>
      </c>
      <c r="E833" s="5">
        <v>1.9815089770944816</v>
      </c>
      <c r="F833" s="5">
        <v>2.694185930304785</v>
      </c>
      <c r="G833" s="5">
        <v>5.5418259399519805</v>
      </c>
      <c r="H833" s="5">
        <v>2.478336634169187</v>
      </c>
      <c r="I833" s="5">
        <v>2.17161309326869</v>
      </c>
      <c r="J833" s="5">
        <v>8.147615465098118</v>
      </c>
      <c r="K833" s="5">
        <v>23.375237885135135</v>
      </c>
      <c r="L833" s="9" t="b">
        <v>0</v>
      </c>
    </row>
    <row r="834" ht="15.75" customHeight="1">
      <c r="A834" s="5">
        <v>11.0</v>
      </c>
      <c r="B834" s="5">
        <v>20143.0</v>
      </c>
      <c r="C834" s="5">
        <v>6022.054271457085</v>
      </c>
      <c r="D834" s="5">
        <v>4975.699127975938</v>
      </c>
      <c r="E834" s="5">
        <v>1.8368573674354405</v>
      </c>
      <c r="F834" s="5">
        <v>3.4250641608662673</v>
      </c>
      <c r="G834" s="5">
        <v>5.826495888903271</v>
      </c>
      <c r="H834" s="5">
        <v>0.6508627020565871</v>
      </c>
      <c r="I834" s="5">
        <v>2.4206331195542274</v>
      </c>
      <c r="J834" s="5">
        <v>6.820757755251958</v>
      </c>
      <c r="K834" s="5">
        <v>21.02930897887296</v>
      </c>
      <c r="L834" s="9" t="b">
        <v>0</v>
      </c>
    </row>
    <row r="835" ht="15.75" customHeight="1">
      <c r="A835" s="5">
        <v>11.0</v>
      </c>
      <c r="B835" s="5">
        <v>20144.0</v>
      </c>
      <c r="C835" s="5">
        <v>6225.140501319263</v>
      </c>
      <c r="D835" s="5">
        <v>5057.974924662315</v>
      </c>
      <c r="E835" s="5">
        <v>6.0888682444939946</v>
      </c>
      <c r="F835" s="5">
        <v>2.470514559625028</v>
      </c>
      <c r="G835" s="5">
        <v>-1.1424078554656742</v>
      </c>
      <c r="H835" s="5">
        <v>2.7618150341510717</v>
      </c>
      <c r="I835" s="5">
        <v>2.7230159853830593</v>
      </c>
      <c r="J835" s="5">
        <v>5.072850404900506</v>
      </c>
      <c r="K835" s="5">
        <v>23.075748576093847</v>
      </c>
      <c r="L835" s="9" t="b">
        <v>0</v>
      </c>
    </row>
    <row r="836" ht="15.75" customHeight="1">
      <c r="A836" s="5">
        <v>11.0</v>
      </c>
      <c r="B836" s="5">
        <v>20151.0</v>
      </c>
      <c r="C836" s="5">
        <v>6306.811928251118</v>
      </c>
      <c r="D836" s="5">
        <v>4966.551990258811</v>
      </c>
      <c r="E836" s="5">
        <v>2.6244519231654273</v>
      </c>
      <c r="F836" s="5">
        <v>3.132921628047336</v>
      </c>
      <c r="G836" s="5">
        <v>0.43462392810263717</v>
      </c>
      <c r="H836" s="5">
        <v>0.0992032237795204</v>
      </c>
      <c r="I836" s="5">
        <v>1.4975543985390916</v>
      </c>
      <c r="J836" s="5">
        <v>0.5309203377027449</v>
      </c>
      <c r="K836" s="5">
        <v>26.985722501667887</v>
      </c>
      <c r="L836" s="9" t="b">
        <v>0</v>
      </c>
    </row>
    <row r="837" ht="15.75" customHeight="1">
      <c r="A837" s="5">
        <v>11.0</v>
      </c>
      <c r="B837" s="5">
        <v>20152.0</v>
      </c>
      <c r="C837" s="5">
        <v>6209.111959247645</v>
      </c>
      <c r="D837" s="5">
        <v>4974.555070152549</v>
      </c>
      <c r="E837" s="5">
        <v>1.5147848979163658</v>
      </c>
      <c r="F837" s="5">
        <v>3.016240608252807</v>
      </c>
      <c r="G837" s="5">
        <v>0.3220546779480222</v>
      </c>
      <c r="H837" s="5">
        <v>0.3418384699155119</v>
      </c>
      <c r="I837" s="5">
        <v>0.9634298574756728</v>
      </c>
      <c r="J837" s="5">
        <v>-1.2081832357930171</v>
      </c>
      <c r="K837" s="5">
        <v>24.81743335202915</v>
      </c>
      <c r="L837" s="9" t="b">
        <v>0</v>
      </c>
    </row>
    <row r="838" ht="15.75" customHeight="1">
      <c r="A838" s="5">
        <v>11.0</v>
      </c>
      <c r="B838" s="5">
        <v>20153.0</v>
      </c>
      <c r="C838" s="5">
        <v>6228.153566121845</v>
      </c>
      <c r="D838" s="5">
        <v>5066.932202340708</v>
      </c>
      <c r="E838" s="5">
        <v>3.4224084568884594</v>
      </c>
      <c r="F838" s="5">
        <v>3.412628380616062</v>
      </c>
      <c r="G838" s="5">
        <v>-0.012435780250205308</v>
      </c>
      <c r="H838" s="5">
        <v>1.8335729717219085</v>
      </c>
      <c r="I838" s="5">
        <v>1.2591074248920031</v>
      </c>
      <c r="J838" s="5">
        <v>-1.1615256946622243</v>
      </c>
      <c r="K838" s="5">
        <v>22.917641630268946</v>
      </c>
      <c r="L838" s="9" t="b">
        <v>0</v>
      </c>
    </row>
    <row r="839" ht="15.75" customHeight="1">
      <c r="A839" s="5">
        <v>11.0</v>
      </c>
      <c r="B839" s="5">
        <v>20154.0</v>
      </c>
      <c r="C839" s="5">
        <v>6234.407476383264</v>
      </c>
      <c r="D839" s="5">
        <v>5028.797360011451</v>
      </c>
      <c r="E839" s="5">
        <v>0.14886370937390314</v>
      </c>
      <c r="F839" s="5">
        <v>1.927627246836039</v>
      </c>
      <c r="G839" s="5">
        <v>-0.5428873127889893</v>
      </c>
      <c r="H839" s="5">
        <v>-0.5768625800929961</v>
      </c>
      <c r="I839" s="5">
        <v>0.4244380213309862</v>
      </c>
      <c r="J839" s="5">
        <v>-2.298577964052073</v>
      </c>
      <c r="K839" s="5">
        <v>23.974124031298572</v>
      </c>
      <c r="L839" s="9" t="b">
        <v>0</v>
      </c>
    </row>
    <row r="840" ht="15.75" customHeight="1">
      <c r="A840" s="5">
        <v>11.0</v>
      </c>
      <c r="B840" s="5">
        <v>20161.0</v>
      </c>
      <c r="C840" s="5">
        <v>6245.974311251323</v>
      </c>
      <c r="D840" s="5">
        <v>5068.347528031154</v>
      </c>
      <c r="E840" s="5">
        <v>-0.9646334422511504</v>
      </c>
      <c r="F840" s="5">
        <v>1.0303559054818945</v>
      </c>
      <c r="G840" s="5">
        <v>-2.1025657225654415</v>
      </c>
      <c r="H840" s="5">
        <v>2.049621910170285</v>
      </c>
      <c r="I840" s="5">
        <v>0.9120426929286773</v>
      </c>
      <c r="J840" s="5">
        <v>-0.5855117056104142</v>
      </c>
      <c r="K840" s="5">
        <v>23.234925717053766</v>
      </c>
      <c r="L840" s="9" t="b">
        <v>0</v>
      </c>
    </row>
    <row r="841" ht="15.75" customHeight="1">
      <c r="A841" s="5">
        <v>11.0</v>
      </c>
      <c r="B841" s="5">
        <v>20162.0</v>
      </c>
      <c r="C841" s="5">
        <v>6297.619257592796</v>
      </c>
      <c r="D841" s="5">
        <v>5155.120960318608</v>
      </c>
      <c r="E841" s="5">
        <v>1.4254421393276928</v>
      </c>
      <c r="F841" s="5">
        <v>1.0080202158347262</v>
      </c>
      <c r="G841" s="5">
        <v>-2.008220392418081</v>
      </c>
      <c r="H841" s="5">
        <v>3.6297897524435685</v>
      </c>
      <c r="I841" s="5">
        <v>1.7340305135606915</v>
      </c>
      <c r="J841" s="5">
        <v>0.7706006560850187</v>
      </c>
      <c r="K841" s="5">
        <v>22.162395529969814</v>
      </c>
      <c r="L841" s="9" t="b">
        <v>0</v>
      </c>
    </row>
    <row r="842" ht="15.75" customHeight="1">
      <c r="A842" s="5">
        <v>11.0</v>
      </c>
      <c r="B842" s="5">
        <v>20163.0</v>
      </c>
      <c r="C842" s="5">
        <v>6195.179197860964</v>
      </c>
      <c r="D842" s="5">
        <v>5196.487466069108</v>
      </c>
      <c r="E842" s="5">
        <v>-0.5294405141235581</v>
      </c>
      <c r="F842" s="5">
        <v>0.020057973081721858</v>
      </c>
      <c r="G842" s="5">
        <v>-3.39257040753434</v>
      </c>
      <c r="H842" s="5">
        <v>2.5568777823502753</v>
      </c>
      <c r="I842" s="5">
        <v>1.9148567162177832</v>
      </c>
      <c r="J842" s="5">
        <v>0.6557492913257801</v>
      </c>
      <c r="K842" s="5">
        <v>19.218592141574398</v>
      </c>
      <c r="L842" s="9" t="b">
        <v>0</v>
      </c>
    </row>
    <row r="843" ht="15.75" customHeight="1">
      <c r="A843" s="5">
        <v>11.0</v>
      </c>
      <c r="B843" s="5">
        <v>20164.0</v>
      </c>
      <c r="C843" s="5">
        <v>6303.872273462789</v>
      </c>
      <c r="D843" s="5">
        <v>5267.699292171028</v>
      </c>
      <c r="E843" s="5">
        <v>1.114216504818888</v>
      </c>
      <c r="F843" s="5">
        <v>0.26139617194296805</v>
      </c>
      <c r="G843" s="5">
        <v>-1.6662310748930709</v>
      </c>
      <c r="H843" s="5">
        <v>4.750677250574942</v>
      </c>
      <c r="I843" s="5">
        <v>3.2467416738847676</v>
      </c>
      <c r="J843" s="5">
        <v>2.8223036525537815</v>
      </c>
      <c r="K843" s="5">
        <v>19.670313809137596</v>
      </c>
      <c r="L843" s="9" t="b">
        <v>0</v>
      </c>
    </row>
    <row r="844" ht="15.75" customHeight="1">
      <c r="A844" s="5">
        <v>11.0</v>
      </c>
      <c r="B844" s="5">
        <v>20171.0</v>
      </c>
      <c r="C844" s="5">
        <v>6263.2257742782185</v>
      </c>
      <c r="D844" s="5">
        <v>5164.287675120787</v>
      </c>
      <c r="E844" s="5">
        <v>0.2762013125129137</v>
      </c>
      <c r="F844" s="5">
        <v>0.5716048606339841</v>
      </c>
      <c r="G844" s="5">
        <v>-0.4587510448479104</v>
      </c>
      <c r="H844" s="5">
        <v>1.8929275579273819</v>
      </c>
      <c r="I844" s="5">
        <v>3.2075680858240423</v>
      </c>
      <c r="J844" s="5">
        <v>2.2955253928953647</v>
      </c>
      <c r="K844" s="5">
        <v>21.279567837624946</v>
      </c>
      <c r="L844" s="9" t="b">
        <v>0</v>
      </c>
    </row>
    <row r="845" ht="15.75" customHeight="1">
      <c r="A845" s="5">
        <v>11.0</v>
      </c>
      <c r="B845" s="5">
        <v>20172.0</v>
      </c>
      <c r="C845" s="5">
        <v>6260.456673960613</v>
      </c>
      <c r="D845" s="5">
        <v>5452.706758145047</v>
      </c>
      <c r="E845" s="5">
        <v>-0.5901052780759586</v>
      </c>
      <c r="F845" s="5">
        <v>0.06771800628307123</v>
      </c>
      <c r="G845" s="5">
        <v>-0.940302209551655</v>
      </c>
      <c r="H845" s="5">
        <v>5.772624931928805</v>
      </c>
      <c r="I845" s="5">
        <v>3.743276880695351</v>
      </c>
      <c r="J845" s="5">
        <v>2.0092463671346596</v>
      </c>
      <c r="K845" s="5">
        <v>14.813742085230963</v>
      </c>
      <c r="L845" s="9" t="b">
        <v>0</v>
      </c>
    </row>
    <row r="846" ht="15.75" customHeight="1">
      <c r="A846" s="5">
        <v>11.0</v>
      </c>
      <c r="B846" s="5">
        <v>20173.0</v>
      </c>
      <c r="C846" s="5">
        <v>6378.695371057516</v>
      </c>
      <c r="D846" s="5">
        <v>5454.401230240212</v>
      </c>
      <c r="E846" s="5">
        <v>2.9622415645364164</v>
      </c>
      <c r="F846" s="5">
        <v>0.9406385259480649</v>
      </c>
      <c r="G846" s="5">
        <v>0.920580552866343</v>
      </c>
      <c r="H846" s="5">
        <v>4.963232680828589</v>
      </c>
      <c r="I846" s="5">
        <v>4.344865605314929</v>
      </c>
      <c r="J846" s="5">
        <v>2.430008889097146</v>
      </c>
      <c r="K846" s="5">
        <v>16.945840648701214</v>
      </c>
      <c r="L846" s="9" t="b">
        <v>0</v>
      </c>
    </row>
    <row r="847" ht="15.75" customHeight="1">
      <c r="A847" s="5">
        <v>11.0</v>
      </c>
      <c r="B847" s="5">
        <v>20174.0</v>
      </c>
      <c r="C847" s="5">
        <v>6382.4</v>
      </c>
      <c r="D847" s="5">
        <v>5535.598258836877</v>
      </c>
      <c r="E847" s="5">
        <v>1.2457061807515712</v>
      </c>
      <c r="F847" s="5">
        <v>0.9735109449312357</v>
      </c>
      <c r="G847" s="5">
        <v>0.7121147729882676</v>
      </c>
      <c r="H847" s="5">
        <v>5.085692098332317</v>
      </c>
      <c r="I847" s="5">
        <v>4.428619317254273</v>
      </c>
      <c r="J847" s="5">
        <v>1.1818776433695053</v>
      </c>
      <c r="K847" s="5">
        <v>15.297384339828346</v>
      </c>
      <c r="L847" s="9" t="b">
        <v>0</v>
      </c>
    </row>
    <row r="848" ht="15.75" customHeight="1">
      <c r="A848" s="5">
        <v>11.0</v>
      </c>
      <c r="B848" s="5">
        <v>20181.0</v>
      </c>
      <c r="C848" s="5">
        <v>6429.930362249757</v>
      </c>
      <c r="D848" s="5">
        <v>5583.150035645936</v>
      </c>
      <c r="E848" s="5">
        <v>2.661641045356533</v>
      </c>
      <c r="F848" s="5">
        <v>1.5698708781421407</v>
      </c>
      <c r="G848" s="5">
        <v>0.9982660175081566</v>
      </c>
      <c r="H848" s="5">
        <v>8.110748023256708</v>
      </c>
      <c r="I848" s="5">
        <v>5.983074433586604</v>
      </c>
      <c r="J848" s="5">
        <v>2.775506347762562</v>
      </c>
      <c r="K848" s="5">
        <v>15.166712719477427</v>
      </c>
      <c r="L848" s="9" t="b">
        <v>0</v>
      </c>
    </row>
    <row r="849" ht="15.75" customHeight="1">
      <c r="A849" s="5">
        <v>11.0</v>
      </c>
      <c r="B849" s="5">
        <v>20182.0</v>
      </c>
      <c r="C849" s="5">
        <v>6735.463439201444</v>
      </c>
      <c r="D849" s="5">
        <v>5783.090530112953</v>
      </c>
      <c r="E849" s="5">
        <v>7.587413985573077</v>
      </c>
      <c r="F849" s="5">
        <v>3.6142506940543995</v>
      </c>
      <c r="G849" s="5">
        <v>3.5465326877713284</v>
      </c>
      <c r="H849" s="5">
        <v>6.059078300412746</v>
      </c>
      <c r="I849" s="5">
        <v>6.05468777570759</v>
      </c>
      <c r="J849" s="5">
        <v>2.311410895012239</v>
      </c>
      <c r="K849" s="5">
        <v>16.46823448689623</v>
      </c>
      <c r="L849" s="9" t="b">
        <v>0</v>
      </c>
    </row>
    <row r="850" ht="15.75" customHeight="1">
      <c r="A850" s="5">
        <v>11.0</v>
      </c>
      <c r="B850" s="5">
        <v>20183.0</v>
      </c>
      <c r="C850" s="5">
        <v>6848.57365612647</v>
      </c>
      <c r="D850" s="5">
        <v>5932.006965782832</v>
      </c>
      <c r="E850" s="5">
        <v>7.366369731355471</v>
      </c>
      <c r="F850" s="5">
        <v>4.715282735759163</v>
      </c>
      <c r="G850" s="5">
        <v>3.774644209811098</v>
      </c>
      <c r="H850" s="5">
        <v>8.75633667898661</v>
      </c>
      <c r="I850" s="5">
        <v>7.002963775247095</v>
      </c>
      <c r="J850" s="5">
        <v>2.658098169932166</v>
      </c>
      <c r="K850" s="5">
        <v>15.451207249597054</v>
      </c>
      <c r="L850" s="9" t="b">
        <v>0</v>
      </c>
    </row>
    <row r="851" ht="15.75" customHeight="1">
      <c r="A851" s="5">
        <v>11.0</v>
      </c>
      <c r="B851" s="5">
        <v>20184.0</v>
      </c>
      <c r="C851" s="5">
        <v>7016.985992277993</v>
      </c>
      <c r="D851" s="5">
        <v>6048.463009482237</v>
      </c>
      <c r="E851" s="5">
        <v>9.942748688236303</v>
      </c>
      <c r="F851" s="5">
        <v>6.889543362630346</v>
      </c>
      <c r="G851" s="5">
        <v>5.91603241769911</v>
      </c>
      <c r="H851" s="5">
        <v>9.264847748418825</v>
      </c>
      <c r="I851" s="5">
        <v>8.047752687768723</v>
      </c>
      <c r="J851" s="5">
        <v>3.61913337051445</v>
      </c>
      <c r="K851" s="5">
        <v>16.012712341588163</v>
      </c>
      <c r="L851" s="9" t="b">
        <v>0</v>
      </c>
    </row>
    <row r="852" ht="15.75" customHeight="1">
      <c r="A852" s="5">
        <v>11.0</v>
      </c>
      <c r="B852" s="5">
        <v>20191.0</v>
      </c>
      <c r="C852" s="5">
        <v>7055.721624649866</v>
      </c>
      <c r="D852" s="5">
        <v>6091.027290922983</v>
      </c>
      <c r="E852" s="5">
        <v>9.732473403975582</v>
      </c>
      <c r="F852" s="5">
        <v>8.65725145228511</v>
      </c>
      <c r="G852" s="5">
        <v>7.087380574142969</v>
      </c>
      <c r="H852" s="5">
        <v>9.096607686243008</v>
      </c>
      <c r="I852" s="5">
        <v>8.294217603515298</v>
      </c>
      <c r="J852" s="5">
        <v>2.3111431699286937</v>
      </c>
      <c r="K852" s="5">
        <v>15.837957829617611</v>
      </c>
      <c r="L852" s="9" t="b">
        <v>0</v>
      </c>
    </row>
    <row r="853" ht="15.75" customHeight="1">
      <c r="A853" s="5">
        <v>11.0</v>
      </c>
      <c r="B853" s="5">
        <v>20192.0</v>
      </c>
      <c r="C853" s="5">
        <v>7086.543194909572</v>
      </c>
      <c r="D853" s="5">
        <v>6291.029370229951</v>
      </c>
      <c r="E853" s="5">
        <v>5.212406820661952</v>
      </c>
      <c r="F853" s="5">
        <v>8.063499661057326</v>
      </c>
      <c r="G853" s="5">
        <v>4.4492489670029265</v>
      </c>
      <c r="H853" s="5">
        <v>8.783172898161041</v>
      </c>
      <c r="I853" s="5">
        <v>8.97524125295237</v>
      </c>
      <c r="J853" s="5">
        <v>2.9205534772447805</v>
      </c>
      <c r="K853" s="5">
        <v>12.645209199691632</v>
      </c>
      <c r="L853" s="9" t="b">
        <v>0</v>
      </c>
    </row>
    <row r="854" ht="15.75" customHeight="1">
      <c r="A854" s="5">
        <v>11.0</v>
      </c>
      <c r="B854" s="5">
        <v>20193.0</v>
      </c>
      <c r="C854" s="5">
        <v>7101.569695251595</v>
      </c>
      <c r="D854" s="5">
        <v>6369.673093938214</v>
      </c>
      <c r="E854" s="5">
        <v>3.694142048086224</v>
      </c>
      <c r="F854" s="5">
        <v>7.145442740240016</v>
      </c>
      <c r="G854" s="5">
        <v>2.430160004480853</v>
      </c>
      <c r="H854" s="5">
        <v>7.378044744045997</v>
      </c>
      <c r="I854" s="5">
        <v>8.630668269217217</v>
      </c>
      <c r="J854" s="5">
        <v>1.6277044939701222</v>
      </c>
      <c r="K854" s="5">
        <v>11.490332243422351</v>
      </c>
      <c r="L854" s="9" t="b">
        <v>0</v>
      </c>
    </row>
    <row r="855" ht="15.75" customHeight="1">
      <c r="A855" s="5">
        <v>11.0</v>
      </c>
      <c r="B855" s="5">
        <v>20194.0</v>
      </c>
      <c r="C855" s="5">
        <v>7395.992745700238</v>
      </c>
      <c r="D855" s="5">
        <v>6607.8868737852845</v>
      </c>
      <c r="E855" s="5">
        <v>5.401275616615608</v>
      </c>
      <c r="F855" s="5">
        <v>6.010074472334842</v>
      </c>
      <c r="G855" s="5">
        <v>-0.8794688902955041</v>
      </c>
      <c r="H855" s="5">
        <v>9.249025139544266</v>
      </c>
      <c r="I855" s="5">
        <v>8.626712616998578</v>
      </c>
      <c r="J855" s="5">
        <v>0.5789599292298551</v>
      </c>
      <c r="K855" s="5">
        <v>11.926745826135665</v>
      </c>
      <c r="L855" s="9" t="b">
        <v>0</v>
      </c>
    </row>
    <row r="856" ht="15.75" customHeight="1">
      <c r="A856" s="5">
        <v>11.0</v>
      </c>
      <c r="B856" s="5">
        <v>20201.0</v>
      </c>
      <c r="C856" s="5">
        <v>7423.456194444435</v>
      </c>
      <c r="D856" s="5">
        <v>6761.854363442958</v>
      </c>
      <c r="E856" s="5">
        <v>5.211863355122337</v>
      </c>
      <c r="F856" s="5">
        <v>4.87992196012153</v>
      </c>
      <c r="G856" s="5">
        <v>-3.777329492163579</v>
      </c>
      <c r="H856" s="5">
        <v>11.013365077507697</v>
      </c>
      <c r="I856" s="5">
        <v>9.10590196481475</v>
      </c>
      <c r="J856" s="5">
        <v>0.8116843612994522</v>
      </c>
      <c r="K856" s="5">
        <v>9.784325355753554</v>
      </c>
      <c r="L856" s="9" t="b">
        <v>0</v>
      </c>
    </row>
    <row r="857" ht="15.75" customHeight="1">
      <c r="A857" s="5">
        <v>11.0</v>
      </c>
      <c r="B857" s="5">
        <v>20202.0</v>
      </c>
      <c r="C857" s="5">
        <v>7431.101973947893</v>
      </c>
      <c r="D857" s="5">
        <v>6911.775352975216</v>
      </c>
      <c r="E857" s="5">
        <v>4.862155913842825</v>
      </c>
      <c r="F857" s="5">
        <v>4.792359233416748</v>
      </c>
      <c r="G857" s="5">
        <v>-3.271140427640578</v>
      </c>
      <c r="H857" s="5">
        <v>9.867160781075413</v>
      </c>
      <c r="I857" s="5">
        <v>9.376898935543343</v>
      </c>
      <c r="J857" s="5">
        <v>0.40165768259097234</v>
      </c>
      <c r="K857" s="5">
        <v>7.513650175987419</v>
      </c>
      <c r="L857" s="9" t="b">
        <v>0</v>
      </c>
    </row>
    <row r="858" ht="15.75" customHeight="1">
      <c r="A858" s="5">
        <v>11.0</v>
      </c>
      <c r="B858" s="5">
        <v>20203.0</v>
      </c>
      <c r="C858" s="5">
        <v>7456.866008849561</v>
      </c>
      <c r="D858" s="5">
        <v>6996.298089007338</v>
      </c>
      <c r="E858" s="5">
        <v>5.0030673336281195</v>
      </c>
      <c r="F858" s="5">
        <v>5.1195905548022225</v>
      </c>
      <c r="G858" s="5">
        <v>-2.0258521854377936</v>
      </c>
      <c r="H858" s="5">
        <v>9.837631944808267</v>
      </c>
      <c r="I858" s="5">
        <v>9.99179573573391</v>
      </c>
      <c r="J858" s="5">
        <v>1.3611274665166935</v>
      </c>
      <c r="K858" s="5">
        <v>6.583023107118224</v>
      </c>
      <c r="L858" s="9" t="b">
        <v>0</v>
      </c>
    </row>
    <row r="859" ht="15.75" customHeight="1">
      <c r="A859" s="5">
        <v>11.0</v>
      </c>
      <c r="B859" s="5">
        <v>20204.0</v>
      </c>
      <c r="C859" s="5">
        <v>7635.119341397842</v>
      </c>
      <c r="D859" s="5">
        <v>7084.173853370835</v>
      </c>
      <c r="E859" s="5">
        <v>3.233191322917728</v>
      </c>
      <c r="F859" s="5">
        <v>4.577569481377752</v>
      </c>
      <c r="G859" s="5">
        <v>-1.4325049909570895</v>
      </c>
      <c r="H859" s="5">
        <v>7.207856137414659</v>
      </c>
      <c r="I859" s="5">
        <v>9.48150348520151</v>
      </c>
      <c r="J859" s="5">
        <v>0.8547908682029313</v>
      </c>
      <c r="K859" s="5">
        <v>7.777131101389512</v>
      </c>
      <c r="L859" s="9" t="b">
        <v>0</v>
      </c>
    </row>
    <row r="860" ht="15.75" customHeight="1">
      <c r="A860" s="5">
        <v>11.0</v>
      </c>
      <c r="B860" s="5">
        <v>20211.0</v>
      </c>
      <c r="C860" s="5">
        <v>7961.024602164219</v>
      </c>
      <c r="D860" s="5">
        <v>7147.028329102597</v>
      </c>
      <c r="E860" s="5">
        <v>7.241484204110882</v>
      </c>
      <c r="F860" s="5">
        <v>5.084974693624889</v>
      </c>
      <c r="G860" s="5">
        <v>0.20505273350335873</v>
      </c>
      <c r="H860" s="5">
        <v>5.6962771594435635</v>
      </c>
      <c r="I860" s="5">
        <v>8.152231505685474</v>
      </c>
      <c r="J860" s="5">
        <v>-0.9536704591292757</v>
      </c>
      <c r="K860" s="5">
        <v>11.389296859885679</v>
      </c>
      <c r="L860" s="9" t="b">
        <v>0</v>
      </c>
    </row>
    <row r="861" ht="15.75" customHeight="1">
      <c r="A861" s="5">
        <v>11.0</v>
      </c>
      <c r="B861" s="5">
        <v>20212.0</v>
      </c>
      <c r="C861" s="5">
        <v>7931.215000000014</v>
      </c>
      <c r="D861" s="5">
        <v>7308.52482110527</v>
      </c>
      <c r="E861" s="5">
        <v>6.7299981591616875</v>
      </c>
      <c r="F861" s="5">
        <v>5.5519352549546035</v>
      </c>
      <c r="G861" s="5">
        <v>0.7595760215378551</v>
      </c>
      <c r="H861" s="5">
        <v>5.740196228444705</v>
      </c>
      <c r="I861" s="5">
        <v>7.120490367527799</v>
      </c>
      <c r="J861" s="5">
        <v>-2.2564085680155443</v>
      </c>
      <c r="K861" s="5">
        <v>8.520052871635087</v>
      </c>
      <c r="L861" s="9" t="b">
        <v>0</v>
      </c>
    </row>
    <row r="862" ht="15.75" customHeight="1">
      <c r="A862" s="5">
        <v>11.0</v>
      </c>
      <c r="B862" s="5">
        <v>20213.0</v>
      </c>
      <c r="C862" s="5">
        <v>8024.058635153128</v>
      </c>
      <c r="D862" s="5">
        <v>7532.158029553868</v>
      </c>
      <c r="E862" s="5">
        <v>7.606313773513462</v>
      </c>
      <c r="F862" s="5">
        <v>6.20274686492594</v>
      </c>
      <c r="G862" s="5">
        <v>1.0831563101237176</v>
      </c>
      <c r="H862" s="5">
        <v>7.659192529095904</v>
      </c>
      <c r="I862" s="5">
        <v>6.575880513599708</v>
      </c>
      <c r="J862" s="5">
        <v>-3.4159152221342026</v>
      </c>
      <c r="K862" s="5">
        <v>6.530672931571457</v>
      </c>
      <c r="L862" s="9" t="b">
        <v>0</v>
      </c>
    </row>
    <row r="863" ht="15.75" customHeight="1">
      <c r="A863" s="5">
        <v>11.0</v>
      </c>
      <c r="B863" s="5">
        <v>20214.0</v>
      </c>
      <c r="C863" s="5">
        <v>8599.404801136383</v>
      </c>
      <c r="D863" s="5">
        <v>7793.20653824544</v>
      </c>
      <c r="E863" s="5">
        <v>12.629605597782302</v>
      </c>
      <c r="F863" s="5">
        <v>8.551850433642084</v>
      </c>
      <c r="G863" s="5">
        <v>3.9742809522643316</v>
      </c>
      <c r="H863" s="5">
        <v>10.008685551064357</v>
      </c>
      <c r="I863" s="5">
        <v>7.276087867012132</v>
      </c>
      <c r="J863" s="5">
        <v>-2.2054156181893774</v>
      </c>
      <c r="K863" s="5">
        <v>10.344885111596813</v>
      </c>
      <c r="L863" s="9" t="b">
        <v>0</v>
      </c>
    </row>
    <row r="864" ht="15.75" customHeight="1">
      <c r="A864" s="5">
        <v>11.0</v>
      </c>
      <c r="B864" s="5">
        <v>20221.0</v>
      </c>
      <c r="C864" s="5">
        <v>8782.2805778491</v>
      </c>
      <c r="D864" s="5">
        <v>8001.745436124683</v>
      </c>
      <c r="E864" s="5">
        <v>10.315958268256352</v>
      </c>
      <c r="F864" s="5">
        <v>9.32046894967845</v>
      </c>
      <c r="G864" s="5">
        <v>4.235494256053561</v>
      </c>
      <c r="H864" s="5">
        <v>11.959055815431574</v>
      </c>
      <c r="I864" s="5">
        <v>8.841782531009134</v>
      </c>
      <c r="J864" s="5">
        <v>0.6895510253236594</v>
      </c>
      <c r="K864" s="5">
        <v>9.754561026155773</v>
      </c>
      <c r="L864" s="9" t="b">
        <v>0</v>
      </c>
    </row>
    <row r="865" ht="15.75" customHeight="1">
      <c r="A865" s="5">
        <v>11.0</v>
      </c>
      <c r="B865" s="5">
        <v>20222.0</v>
      </c>
      <c r="C865" s="5">
        <v>9496.491480176204</v>
      </c>
      <c r="D865" s="5">
        <v>8467.32292710947</v>
      </c>
      <c r="E865" s="5">
        <v>19.73564554959344</v>
      </c>
      <c r="F865" s="5">
        <v>12.571880797286388</v>
      </c>
      <c r="G865" s="5">
        <v>7.019945542331785</v>
      </c>
      <c r="H865" s="5">
        <v>15.855430943572468</v>
      </c>
      <c r="I865" s="5">
        <v>11.370591209791076</v>
      </c>
      <c r="J865" s="5">
        <v>4.250100842263278</v>
      </c>
      <c r="K865" s="5">
        <v>12.154591975837947</v>
      </c>
      <c r="L865" s="9" t="b">
        <v>0</v>
      </c>
    </row>
    <row r="866" ht="15.75" customHeight="1">
      <c r="A866" s="5">
        <v>11.0</v>
      </c>
      <c r="B866" s="5">
        <v>20223.0</v>
      </c>
      <c r="C866" s="5">
        <v>9615.098305687194</v>
      </c>
      <c r="D866" s="5">
        <v>8643.040371417103</v>
      </c>
      <c r="E866" s="5">
        <v>19.828365455404008</v>
      </c>
      <c r="F866" s="5">
        <v>15.627393717759023</v>
      </c>
      <c r="G866" s="5">
        <v>9.424646852833083</v>
      </c>
      <c r="H866" s="5">
        <v>14.748526750294854</v>
      </c>
      <c r="I866" s="5">
        <v>13.142924765090815</v>
      </c>
      <c r="J866" s="5">
        <v>6.567044251491106</v>
      </c>
      <c r="K866" s="5">
        <v>11.246712875306319</v>
      </c>
      <c r="L866" s="9" t="b">
        <v>0</v>
      </c>
    </row>
    <row r="867" ht="15.75" customHeight="1">
      <c r="A867" s="5">
        <v>11.0</v>
      </c>
      <c r="B867" s="5">
        <v>20224.0</v>
      </c>
      <c r="C867" s="5">
        <v>9720.44675174014</v>
      </c>
      <c r="D867" s="5">
        <v>8629.111216003019</v>
      </c>
      <c r="E867" s="5">
        <v>13.036273748336825</v>
      </c>
      <c r="F867" s="5">
        <v>15.729060755397654</v>
      </c>
      <c r="G867" s="5">
        <v>7.17721032175557</v>
      </c>
      <c r="H867" s="5">
        <v>10.726068578515747</v>
      </c>
      <c r="I867" s="5">
        <v>13.32227052195366</v>
      </c>
      <c r="J867" s="5">
        <v>6.0461826549415285</v>
      </c>
      <c r="K867" s="5">
        <v>12.647137212847582</v>
      </c>
      <c r="L867" s="9" t="b">
        <v>0</v>
      </c>
    </row>
    <row r="868" ht="15.75" customHeight="1">
      <c r="A868" s="5">
        <v>11.0</v>
      </c>
      <c r="B868" s="5">
        <v>20231.0</v>
      </c>
      <c r="C868" s="5">
        <v>9976.831367187498</v>
      </c>
      <c r="D868" s="5">
        <v>8531.50776802885</v>
      </c>
      <c r="E868" s="5">
        <v>13.601829032328183</v>
      </c>
      <c r="F868" s="5">
        <v>16.550528446415612</v>
      </c>
      <c r="G868" s="5">
        <v>7.230059496737162</v>
      </c>
      <c r="H868" s="5">
        <v>6.6205846728452755</v>
      </c>
      <c r="I868" s="5">
        <v>11.987652736307085</v>
      </c>
      <c r="J868" s="5">
        <v>3.1458702052979515</v>
      </c>
      <c r="K868" s="5">
        <v>16.941010176124838</v>
      </c>
      <c r="L868" s="9" t="b">
        <v>0</v>
      </c>
    </row>
    <row r="869" ht="15.75" customHeight="1">
      <c r="A869" s="5">
        <v>11.0</v>
      </c>
      <c r="B869" s="5">
        <v>20232.0</v>
      </c>
      <c r="C869" s="5">
        <v>10149.727173913048</v>
      </c>
      <c r="D869" s="5">
        <v>8753.997839992582</v>
      </c>
      <c r="E869" s="5">
        <v>6.878705626182735</v>
      </c>
      <c r="F869" s="5">
        <v>13.336293465562937</v>
      </c>
      <c r="G869" s="5">
        <v>0.7644126682765489</v>
      </c>
      <c r="H869" s="5">
        <v>3.3856617416264667</v>
      </c>
      <c r="I869" s="5">
        <v>8.870210435820585</v>
      </c>
      <c r="J869" s="5">
        <v>-2.500380773970491</v>
      </c>
      <c r="K869" s="5">
        <v>15.94390768003262</v>
      </c>
      <c r="L869" s="9" t="b">
        <v>0</v>
      </c>
    </row>
    <row r="870" ht="15.75" customHeight="1">
      <c r="A870" s="5">
        <v>11.0</v>
      </c>
      <c r="B870" s="5">
        <v>20233.0</v>
      </c>
      <c r="C870" s="5">
        <v>10682.837264731745</v>
      </c>
      <c r="D870" s="5">
        <v>9120.291845605736</v>
      </c>
      <c r="E870" s="5">
        <v>11.10481583337528</v>
      </c>
      <c r="F870" s="5">
        <v>11.155406060055757</v>
      </c>
      <c r="G870" s="5">
        <v>-4.4719876577032664</v>
      </c>
      <c r="H870" s="5">
        <v>5.521800821004197</v>
      </c>
      <c r="I870" s="5">
        <v>6.563528953497921</v>
      </c>
      <c r="J870" s="5">
        <v>-6.579395811592893</v>
      </c>
      <c r="K870" s="5">
        <v>17.132625200791818</v>
      </c>
      <c r="L870" s="9" t="b">
        <v>0</v>
      </c>
    </row>
    <row r="871" ht="15.75" customHeight="1">
      <c r="A871" s="5">
        <v>11.0</v>
      </c>
      <c r="B871" s="5">
        <v>20234.0</v>
      </c>
      <c r="C871" s="5">
        <v>11066.894941500324</v>
      </c>
      <c r="D871" s="5">
        <v>9571.899087103298</v>
      </c>
      <c r="E871" s="5">
        <v>13.85171097736988</v>
      </c>
      <c r="F871" s="5">
        <v>11.35926536731402</v>
      </c>
      <c r="G871" s="5">
        <v>-4.369795388083634</v>
      </c>
      <c r="H871" s="5">
        <v>10.925666010096657</v>
      </c>
      <c r="I871" s="5">
        <v>6.613428311393149</v>
      </c>
      <c r="J871" s="5">
        <v>-6.708842210560511</v>
      </c>
      <c r="K871" s="5">
        <v>15.618591888534517</v>
      </c>
      <c r="L871" s="9" t="b">
        <v>0</v>
      </c>
    </row>
    <row r="872" ht="15.75" customHeight="1">
      <c r="A872" s="5">
        <v>11.0</v>
      </c>
      <c r="B872" s="5">
        <v>20241.0</v>
      </c>
      <c r="C872" s="5">
        <v>11714.391330508462</v>
      </c>
      <c r="D872" s="5">
        <v>10028.191387231618</v>
      </c>
      <c r="E872" s="5">
        <v>17.415950008291947</v>
      </c>
      <c r="F872" s="5">
        <v>12.31279561130496</v>
      </c>
      <c r="G872" s="5">
        <v>-4.237732835110652</v>
      </c>
      <c r="H872" s="5">
        <v>17.543014199804997</v>
      </c>
      <c r="I872" s="5">
        <v>9.34403569313308</v>
      </c>
      <c r="J872" s="5">
        <v>-2.6436170431740056</v>
      </c>
      <c r="K872" s="5">
        <v>16.814596751950674</v>
      </c>
      <c r="L872" s="9" t="b">
        <v>0</v>
      </c>
    </row>
    <row r="873" ht="15.75" customHeight="1">
      <c r="A873" s="5">
        <v>11.0</v>
      </c>
      <c r="B873" s="5">
        <v>20242.0</v>
      </c>
      <c r="C873" s="5">
        <v>12440.791090573022</v>
      </c>
      <c r="D873" s="5">
        <v>10357.000801259755</v>
      </c>
      <c r="E873" s="5">
        <v>22.572665032302485</v>
      </c>
      <c r="F873" s="5">
        <v>16.2362854628349</v>
      </c>
      <c r="G873" s="5">
        <v>2.8999919972719628</v>
      </c>
      <c r="H873" s="5">
        <v>18.31166731551914</v>
      </c>
      <c r="I873" s="5">
        <v>13.07553708660625</v>
      </c>
      <c r="J873" s="5">
        <v>4.205326650785665</v>
      </c>
      <c r="K873" s="5">
        <v>20.119630473136674</v>
      </c>
      <c r="L873" s="9" t="b">
        <v>0</v>
      </c>
    </row>
    <row r="874" ht="15.75" customHeight="1">
      <c r="A874" s="5">
        <v>11.0</v>
      </c>
      <c r="B874" s="5">
        <v>20243.0</v>
      </c>
      <c r="C874" s="5">
        <v>11850.463172413783</v>
      </c>
      <c r="D874" s="5">
        <v>10690.676467739102</v>
      </c>
      <c r="E874" s="5">
        <v>10.929923191255874</v>
      </c>
      <c r="F874" s="5">
        <v>16.192562302305046</v>
      </c>
      <c r="G874" s="5">
        <v>5.037156242249289</v>
      </c>
      <c r="H874" s="5">
        <v>17.218578623555736</v>
      </c>
      <c r="I874" s="5">
        <v>15.999731537244134</v>
      </c>
      <c r="J874" s="5">
        <v>9.436202583746212</v>
      </c>
      <c r="K874" s="5">
        <v>10.848581080669039</v>
      </c>
      <c r="L874" s="9" t="b">
        <v>0</v>
      </c>
    </row>
    <row r="875" ht="15.75" customHeight="1">
      <c r="A875" s="5">
        <v>11.0</v>
      </c>
      <c r="B875" s="5">
        <v>20244.0</v>
      </c>
      <c r="C875" s="5">
        <v>12774.382020972347</v>
      </c>
      <c r="D875" s="5">
        <v>10797.829512204891</v>
      </c>
      <c r="E875" s="5">
        <v>15.42878186246286</v>
      </c>
      <c r="F875" s="5">
        <v>16.58683002357829</v>
      </c>
      <c r="G875" s="5">
        <v>5.227564656264271</v>
      </c>
      <c r="H875" s="5">
        <v>12.807598721484137</v>
      </c>
      <c r="I875" s="5">
        <v>16.470214715091004</v>
      </c>
      <c r="J875" s="5">
        <v>9.856786403697853</v>
      </c>
      <c r="K875" s="5">
        <v>18.305090912329547</v>
      </c>
      <c r="L875" s="9" t="b">
        <v>0</v>
      </c>
    </row>
    <row r="876" ht="15.75" customHeight="1">
      <c r="A876" s="5">
        <v>11.0</v>
      </c>
      <c r="B876" s="5">
        <v>20251.0</v>
      </c>
      <c r="C876" s="5">
        <v>12371.52209436134</v>
      </c>
      <c r="D876" s="5">
        <v>10857.377904620502</v>
      </c>
      <c r="E876" s="5">
        <v>5.609602285877835</v>
      </c>
      <c r="F876" s="5">
        <v>13.635243092974765</v>
      </c>
      <c r="G876" s="5">
        <v>1.3224474816698049</v>
      </c>
      <c r="H876" s="5">
        <v>8.268554970387232</v>
      </c>
      <c r="I876" s="5">
        <v>14.15159990773656</v>
      </c>
      <c r="J876" s="5">
        <v>4.807564214603481</v>
      </c>
      <c r="K876" s="5">
        <v>13.945762992153687</v>
      </c>
      <c r="L876" s="9" t="b">
        <v>0</v>
      </c>
    </row>
    <row r="877" ht="15.75" customHeight="1">
      <c r="A877" s="5">
        <v>11.0</v>
      </c>
      <c r="B877" s="5">
        <v>20252.0</v>
      </c>
      <c r="C877" s="5">
        <v>12462.101785310726</v>
      </c>
      <c r="D877" s="5">
        <v>10880.493373866222</v>
      </c>
      <c r="E877" s="5">
        <v>0.17129694231303727</v>
      </c>
      <c r="F877" s="5">
        <v>8.034901070477401</v>
      </c>
      <c r="G877" s="5">
        <v>-8.201384392357498</v>
      </c>
      <c r="H877" s="5">
        <v>5.054480371796366</v>
      </c>
      <c r="I877" s="5">
        <v>10.837303171805868</v>
      </c>
      <c r="J877" s="5">
        <v>-2.2382339148003823</v>
      </c>
      <c r="K877" s="5">
        <v>14.53618284666538</v>
      </c>
      <c r="L877" s="9" t="b">
        <v>0</v>
      </c>
    </row>
    <row r="878" ht="15.75" customHeight="1">
      <c r="A878" s="5">
        <v>11.0</v>
      </c>
      <c r="B878" s="5">
        <v>20253.0</v>
      </c>
      <c r="C878" s="5">
        <v>12513.689664670674</v>
      </c>
      <c r="D878" s="5">
        <v>10940.891325420038</v>
      </c>
      <c r="E878" s="5">
        <v>5.5966292845058385</v>
      </c>
      <c r="F878" s="5">
        <v>6.701577593789892</v>
      </c>
      <c r="G878" s="5">
        <v>-9.490984708515153</v>
      </c>
      <c r="H878" s="5">
        <v>2.3404960241384165</v>
      </c>
      <c r="I878" s="5">
        <v>7.117782521951538</v>
      </c>
      <c r="J878" s="5">
        <v>-8.881949015292596</v>
      </c>
      <c r="K878" s="5">
        <v>14.375413231611223</v>
      </c>
      <c r="L878" s="9" t="b">
        <v>0</v>
      </c>
    </row>
    <row r="879" ht="15.75" customHeight="1">
      <c r="A879" s="5">
        <v>11.0</v>
      </c>
      <c r="B879" s="5">
        <v>20254.0</v>
      </c>
      <c r="C879" s="5">
        <v>12417.275021385787</v>
      </c>
      <c r="D879" s="5">
        <v>11048.363542265572</v>
      </c>
      <c r="E879" s="5">
        <v>-2.7954933475472954</v>
      </c>
      <c r="F879" s="5">
        <v>2.145508791287354</v>
      </c>
      <c r="G879" s="5">
        <v>-14.441321232290937</v>
      </c>
      <c r="H879" s="5">
        <v>2.320225835919154</v>
      </c>
      <c r="I879" s="5">
        <v>4.495939300560292</v>
      </c>
      <c r="J879" s="5">
        <v>-11.974275414530712</v>
      </c>
      <c r="K879" s="5">
        <v>12.390174109346042</v>
      </c>
      <c r="L879" s="9" t="b">
        <v>0</v>
      </c>
    </row>
    <row r="880" ht="15.75" customHeight="1">
      <c r="A880" s="5">
        <v>11.0</v>
      </c>
      <c r="B880" s="5">
        <v>20261.0</v>
      </c>
      <c r="C880" s="5">
        <v>12626.320860314552</v>
      </c>
      <c r="D880" s="5">
        <v>11079.359992735934</v>
      </c>
      <c r="E880" s="5">
        <v>2.059558751217394</v>
      </c>
      <c r="F880" s="5">
        <v>1.2579979076222436</v>
      </c>
      <c r="G880" s="5">
        <v>-12.377245185352521</v>
      </c>
      <c r="H880" s="5">
        <v>2.0445276020185643</v>
      </c>
      <c r="I880" s="5">
        <v>2.9399324584681255</v>
      </c>
      <c r="J880" s="5">
        <v>-11.211667449268436</v>
      </c>
      <c r="K880" s="5">
        <v>13.96254719219221</v>
      </c>
      <c r="L880" s="9" t="b">
        <v>0</v>
      </c>
    </row>
    <row r="881" ht="15.75" customHeight="1">
      <c r="A881" s="5">
        <v>11.0</v>
      </c>
      <c r="B881" s="5">
        <v>20262.0</v>
      </c>
      <c r="C881" s="5">
        <v>12765.858702352003</v>
      </c>
      <c r="D881" s="5">
        <v>10890.791565790669</v>
      </c>
      <c r="E881" s="5">
        <v>2.4374453224200066</v>
      </c>
      <c r="F881" s="5">
        <v>1.824535002648986</v>
      </c>
      <c r="G881" s="5">
        <v>-6.210366067828415</v>
      </c>
      <c r="H881" s="5">
        <v>0.09464820730631374</v>
      </c>
      <c r="I881" s="5">
        <v>1.6999744173456122</v>
      </c>
      <c r="J881" s="5">
        <v>-9.137328754460256</v>
      </c>
      <c r="K881" s="5">
        <v>17.216995892669118</v>
      </c>
      <c r="L881" s="9" t="b">
        <v>0</v>
      </c>
    </row>
    <row r="882" ht="15.75" customHeight="1">
      <c r="A882" s="5">
        <v>12.0</v>
      </c>
      <c r="B882" s="5">
        <v>20063.0</v>
      </c>
      <c r="C882" s="5">
        <v>2656.0</v>
      </c>
      <c r="D882" s="5">
        <v>2629.234736031095</v>
      </c>
      <c r="K882" s="5">
        <v>1.0179868538215064</v>
      </c>
      <c r="L882" s="9" t="b">
        <v>0</v>
      </c>
    </row>
    <row r="883" ht="15.75" customHeight="1">
      <c r="A883" s="5">
        <v>12.0</v>
      </c>
      <c r="B883" s="5">
        <v>20064.0</v>
      </c>
      <c r="C883" s="5">
        <v>3013.0</v>
      </c>
      <c r="D883" s="5">
        <v>2913.9640151760614</v>
      </c>
      <c r="K883" s="5">
        <v>3.3986687655768844</v>
      </c>
      <c r="L883" s="9" t="b">
        <v>0</v>
      </c>
    </row>
    <row r="884" ht="15.75" customHeight="1">
      <c r="A884" s="5">
        <v>12.0</v>
      </c>
      <c r="B884" s="5">
        <v>20071.0</v>
      </c>
      <c r="C884" s="5">
        <v>3469.0</v>
      </c>
      <c r="D884" s="5">
        <v>3981.609140882637</v>
      </c>
      <c r="K884" s="5">
        <v>-12.874421439795125</v>
      </c>
      <c r="L884" s="9" t="b">
        <v>0</v>
      </c>
    </row>
    <row r="885" ht="15.75" customHeight="1">
      <c r="A885" s="5">
        <v>12.0</v>
      </c>
      <c r="B885" s="5">
        <v>20072.0</v>
      </c>
      <c r="C885" s="5">
        <v>3517.0</v>
      </c>
      <c r="D885" s="5">
        <v>4036.34268939248</v>
      </c>
      <c r="K885" s="5">
        <v>-12.866664933017557</v>
      </c>
      <c r="L885" s="9" t="b">
        <v>0</v>
      </c>
    </row>
    <row r="886" ht="15.75" customHeight="1">
      <c r="A886" s="5">
        <v>12.0</v>
      </c>
      <c r="B886" s="5">
        <v>20073.0</v>
      </c>
      <c r="C886" s="5">
        <v>4124.0</v>
      </c>
      <c r="D886" s="5">
        <v>4216.659508384839</v>
      </c>
      <c r="E886" s="5">
        <v>55.27108433734939</v>
      </c>
      <c r="H886" s="5">
        <v>60.37592424136336</v>
      </c>
      <c r="K886" s="5">
        <v>-2.1974624273215615</v>
      </c>
      <c r="L886" s="9" t="b">
        <v>0</v>
      </c>
    </row>
    <row r="887" ht="15.75" customHeight="1">
      <c r="A887" s="5">
        <v>12.0</v>
      </c>
      <c r="B887" s="5">
        <v>20074.0</v>
      </c>
      <c r="C887" s="5">
        <v>4365.0</v>
      </c>
      <c r="D887" s="5">
        <v>4416.661099584657</v>
      </c>
      <c r="E887" s="5">
        <v>44.872220378360424</v>
      </c>
      <c r="H887" s="5">
        <v>51.56882777489626</v>
      </c>
      <c r="K887" s="5">
        <v>-1.1696867479715656</v>
      </c>
      <c r="L887" s="9" t="b">
        <v>0</v>
      </c>
    </row>
    <row r="888" ht="15.75" customHeight="1">
      <c r="A888" s="5">
        <v>12.0</v>
      </c>
      <c r="B888" s="5">
        <v>20081.0</v>
      </c>
      <c r="C888" s="5">
        <v>4163.0</v>
      </c>
      <c r="D888" s="5">
        <v>4167.536492270455</v>
      </c>
      <c r="E888" s="5">
        <v>20.00576535024503</v>
      </c>
      <c r="H888" s="5">
        <v>4.66965351969737</v>
      </c>
      <c r="K888" s="5">
        <v>-0.10885309052166559</v>
      </c>
      <c r="L888" s="9" t="b">
        <v>0</v>
      </c>
    </row>
    <row r="889" ht="15.75" customHeight="1">
      <c r="A889" s="5">
        <v>12.0</v>
      </c>
      <c r="B889" s="5">
        <v>20082.0</v>
      </c>
      <c r="C889" s="5">
        <v>4177.0</v>
      </c>
      <c r="D889" s="5">
        <v>4207.311049625563</v>
      </c>
      <c r="E889" s="5">
        <v>18.76599374466874</v>
      </c>
      <c r="F889" s="5">
        <v>34.7287659526559</v>
      </c>
      <c r="H889" s="5">
        <v>4.235724599955004</v>
      </c>
      <c r="I889" s="5">
        <v>30.212532533978</v>
      </c>
      <c r="K889" s="5">
        <v>-0.7204375732633439</v>
      </c>
      <c r="L889" s="9" t="b">
        <v>0</v>
      </c>
    </row>
    <row r="890" ht="15.75" customHeight="1">
      <c r="A890" s="5">
        <v>12.0</v>
      </c>
      <c r="B890" s="5">
        <v>20083.0</v>
      </c>
      <c r="C890" s="5">
        <v>3947.0</v>
      </c>
      <c r="D890" s="5">
        <v>4350.947430904721</v>
      </c>
      <c r="E890" s="5">
        <v>-4.291949563530551</v>
      </c>
      <c r="F890" s="5">
        <v>19.838007477435912</v>
      </c>
      <c r="H890" s="5">
        <v>3.1846992210978975</v>
      </c>
      <c r="I890" s="5">
        <v>15.914726278911633</v>
      </c>
      <c r="K890" s="5">
        <v>-9.284125752370343</v>
      </c>
      <c r="L890" s="9" t="b">
        <v>0</v>
      </c>
    </row>
    <row r="891" ht="15.75" customHeight="1">
      <c r="A891" s="5">
        <v>12.0</v>
      </c>
      <c r="B891" s="5">
        <v>20084.0</v>
      </c>
      <c r="C891" s="5">
        <v>4401.0</v>
      </c>
      <c r="D891" s="5">
        <v>4264.670033060349</v>
      </c>
      <c r="E891" s="5">
        <v>0.8247422680412342</v>
      </c>
      <c r="F891" s="5">
        <v>8.826137949856115</v>
      </c>
      <c r="H891" s="5">
        <v>-3.441311504262823</v>
      </c>
      <c r="I891" s="5">
        <v>2.1621914591218623</v>
      </c>
      <c r="K891" s="5">
        <v>3.196729544907373</v>
      </c>
      <c r="L891" s="9" t="b">
        <v>0</v>
      </c>
    </row>
    <row r="892" ht="15.75" customHeight="1">
      <c r="A892" s="5">
        <v>12.0</v>
      </c>
      <c r="B892" s="5">
        <v>20091.0</v>
      </c>
      <c r="C892" s="5">
        <v>3965.0</v>
      </c>
      <c r="D892" s="5">
        <v>4121.693578020779</v>
      </c>
      <c r="E892" s="5">
        <v>-4.756185443190009</v>
      </c>
      <c r="F892" s="5">
        <v>2.6356502514973537</v>
      </c>
      <c r="H892" s="5">
        <v>-1.1000003079685405</v>
      </c>
      <c r="I892" s="5">
        <v>0.7197780022053846</v>
      </c>
      <c r="K892" s="5">
        <v>-3.801679456628171</v>
      </c>
      <c r="L892" s="9" t="b">
        <v>0</v>
      </c>
    </row>
    <row r="893" ht="15.75" customHeight="1">
      <c r="A893" s="5">
        <v>12.0</v>
      </c>
      <c r="B893" s="5">
        <v>20092.0</v>
      </c>
      <c r="C893" s="5">
        <v>3849.0</v>
      </c>
      <c r="D893" s="5">
        <v>4121.950998285651</v>
      </c>
      <c r="E893" s="5">
        <v>-7.852525736174288</v>
      </c>
      <c r="F893" s="5">
        <v>-4.018979618713403</v>
      </c>
      <c r="G893" s="5">
        <v>-38.7477455713693</v>
      </c>
      <c r="H893" s="5">
        <v>-2.028850501735757</v>
      </c>
      <c r="I893" s="5">
        <v>-0.8463657732173058</v>
      </c>
      <c r="J893" s="5">
        <v>-31.058898307195307</v>
      </c>
      <c r="K893" s="5">
        <v>-6.621888479488791</v>
      </c>
      <c r="L893" s="9" t="b">
        <v>0</v>
      </c>
    </row>
    <row r="894" ht="15.75" customHeight="1">
      <c r="A894" s="5">
        <v>12.0</v>
      </c>
      <c r="B894" s="5">
        <v>20093.0</v>
      </c>
      <c r="C894" s="5">
        <v>3969.0</v>
      </c>
      <c r="D894" s="5">
        <v>4107.7195861958935</v>
      </c>
      <c r="E894" s="5">
        <v>0.5573853559665665</v>
      </c>
      <c r="F894" s="5">
        <v>-2.8066458888391237</v>
      </c>
      <c r="G894" s="5">
        <v>-22.644653366275037</v>
      </c>
      <c r="H894" s="5">
        <v>-5.590227153313398</v>
      </c>
      <c r="I894" s="5">
        <v>-3.0400973668201297</v>
      </c>
      <c r="J894" s="5">
        <v>-18.954823645731764</v>
      </c>
      <c r="K894" s="5">
        <v>-3.3770461513990546</v>
      </c>
      <c r="L894" s="9" t="b">
        <v>0</v>
      </c>
    </row>
    <row r="895" ht="15.75" customHeight="1">
      <c r="A895" s="5">
        <v>12.0</v>
      </c>
      <c r="B895" s="5">
        <v>20094.0</v>
      </c>
      <c r="C895" s="5">
        <v>3843.0</v>
      </c>
      <c r="D895" s="5">
        <v>4163.255525760804</v>
      </c>
      <c r="E895" s="5">
        <v>-12.67893660531697</v>
      </c>
      <c r="F895" s="5">
        <v>-6.182565607178675</v>
      </c>
      <c r="G895" s="5">
        <v>-15.008703557034789</v>
      </c>
      <c r="H895" s="5">
        <v>-2.3780153332699894</v>
      </c>
      <c r="I895" s="5">
        <v>-2.7742733240719213</v>
      </c>
      <c r="J895" s="5">
        <v>-4.936464783193784</v>
      </c>
      <c r="K895" s="5">
        <v>-7.692430209464007</v>
      </c>
      <c r="L895" s="9" t="b">
        <v>0</v>
      </c>
    </row>
    <row r="896" ht="15.75" customHeight="1">
      <c r="A896" s="5">
        <v>12.0</v>
      </c>
      <c r="B896" s="5">
        <v>20101.0</v>
      </c>
      <c r="C896" s="5">
        <v>3837.0</v>
      </c>
      <c r="D896" s="5">
        <v>4074.439850508615</v>
      </c>
      <c r="E896" s="5">
        <v>-3.228247162673392</v>
      </c>
      <c r="F896" s="5">
        <v>-5.80058103704952</v>
      </c>
      <c r="G896" s="5">
        <v>-8.436231288546875</v>
      </c>
      <c r="H896" s="5">
        <v>-1.1464638653428172</v>
      </c>
      <c r="I896" s="5">
        <v>-2.7858892134154907</v>
      </c>
      <c r="J896" s="5">
        <v>-3.5056672156208752</v>
      </c>
      <c r="K896" s="5">
        <v>-5.827545852197947</v>
      </c>
      <c r="L896" s="9" t="b">
        <v>0</v>
      </c>
    </row>
    <row r="897" ht="15.75" customHeight="1">
      <c r="A897" s="5">
        <v>12.0</v>
      </c>
      <c r="B897" s="5">
        <v>20102.0</v>
      </c>
      <c r="C897" s="5">
        <v>4039.0</v>
      </c>
      <c r="D897" s="5">
        <v>4294.882426715088</v>
      </c>
      <c r="E897" s="5">
        <v>4.936347103143679</v>
      </c>
      <c r="F897" s="5">
        <v>-2.603362827220029</v>
      </c>
      <c r="G897" s="5">
        <v>1.415616791493374</v>
      </c>
      <c r="H897" s="5">
        <v>4.195378074638945</v>
      </c>
      <c r="I897" s="5">
        <v>-1.229832069321815</v>
      </c>
      <c r="J897" s="5">
        <v>-0.3834662961045092</v>
      </c>
      <c r="K897" s="5">
        <v>-5.957844739205065</v>
      </c>
      <c r="L897" s="9" t="b">
        <v>0</v>
      </c>
    </row>
    <row r="898" ht="15.75" customHeight="1">
      <c r="A898" s="5">
        <v>12.0</v>
      </c>
      <c r="B898" s="5">
        <v>20103.0</v>
      </c>
      <c r="C898" s="5">
        <v>4191.0</v>
      </c>
      <c r="D898" s="5">
        <v>4340.85129960945</v>
      </c>
      <c r="E898" s="5">
        <v>5.593348450491309</v>
      </c>
      <c r="F898" s="5">
        <v>-1.3443720535888435</v>
      </c>
      <c r="G898" s="5">
        <v>1.4622738352502802</v>
      </c>
      <c r="H898" s="5">
        <v>5.675453460771807</v>
      </c>
      <c r="I898" s="5">
        <v>1.5865880841994862</v>
      </c>
      <c r="J898" s="5">
        <v>4.626685451019616</v>
      </c>
      <c r="K898" s="5">
        <v>-3.452117782125641</v>
      </c>
      <c r="L898" s="9" t="b">
        <v>0</v>
      </c>
    </row>
    <row r="899" ht="15.75" customHeight="1">
      <c r="A899" s="5">
        <v>12.0</v>
      </c>
      <c r="B899" s="5">
        <v>20104.0</v>
      </c>
      <c r="C899" s="5">
        <v>4572.0</v>
      </c>
      <c r="D899" s="5">
        <v>4217.946107482561</v>
      </c>
      <c r="E899" s="5">
        <v>18.969555035128806</v>
      </c>
      <c r="F899" s="5">
        <v>6.567750856522601</v>
      </c>
      <c r="G899" s="5">
        <v>12.750316463701274</v>
      </c>
      <c r="H899" s="5">
        <v>1.3136494117008013</v>
      </c>
      <c r="I899" s="5">
        <v>2.509504270442184</v>
      </c>
      <c r="J899" s="5">
        <v>5.283777594514105</v>
      </c>
      <c r="K899" s="5">
        <v>8.39398805711038</v>
      </c>
      <c r="L899" s="9" t="b">
        <v>0</v>
      </c>
    </row>
    <row r="900" ht="15.75" customHeight="1">
      <c r="A900" s="5">
        <v>12.0</v>
      </c>
      <c r="B900" s="5">
        <v>20111.0</v>
      </c>
      <c r="C900" s="5">
        <v>4264.0</v>
      </c>
      <c r="D900" s="5">
        <v>4430.549826469257</v>
      </c>
      <c r="E900" s="5">
        <v>11.128485796194942</v>
      </c>
      <c r="F900" s="5">
        <v>10.156934096239684</v>
      </c>
      <c r="G900" s="5">
        <v>15.957515133289204</v>
      </c>
      <c r="H900" s="5">
        <v>8.740096529249008</v>
      </c>
      <c r="I900" s="5">
        <v>4.98114436909014</v>
      </c>
      <c r="J900" s="5">
        <v>7.767033582505631</v>
      </c>
      <c r="K900" s="5">
        <v>-3.759123201238923</v>
      </c>
      <c r="L900" s="9" t="b">
        <v>0</v>
      </c>
    </row>
    <row r="901" ht="15.75" customHeight="1">
      <c r="A901" s="5">
        <v>12.0</v>
      </c>
      <c r="B901" s="5">
        <v>20112.0</v>
      </c>
      <c r="C901" s="5">
        <v>4202.0</v>
      </c>
      <c r="D901" s="5">
        <v>4548.696354335574</v>
      </c>
      <c r="E901" s="5">
        <v>4.0356523892052465</v>
      </c>
      <c r="F901" s="5">
        <v>9.931760417755077</v>
      </c>
      <c r="G901" s="5">
        <v>12.535123244975107</v>
      </c>
      <c r="H901" s="5">
        <v>5.9096827899574045</v>
      </c>
      <c r="I901" s="5">
        <v>5.409720547919755</v>
      </c>
      <c r="J901" s="5">
        <v>6.63955261724157</v>
      </c>
      <c r="K901" s="5">
        <v>-7.621883883392688</v>
      </c>
      <c r="L901" s="9" t="b">
        <v>0</v>
      </c>
    </row>
    <row r="902" ht="15.75" customHeight="1">
      <c r="A902" s="5">
        <v>12.0</v>
      </c>
      <c r="B902" s="5">
        <v>20113.0</v>
      </c>
      <c r="C902" s="5">
        <v>4178.0</v>
      </c>
      <c r="D902" s="5">
        <v>4538.672750506366</v>
      </c>
      <c r="E902" s="5">
        <v>-0.31018849916487623</v>
      </c>
      <c r="F902" s="5">
        <v>8.45587618034103</v>
      </c>
      <c r="G902" s="5">
        <v>9.800248233929873</v>
      </c>
      <c r="H902" s="5">
        <v>4.55720404232034</v>
      </c>
      <c r="I902" s="5">
        <v>5.1301581933068885</v>
      </c>
      <c r="J902" s="5">
        <v>3.543570109107402</v>
      </c>
      <c r="K902" s="5">
        <v>-7.946656882590341</v>
      </c>
      <c r="L902" s="9" t="b">
        <v>0</v>
      </c>
    </row>
    <row r="903" ht="15.75" customHeight="1">
      <c r="A903" s="5">
        <v>12.0</v>
      </c>
      <c r="B903" s="5">
        <v>20114.0</v>
      </c>
      <c r="C903" s="5">
        <v>4239.0</v>
      </c>
      <c r="D903" s="5">
        <v>4566.163266373363</v>
      </c>
      <c r="E903" s="5">
        <v>-7.283464566929132</v>
      </c>
      <c r="F903" s="5">
        <v>1.8926212798265452</v>
      </c>
      <c r="G903" s="5">
        <v>-4.6751295766960554</v>
      </c>
      <c r="H903" s="5">
        <v>8.255609484271753</v>
      </c>
      <c r="I903" s="5">
        <v>6.865648211449626</v>
      </c>
      <c r="J903" s="5">
        <v>4.356143941007442</v>
      </c>
      <c r="K903" s="5">
        <v>-7.164948936072745</v>
      </c>
      <c r="L903" s="9" t="b">
        <v>0</v>
      </c>
    </row>
    <row r="904" ht="15.75" customHeight="1">
      <c r="A904" s="5">
        <v>12.0</v>
      </c>
      <c r="B904" s="5">
        <v>20121.0</v>
      </c>
      <c r="C904" s="5">
        <v>4138.0</v>
      </c>
      <c r="D904" s="5">
        <v>4424.539504335832</v>
      </c>
      <c r="E904" s="5">
        <v>-2.954971857410882</v>
      </c>
      <c r="F904" s="5">
        <v>-1.628243133574911</v>
      </c>
      <c r="G904" s="5">
        <v>-11.785177229814595</v>
      </c>
      <c r="H904" s="5">
        <v>-0.13565634895961187</v>
      </c>
      <c r="I904" s="5">
        <v>4.646709991897471</v>
      </c>
      <c r="J904" s="5">
        <v>-0.334434377192669</v>
      </c>
      <c r="K904" s="5">
        <v>-6.47614297612299</v>
      </c>
      <c r="L904" s="9" t="b">
        <v>0</v>
      </c>
    </row>
    <row r="905" ht="15.75" customHeight="1">
      <c r="A905" s="5">
        <v>12.0</v>
      </c>
      <c r="B905" s="5">
        <v>20122.0</v>
      </c>
      <c r="C905" s="5">
        <v>4135.0</v>
      </c>
      <c r="D905" s="5">
        <v>4327.838582863051</v>
      </c>
      <c r="E905" s="5">
        <v>-1.5944788196097126</v>
      </c>
      <c r="F905" s="5">
        <v>-3.0357759357786507</v>
      </c>
      <c r="G905" s="5">
        <v>-12.967536353533728</v>
      </c>
      <c r="H905" s="5">
        <v>-4.855408105269843</v>
      </c>
      <c r="I905" s="5">
        <v>1.9554372680906593</v>
      </c>
      <c r="J905" s="5">
        <v>-3.4542832798290957</v>
      </c>
      <c r="K905" s="5">
        <v>-4.455771146979326</v>
      </c>
      <c r="L905" s="9" t="b">
        <v>0</v>
      </c>
    </row>
    <row r="906" ht="15.75" customHeight="1">
      <c r="A906" s="5">
        <v>12.0</v>
      </c>
      <c r="B906" s="5">
        <v>20123.0</v>
      </c>
      <c r="C906" s="5">
        <v>4496.0</v>
      </c>
      <c r="D906" s="5">
        <v>4452.115284262109</v>
      </c>
      <c r="E906" s="5">
        <v>7.611297271421735</v>
      </c>
      <c r="F906" s="5">
        <v>-1.0554044931319977</v>
      </c>
      <c r="G906" s="5">
        <v>-9.511280673473028</v>
      </c>
      <c r="H906" s="5">
        <v>-1.907109655231276</v>
      </c>
      <c r="I906" s="5">
        <v>0.3393588437027554</v>
      </c>
      <c r="J906" s="5">
        <v>-4.790799349604133</v>
      </c>
      <c r="K906" s="5">
        <v>0.9857048377210909</v>
      </c>
      <c r="L906" s="9" t="b">
        <v>0</v>
      </c>
    </row>
    <row r="907" ht="15.75" customHeight="1">
      <c r="A907" s="5">
        <v>12.0</v>
      </c>
      <c r="B907" s="5">
        <v>20124.0</v>
      </c>
      <c r="C907" s="5">
        <v>4407.0</v>
      </c>
      <c r="D907" s="5">
        <v>4428.65247755112</v>
      </c>
      <c r="E907" s="5">
        <v>3.963198867657458</v>
      </c>
      <c r="F907" s="5">
        <v>1.7562613655146497</v>
      </c>
      <c r="G907" s="5">
        <v>-0.13635991431189542</v>
      </c>
      <c r="H907" s="5">
        <v>-3.011517127188923</v>
      </c>
      <c r="I907" s="5">
        <v>-2.4774228091624133</v>
      </c>
      <c r="J907" s="5">
        <v>-9.34307102061204</v>
      </c>
      <c r="K907" s="5">
        <v>-0.48891796456995706</v>
      </c>
      <c r="L907" s="9" t="b">
        <v>0</v>
      </c>
    </row>
    <row r="908" ht="15.75" customHeight="1">
      <c r="A908" s="5">
        <v>12.0</v>
      </c>
      <c r="B908" s="5">
        <v>20131.0</v>
      </c>
      <c r="C908" s="5">
        <v>4467.0</v>
      </c>
      <c r="D908" s="5">
        <v>4279.1466151484365</v>
      </c>
      <c r="E908" s="5">
        <v>7.950700821652967</v>
      </c>
      <c r="F908" s="5">
        <v>4.482679535280612</v>
      </c>
      <c r="G908" s="5">
        <v>6.1109226688555225</v>
      </c>
      <c r="H908" s="5">
        <v>-3.2860569793741856</v>
      </c>
      <c r="I908" s="5">
        <v>-3.2650229667660566</v>
      </c>
      <c r="J908" s="5">
        <v>-7.911732958663528</v>
      </c>
      <c r="K908" s="5">
        <v>4.389973089179766</v>
      </c>
      <c r="L908" s="9" t="b">
        <v>0</v>
      </c>
    </row>
    <row r="909" ht="15.75" customHeight="1">
      <c r="A909" s="5">
        <v>12.0</v>
      </c>
      <c r="B909" s="5">
        <v>20132.0</v>
      </c>
      <c r="C909" s="5">
        <v>4383.0</v>
      </c>
      <c r="D909" s="5">
        <v>4394.694504934796</v>
      </c>
      <c r="E909" s="5">
        <v>5.997581620314385</v>
      </c>
      <c r="F909" s="5">
        <v>6.380694645261636</v>
      </c>
      <c r="G909" s="5">
        <v>9.416470581040286</v>
      </c>
      <c r="H909" s="5">
        <v>1.5447877916813901</v>
      </c>
      <c r="I909" s="5">
        <v>-1.6649739925282485</v>
      </c>
      <c r="J909" s="5">
        <v>-3.6204112606189076</v>
      </c>
      <c r="K909" s="5">
        <v>-0.2661050710502044</v>
      </c>
      <c r="L909" s="9" t="b">
        <v>0</v>
      </c>
    </row>
    <row r="910" ht="15.75" customHeight="1">
      <c r="A910" s="5">
        <v>12.0</v>
      </c>
      <c r="B910" s="5">
        <v>20133.0</v>
      </c>
      <c r="C910" s="5">
        <v>4680.0</v>
      </c>
      <c r="D910" s="5">
        <v>4371.948951562536</v>
      </c>
      <c r="E910" s="5">
        <v>4.0925266903914626</v>
      </c>
      <c r="F910" s="5">
        <v>5.5010020000040685</v>
      </c>
      <c r="G910" s="5">
        <v>6.556406493136066</v>
      </c>
      <c r="H910" s="5">
        <v>-1.800634700160486</v>
      </c>
      <c r="I910" s="5">
        <v>-1.638355253760551</v>
      </c>
      <c r="J910" s="5">
        <v>-1.9777140974633065</v>
      </c>
      <c r="K910" s="5">
        <v>7.046080634755958</v>
      </c>
      <c r="L910" s="9" t="b">
        <v>0</v>
      </c>
    </row>
    <row r="911" ht="15.75" customHeight="1">
      <c r="A911" s="5">
        <v>12.0</v>
      </c>
      <c r="B911" s="5">
        <v>20134.0</v>
      </c>
      <c r="C911" s="5">
        <v>4821.0</v>
      </c>
      <c r="D911" s="5">
        <v>4421.955509519069</v>
      </c>
      <c r="E911" s="5">
        <v>9.394145677331522</v>
      </c>
      <c r="F911" s="5">
        <v>6.858738702422585</v>
      </c>
      <c r="G911" s="5">
        <v>5.102477336907935</v>
      </c>
      <c r="H911" s="5">
        <v>-0.15121909126981636</v>
      </c>
      <c r="I911" s="5">
        <v>-0.9232807447807744</v>
      </c>
      <c r="J911" s="5">
        <v>1.5541420643816388</v>
      </c>
      <c r="K911" s="5">
        <v>9.024163396079278</v>
      </c>
      <c r="L911" s="9" t="b">
        <v>0</v>
      </c>
    </row>
    <row r="912" ht="15.75" customHeight="1">
      <c r="A912" s="5">
        <v>12.0</v>
      </c>
      <c r="B912" s="5">
        <v>20141.0</v>
      </c>
      <c r="C912" s="5">
        <v>4515.0</v>
      </c>
      <c r="D912" s="5">
        <v>4316.2742751479545</v>
      </c>
      <c r="E912" s="5">
        <v>1.074546675621213</v>
      </c>
      <c r="F912" s="5">
        <v>5.139700165914646</v>
      </c>
      <c r="G912" s="5">
        <v>0.657020630634034</v>
      </c>
      <c r="H912" s="5">
        <v>0.8676416897725359</v>
      </c>
      <c r="I912" s="5">
        <v>0.115143922505906</v>
      </c>
      <c r="J912" s="5">
        <v>3.3801668892719627</v>
      </c>
      <c r="K912" s="5">
        <v>4.604103265546855</v>
      </c>
      <c r="L912" s="9" t="b">
        <v>0</v>
      </c>
    </row>
    <row r="913" ht="15.75" customHeight="1">
      <c r="A913" s="5">
        <v>12.0</v>
      </c>
      <c r="B913" s="5">
        <v>20142.0</v>
      </c>
      <c r="C913" s="5">
        <v>4828.0</v>
      </c>
      <c r="D913" s="5">
        <v>4398.670098898881</v>
      </c>
      <c r="E913" s="5">
        <v>10.152863335614871</v>
      </c>
      <c r="F913" s="5">
        <v>6.1785205947397674</v>
      </c>
      <c r="G913" s="5">
        <v>-0.20217405052186876</v>
      </c>
      <c r="H913" s="5">
        <v>0.09046348863661624</v>
      </c>
      <c r="I913" s="5">
        <v>-0.24843715325528748</v>
      </c>
      <c r="J913" s="5">
        <v>1.4165368392729611</v>
      </c>
      <c r="K913" s="5">
        <v>9.760447850103438</v>
      </c>
      <c r="L913" s="9" t="b">
        <v>0</v>
      </c>
    </row>
    <row r="914" ht="15.75" customHeight="1">
      <c r="A914" s="5">
        <v>12.0</v>
      </c>
      <c r="B914" s="5">
        <v>20143.0</v>
      </c>
      <c r="C914" s="5">
        <v>4649.0</v>
      </c>
      <c r="D914" s="5">
        <v>4449.10571127838</v>
      </c>
      <c r="E914" s="5">
        <v>-0.66239316239316</v>
      </c>
      <c r="F914" s="5">
        <v>4.989790631543611</v>
      </c>
      <c r="G914" s="5">
        <v>-0.5112113684604571</v>
      </c>
      <c r="H914" s="5">
        <v>1.7648138294997118</v>
      </c>
      <c r="I914" s="5">
        <v>0.642924979159762</v>
      </c>
      <c r="J914" s="5">
        <v>2.281280232920313</v>
      </c>
      <c r="K914" s="5">
        <v>4.492909400082179</v>
      </c>
      <c r="L914" s="9" t="b">
        <v>0</v>
      </c>
    </row>
    <row r="915" ht="15.75" customHeight="1">
      <c r="A915" s="5">
        <v>12.0</v>
      </c>
      <c r="B915" s="5">
        <v>20144.0</v>
      </c>
      <c r="C915" s="5">
        <v>4709.0</v>
      </c>
      <c r="D915" s="5">
        <v>4441.34786284746</v>
      </c>
      <c r="E915" s="5">
        <v>-2.3231694669155756</v>
      </c>
      <c r="F915" s="5">
        <v>2.0604618454818375</v>
      </c>
      <c r="G915" s="5">
        <v>-4.798276856940747</v>
      </c>
      <c r="H915" s="5">
        <v>0.4385470022628235</v>
      </c>
      <c r="I915" s="5">
        <v>0.790366502542922</v>
      </c>
      <c r="J915" s="5">
        <v>1.7136472473236963</v>
      </c>
      <c r="K915" s="5">
        <v>6.026371845166412</v>
      </c>
      <c r="L915" s="9" t="b">
        <v>0</v>
      </c>
    </row>
    <row r="916" ht="15.75" customHeight="1">
      <c r="A916" s="5">
        <v>12.0</v>
      </c>
      <c r="B916" s="5">
        <v>20151.0</v>
      </c>
      <c r="C916" s="5">
        <v>4857.0</v>
      </c>
      <c r="D916" s="5">
        <v>4528.745862712761</v>
      </c>
      <c r="E916" s="5">
        <v>7.57475083056478</v>
      </c>
      <c r="F916" s="5">
        <v>3.6855128842177294</v>
      </c>
      <c r="G916" s="5">
        <v>-1.4541872816969166</v>
      </c>
      <c r="H916" s="5">
        <v>4.922569188620973</v>
      </c>
      <c r="I916" s="5">
        <v>1.8040983772550314</v>
      </c>
      <c r="J916" s="5">
        <v>1.6889544547491253</v>
      </c>
      <c r="K916" s="5">
        <v>7.248234880873006</v>
      </c>
      <c r="L916" s="9" t="b">
        <v>0</v>
      </c>
    </row>
    <row r="917" ht="15.75" customHeight="1">
      <c r="A917" s="5">
        <v>12.0</v>
      </c>
      <c r="B917" s="5">
        <v>20152.0</v>
      </c>
      <c r="C917" s="5">
        <v>4990.0</v>
      </c>
      <c r="D917" s="5">
        <v>4455.127635454477</v>
      </c>
      <c r="E917" s="5">
        <v>3.3554266777133357</v>
      </c>
      <c r="F917" s="5">
        <v>1.9861537197423453</v>
      </c>
      <c r="G917" s="5">
        <v>-4.192366874997422</v>
      </c>
      <c r="H917" s="5">
        <v>1.2835137731681323</v>
      </c>
      <c r="I917" s="5">
        <v>2.1023609483879104</v>
      </c>
      <c r="J917" s="5">
        <v>2.350798101643198</v>
      </c>
      <c r="K917" s="5">
        <v>12.005769717772852</v>
      </c>
      <c r="L917" s="9" t="b">
        <v>0</v>
      </c>
    </row>
    <row r="918" ht="15.75" customHeight="1">
      <c r="A918" s="5">
        <v>12.0</v>
      </c>
      <c r="B918" s="5">
        <v>20153.0</v>
      </c>
      <c r="C918" s="5">
        <v>4596.0</v>
      </c>
      <c r="D918" s="5">
        <v>4365.625111648274</v>
      </c>
      <c r="E918" s="5">
        <v>-1.14003011400301</v>
      </c>
      <c r="F918" s="5">
        <v>1.8667444818398826</v>
      </c>
      <c r="G918" s="5">
        <v>-3.123046149703729</v>
      </c>
      <c r="H918" s="5">
        <v>-1.8763456084777919</v>
      </c>
      <c r="I918" s="5">
        <v>1.1920710888935342</v>
      </c>
      <c r="J918" s="5">
        <v>0.5491461097337722</v>
      </c>
      <c r="K918" s="5">
        <v>5.277019498010604</v>
      </c>
      <c r="L918" s="9" t="b">
        <v>0</v>
      </c>
    </row>
    <row r="919" ht="15.75" customHeight="1">
      <c r="A919" s="5">
        <v>12.0</v>
      </c>
      <c r="B919" s="5">
        <v>20154.0</v>
      </c>
      <c r="C919" s="5">
        <v>4868.0</v>
      </c>
      <c r="D919" s="5">
        <v>4410.120370129997</v>
      </c>
      <c r="E919" s="5">
        <v>3.3765130600976745</v>
      </c>
      <c r="F919" s="5">
        <v>3.2916651135931954</v>
      </c>
      <c r="G919" s="5">
        <v>1.2312032681113578</v>
      </c>
      <c r="H919" s="5">
        <v>-0.7031084635068963</v>
      </c>
      <c r="I919" s="5">
        <v>0.9066572224511044</v>
      </c>
      <c r="J919" s="5">
        <v>0.1162907199081824</v>
      </c>
      <c r="K919" s="5">
        <v>10.38247465922355</v>
      </c>
      <c r="L919" s="9" t="b">
        <v>0</v>
      </c>
    </row>
    <row r="920" ht="15.75" customHeight="1">
      <c r="A920" s="5">
        <v>12.0</v>
      </c>
      <c r="B920" s="5">
        <v>20161.0</v>
      </c>
      <c r="C920" s="5">
        <v>4806.0</v>
      </c>
      <c r="D920" s="5">
        <v>4580.499573184347</v>
      </c>
      <c r="E920" s="5">
        <v>-1.050030883261277</v>
      </c>
      <c r="F920" s="5">
        <v>1.135469685136681</v>
      </c>
      <c r="G920" s="5">
        <v>-2.550043199081048</v>
      </c>
      <c r="H920" s="5">
        <v>1.1427823958438221</v>
      </c>
      <c r="I920" s="5">
        <v>-0.03828947574318342</v>
      </c>
      <c r="J920" s="5">
        <v>-1.8423878529982147</v>
      </c>
      <c r="K920" s="5">
        <v>4.923053112717257</v>
      </c>
      <c r="L920" s="9" t="b">
        <v>0</v>
      </c>
    </row>
    <row r="921" ht="15.75" customHeight="1">
      <c r="A921" s="5">
        <v>12.0</v>
      </c>
      <c r="B921" s="5">
        <v>20162.0</v>
      </c>
      <c r="C921" s="5">
        <v>4852.0</v>
      </c>
      <c r="D921" s="5">
        <v>4563.938826281955</v>
      </c>
      <c r="E921" s="5">
        <v>-2.765531062124249</v>
      </c>
      <c r="F921" s="5">
        <v>-0.3947697498227152</v>
      </c>
      <c r="G921" s="5">
        <v>-2.3809234695650607</v>
      </c>
      <c r="H921" s="5">
        <v>2.442380998504823</v>
      </c>
      <c r="I921" s="5">
        <v>0.2514273305909892</v>
      </c>
      <c r="J921" s="5">
        <v>-1.8509336177969211</v>
      </c>
      <c r="K921" s="5">
        <v>6.311679114961244</v>
      </c>
      <c r="L921" s="9" t="b">
        <v>0</v>
      </c>
    </row>
    <row r="922" ht="15.75" customHeight="1">
      <c r="A922" s="5">
        <v>12.0</v>
      </c>
      <c r="B922" s="5">
        <v>20163.0</v>
      </c>
      <c r="C922" s="5">
        <v>5019.0</v>
      </c>
      <c r="D922" s="5">
        <v>4497.260966223915</v>
      </c>
      <c r="E922" s="5">
        <v>9.203655352480421</v>
      </c>
      <c r="F922" s="5">
        <v>2.191151616798143</v>
      </c>
      <c r="G922" s="5">
        <v>0.32440713495826023</v>
      </c>
      <c r="H922" s="5">
        <v>3.0152807721490538</v>
      </c>
      <c r="I922" s="5">
        <v>1.4743339257477006</v>
      </c>
      <c r="J922" s="5">
        <v>0.2822628368541664</v>
      </c>
      <c r="K922" s="5">
        <v>11.601262139211798</v>
      </c>
      <c r="L922" s="9" t="b">
        <v>0</v>
      </c>
    </row>
    <row r="923" ht="15.75" customHeight="1">
      <c r="A923" s="5">
        <v>12.0</v>
      </c>
      <c r="B923" s="5">
        <v>20164.0</v>
      </c>
      <c r="C923" s="5">
        <v>5036.0</v>
      </c>
      <c r="D923" s="5">
        <v>4526.09409611398</v>
      </c>
      <c r="E923" s="5">
        <v>3.4511092851273517</v>
      </c>
      <c r="F923" s="5">
        <v>2.209800673055562</v>
      </c>
      <c r="G923" s="5">
        <v>-1.0818644405376334</v>
      </c>
      <c r="H923" s="5">
        <v>2.629717927190378</v>
      </c>
      <c r="I923" s="5">
        <v>2.307540523422019</v>
      </c>
      <c r="J923" s="5">
        <v>1.4008833009709147</v>
      </c>
      <c r="K923" s="5">
        <v>11.265914783429176</v>
      </c>
      <c r="L923" s="9" t="b">
        <v>0</v>
      </c>
    </row>
    <row r="924" ht="15.75" customHeight="1">
      <c r="A924" s="5">
        <v>12.0</v>
      </c>
      <c r="B924" s="5">
        <v>20171.0</v>
      </c>
      <c r="C924" s="5">
        <v>4801.0</v>
      </c>
      <c r="D924" s="5">
        <v>4748.592122171956</v>
      </c>
      <c r="E924" s="5">
        <v>-0.10403662089055743</v>
      </c>
      <c r="F924" s="5">
        <v>2.4462992386482423</v>
      </c>
      <c r="G924" s="5">
        <v>1.3108295535115613</v>
      </c>
      <c r="H924" s="5">
        <v>3.6697427060505383</v>
      </c>
      <c r="I924" s="5">
        <v>2.9392806009736985</v>
      </c>
      <c r="J924" s="5">
        <v>2.977570076716882</v>
      </c>
      <c r="K924" s="5">
        <v>1.1036508607118023</v>
      </c>
      <c r="L924" s="9" t="b">
        <v>0</v>
      </c>
    </row>
    <row r="925" ht="15.75" customHeight="1">
      <c r="A925" s="5">
        <v>12.0</v>
      </c>
      <c r="B925" s="5">
        <v>20172.0</v>
      </c>
      <c r="C925" s="5">
        <v>4894.0</v>
      </c>
      <c r="D925" s="5">
        <v>4818.071216839442</v>
      </c>
      <c r="E925" s="5">
        <v>0.8656224237427956</v>
      </c>
      <c r="F925" s="5">
        <v>3.3540876101150037</v>
      </c>
      <c r="G925" s="5">
        <v>3.748857359937719</v>
      </c>
      <c r="H925" s="5">
        <v>5.568268993748071</v>
      </c>
      <c r="I925" s="5">
        <v>3.72075259978451</v>
      </c>
      <c r="J925" s="5">
        <v>3.469325269193521</v>
      </c>
      <c r="K925" s="5">
        <v>1.575916580377279</v>
      </c>
      <c r="L925" s="9" t="b">
        <v>0</v>
      </c>
    </row>
    <row r="926" ht="15.75" customHeight="1">
      <c r="A926" s="5">
        <v>12.0</v>
      </c>
      <c r="B926" s="5">
        <v>20173.0</v>
      </c>
      <c r="C926" s="5">
        <v>4962.0</v>
      </c>
      <c r="D926" s="5">
        <v>4845.843256827515</v>
      </c>
      <c r="E926" s="5">
        <v>-1.1356843992827215</v>
      </c>
      <c r="F926" s="5">
        <v>0.7692526721742178</v>
      </c>
      <c r="G926" s="5">
        <v>-1.421898944623925</v>
      </c>
      <c r="H926" s="5">
        <v>7.750990952528247</v>
      </c>
      <c r="I926" s="5">
        <v>4.9046801448793085</v>
      </c>
      <c r="J926" s="5">
        <v>3.430346219131608</v>
      </c>
      <c r="K926" s="5">
        <v>2.3970388024587175</v>
      </c>
      <c r="L926" s="9" t="b">
        <v>0</v>
      </c>
    </row>
    <row r="927" ht="15.75" customHeight="1">
      <c r="A927" s="5">
        <v>12.0</v>
      </c>
      <c r="B927" s="5">
        <v>20174.0</v>
      </c>
      <c r="C927" s="5">
        <v>4842.0</v>
      </c>
      <c r="D927" s="5">
        <v>4813.278137138576</v>
      </c>
      <c r="E927" s="5">
        <v>-3.852263701350278</v>
      </c>
      <c r="F927" s="5">
        <v>-1.0565905744451896</v>
      </c>
      <c r="G927" s="5">
        <v>-3.2663912475007515</v>
      </c>
      <c r="H927" s="5">
        <v>6.345074470969725</v>
      </c>
      <c r="I927" s="5">
        <v>5.833519280824145</v>
      </c>
      <c r="J927" s="5">
        <v>3.525978757402126</v>
      </c>
      <c r="K927" s="5">
        <v>0.5967214451998881</v>
      </c>
      <c r="L927" s="9" t="b">
        <v>0</v>
      </c>
    </row>
    <row r="928" ht="15.75" customHeight="1">
      <c r="A928" s="5">
        <v>12.0</v>
      </c>
      <c r="B928" s="5">
        <v>20181.0</v>
      </c>
      <c r="C928" s="5">
        <v>4929.0</v>
      </c>
      <c r="D928" s="5">
        <v>4925.788718604391</v>
      </c>
      <c r="E928" s="5">
        <v>2.6661112268277387</v>
      </c>
      <c r="F928" s="5">
        <v>-0.36405361251561563</v>
      </c>
      <c r="G928" s="5">
        <v>-2.810352851163858</v>
      </c>
      <c r="H928" s="5">
        <v>3.73156067890259</v>
      </c>
      <c r="I928" s="5">
        <v>5.848973774037159</v>
      </c>
      <c r="J928" s="5">
        <v>2.9096931730634603</v>
      </c>
      <c r="K928" s="5">
        <v>0.06519324272842297</v>
      </c>
      <c r="L928" s="9" t="b">
        <v>0</v>
      </c>
    </row>
    <row r="929" ht="15.75" customHeight="1">
      <c r="A929" s="5">
        <v>12.0</v>
      </c>
      <c r="B929" s="5">
        <v>20182.0</v>
      </c>
      <c r="C929" s="5">
        <v>5170.0</v>
      </c>
      <c r="D929" s="5">
        <v>4989.822721491504</v>
      </c>
      <c r="E929" s="5">
        <v>5.63955864323662</v>
      </c>
      <c r="F929" s="5">
        <v>0.8294304423578404</v>
      </c>
      <c r="G929" s="5">
        <v>-2.524657167757163</v>
      </c>
      <c r="H929" s="5">
        <v>3.564735698629362</v>
      </c>
      <c r="I929" s="5">
        <v>5.348090450257482</v>
      </c>
      <c r="J929" s="5">
        <v>1.6273378504729719</v>
      </c>
      <c r="K929" s="5">
        <v>3.610895387775215</v>
      </c>
      <c r="L929" s="9" t="b">
        <v>0</v>
      </c>
    </row>
    <row r="930" ht="15.75" customHeight="1">
      <c r="A930" s="5">
        <v>12.0</v>
      </c>
      <c r="B930" s="5">
        <v>20183.0</v>
      </c>
      <c r="C930" s="5">
        <v>5318.0</v>
      </c>
      <c r="D930" s="5">
        <v>5089.245582811458</v>
      </c>
      <c r="E930" s="5">
        <v>7.174526400644909</v>
      </c>
      <c r="F930" s="5">
        <v>2.9069831423397483</v>
      </c>
      <c r="G930" s="5">
        <v>2.1377304701655304</v>
      </c>
      <c r="H930" s="5">
        <v>5.022909596611558</v>
      </c>
      <c r="I930" s="5">
        <v>4.666070111278309</v>
      </c>
      <c r="J930" s="5">
        <v>-0.23861003360099975</v>
      </c>
      <c r="K930" s="5">
        <v>4.494859080118729</v>
      </c>
      <c r="L930" s="9" t="b">
        <v>0</v>
      </c>
    </row>
    <row r="931" ht="15.75" customHeight="1">
      <c r="A931" s="5">
        <v>12.0</v>
      </c>
      <c r="B931" s="5">
        <v>20184.0</v>
      </c>
      <c r="C931" s="5">
        <v>5227.0</v>
      </c>
      <c r="D931" s="5">
        <v>5156.131870002852</v>
      </c>
      <c r="E931" s="5">
        <v>7.95125980999587</v>
      </c>
      <c r="F931" s="5">
        <v>5.857864020176285</v>
      </c>
      <c r="G931" s="5">
        <v>6.914454594621475</v>
      </c>
      <c r="H931" s="5">
        <v>7.123081673150455</v>
      </c>
      <c r="I931" s="5">
        <v>4.860571911823492</v>
      </c>
      <c r="J931" s="5">
        <v>-0.9729473690006536</v>
      </c>
      <c r="K931" s="5">
        <v>1.3744437067143567</v>
      </c>
      <c r="L931" s="9" t="b">
        <v>0</v>
      </c>
    </row>
    <row r="932" ht="15.75" customHeight="1">
      <c r="A932" s="5">
        <v>12.0</v>
      </c>
      <c r="B932" s="5">
        <v>20191.0</v>
      </c>
      <c r="C932" s="5">
        <v>5117.0</v>
      </c>
      <c r="D932" s="5">
        <v>5317.755271124622</v>
      </c>
      <c r="E932" s="5">
        <v>3.814161087441681</v>
      </c>
      <c r="F932" s="5">
        <v>6.144876485329771</v>
      </c>
      <c r="G932" s="5">
        <v>6.508930097845386</v>
      </c>
      <c r="H932" s="5">
        <v>7.957437375253185</v>
      </c>
      <c r="I932" s="5">
        <v>5.917041085911141</v>
      </c>
      <c r="J932" s="5">
        <v>0.06806731187398185</v>
      </c>
      <c r="K932" s="5">
        <v>-3.7751882305438467</v>
      </c>
      <c r="L932" s="9" t="b">
        <v>0</v>
      </c>
    </row>
    <row r="933" ht="15.75" customHeight="1">
      <c r="A933" s="5">
        <v>12.0</v>
      </c>
      <c r="B933" s="5">
        <v>20192.0</v>
      </c>
      <c r="C933" s="5">
        <v>5523.0</v>
      </c>
      <c r="D933" s="5">
        <v>5419.005298965656</v>
      </c>
      <c r="E933" s="5">
        <v>6.827852998065764</v>
      </c>
      <c r="F933" s="5">
        <v>6.441950074037058</v>
      </c>
      <c r="G933" s="5">
        <v>5.612519631679217</v>
      </c>
      <c r="H933" s="5">
        <v>8.601158827259203</v>
      </c>
      <c r="I933" s="5">
        <v>7.1761468680686</v>
      </c>
      <c r="J933" s="5">
        <v>1.8280564178111183</v>
      </c>
      <c r="K933" s="5">
        <v>1.9190736177023826</v>
      </c>
      <c r="L933" s="9" t="b">
        <v>0</v>
      </c>
    </row>
    <row r="934" ht="15.75" customHeight="1">
      <c r="A934" s="5">
        <v>12.0</v>
      </c>
      <c r="B934" s="5">
        <v>20193.0</v>
      </c>
      <c r="C934" s="5">
        <v>6105.0</v>
      </c>
      <c r="D934" s="5">
        <v>5510.9976846854</v>
      </c>
      <c r="E934" s="5">
        <v>14.798796540052649</v>
      </c>
      <c r="F934" s="5">
        <v>8.348017608888991</v>
      </c>
      <c r="G934" s="5">
        <v>5.441034466549243</v>
      </c>
      <c r="H934" s="5">
        <v>8.287124191812968</v>
      </c>
      <c r="I934" s="5">
        <v>7.9922005168689525</v>
      </c>
      <c r="J934" s="5">
        <v>3.3261304055906438</v>
      </c>
      <c r="K934" s="5">
        <v>10.778489654700518</v>
      </c>
      <c r="L934" s="9" t="b">
        <v>0</v>
      </c>
    </row>
    <row r="935" ht="15.75" customHeight="1">
      <c r="A935" s="5">
        <v>12.0</v>
      </c>
      <c r="B935" s="5">
        <v>20194.0</v>
      </c>
      <c r="C935" s="5">
        <v>5761.0</v>
      </c>
      <c r="D935" s="5">
        <v>5662.223177630228</v>
      </c>
      <c r="E935" s="5">
        <v>10.216185192270899</v>
      </c>
      <c r="F935" s="5">
        <v>8.914248954457749</v>
      </c>
      <c r="G935" s="5">
        <v>3.056384934281464</v>
      </c>
      <c r="H935" s="5">
        <v>9.815329017702101</v>
      </c>
      <c r="I935" s="5">
        <v>8.665262353006863</v>
      </c>
      <c r="J935" s="5">
        <v>3.8046904411833715</v>
      </c>
      <c r="K935" s="5">
        <v>1.744488326776139</v>
      </c>
      <c r="L935" s="9" t="b">
        <v>0</v>
      </c>
    </row>
    <row r="936" ht="15.75" customHeight="1">
      <c r="A936" s="5">
        <v>12.0</v>
      </c>
      <c r="B936" s="5">
        <v>20201.0</v>
      </c>
      <c r="C936" s="5">
        <v>6157.0</v>
      </c>
      <c r="D936" s="5">
        <v>6248.983311986438</v>
      </c>
      <c r="E936" s="5">
        <v>20.324408833300755</v>
      </c>
      <c r="F936" s="5">
        <v>13.041810890922518</v>
      </c>
      <c r="G936" s="5">
        <v>6.896934405592747</v>
      </c>
      <c r="H936" s="5">
        <v>17.511675385258485</v>
      </c>
      <c r="I936" s="5">
        <v>11.05382185550819</v>
      </c>
      <c r="J936" s="5">
        <v>5.136780769597049</v>
      </c>
      <c r="K936" s="5">
        <v>-1.471972437660396</v>
      </c>
      <c r="L936" s="9" t="b">
        <v>0</v>
      </c>
    </row>
    <row r="937" ht="15.75" customHeight="1">
      <c r="A937" s="5">
        <v>12.0</v>
      </c>
      <c r="B937" s="5">
        <v>20202.0</v>
      </c>
      <c r="C937" s="5">
        <v>5844.76</v>
      </c>
      <c r="D937" s="5">
        <v>6447.78137941781</v>
      </c>
      <c r="E937" s="5">
        <v>5.8258193011044845</v>
      </c>
      <c r="F937" s="5">
        <v>12.791302466682197</v>
      </c>
      <c r="G937" s="5">
        <v>6.349352392645139</v>
      </c>
      <c r="H937" s="5">
        <v>18.98459262714727</v>
      </c>
      <c r="I937" s="5">
        <v>13.649680305480206</v>
      </c>
      <c r="J937" s="5">
        <v>6.473533437411606</v>
      </c>
      <c r="K937" s="5">
        <v>-9.352385633649673</v>
      </c>
      <c r="L937" s="9" t="b">
        <v>0</v>
      </c>
    </row>
    <row r="938" ht="15.75" customHeight="1">
      <c r="A938" s="5">
        <v>12.0</v>
      </c>
      <c r="B938" s="5">
        <v>20203.0</v>
      </c>
      <c r="C938" s="5">
        <v>6173.06</v>
      </c>
      <c r="D938" s="5">
        <v>6486.763909267091</v>
      </c>
      <c r="E938" s="5">
        <v>1.1148239148239147</v>
      </c>
      <c r="F938" s="5">
        <v>9.370309310375013</v>
      </c>
      <c r="G938" s="5">
        <v>1.0222917014860222</v>
      </c>
      <c r="H938" s="5">
        <v>17.705799936974454</v>
      </c>
      <c r="I938" s="5">
        <v>16.004349241770576</v>
      </c>
      <c r="J938" s="5">
        <v>8.012148724901625</v>
      </c>
      <c r="K938" s="5">
        <v>-4.836061766005207</v>
      </c>
      <c r="L938" s="9" t="b">
        <v>0</v>
      </c>
    </row>
    <row r="939" ht="15.75" customHeight="1">
      <c r="A939" s="5">
        <v>12.0</v>
      </c>
      <c r="B939" s="5">
        <v>20204.0</v>
      </c>
      <c r="C939" s="5">
        <v>6145.6</v>
      </c>
      <c r="D939" s="5">
        <v>6664.332102265861</v>
      </c>
      <c r="E939" s="5">
        <v>6.6759243186946815</v>
      </c>
      <c r="F939" s="5">
        <v>8.48524409198096</v>
      </c>
      <c r="G939" s="5">
        <v>-0.4290048624767895</v>
      </c>
      <c r="H939" s="5">
        <v>17.69815306105682</v>
      </c>
      <c r="I939" s="5">
        <v>17.97505525260926</v>
      </c>
      <c r="J939" s="5">
        <v>9.309792899602396</v>
      </c>
      <c r="K939" s="5">
        <v>-7.783707268872342</v>
      </c>
      <c r="L939" s="9" t="b">
        <v>0</v>
      </c>
    </row>
    <row r="940" ht="15.75" customHeight="1">
      <c r="A940" s="5">
        <v>12.0</v>
      </c>
      <c r="B940" s="5">
        <v>20211.0</v>
      </c>
      <c r="C940" s="5">
        <v>6437.62</v>
      </c>
      <c r="D940" s="5">
        <v>6543.451200883641</v>
      </c>
      <c r="E940" s="5">
        <v>4.557739158681184</v>
      </c>
      <c r="F940" s="5">
        <v>4.543576673326067</v>
      </c>
      <c r="G940" s="5">
        <v>-8.498234217596451</v>
      </c>
      <c r="H940" s="5">
        <v>4.712252764899727</v>
      </c>
      <c r="I940" s="5">
        <v>14.775199597519569</v>
      </c>
      <c r="J940" s="5">
        <v>3.721377742011379</v>
      </c>
      <c r="K940" s="5">
        <v>-1.6173605890015597</v>
      </c>
      <c r="L940" s="9" t="b">
        <v>0</v>
      </c>
    </row>
    <row r="941" ht="15.75" customHeight="1">
      <c r="A941" s="5">
        <v>12.0</v>
      </c>
      <c r="B941" s="5">
        <v>20212.0</v>
      </c>
      <c r="C941" s="5">
        <v>6447.75</v>
      </c>
      <c r="D941" s="5">
        <v>6765.450819328716</v>
      </c>
      <c r="E941" s="5">
        <v>10.31676236492174</v>
      </c>
      <c r="F941" s="5">
        <v>5.6663124392803805</v>
      </c>
      <c r="G941" s="5">
        <v>-7.124990027401816</v>
      </c>
      <c r="H941" s="5">
        <v>4.9268022784542564</v>
      </c>
      <c r="I941" s="5">
        <v>11.260752010346314</v>
      </c>
      <c r="J941" s="5">
        <v>-2.3889282951338924</v>
      </c>
      <c r="K941" s="5">
        <v>-4.6959297733870535</v>
      </c>
      <c r="L941" s="9" t="b">
        <v>0</v>
      </c>
    </row>
    <row r="942" ht="15.75" customHeight="1">
      <c r="A942" s="5">
        <v>12.0</v>
      </c>
      <c r="B942" s="5">
        <v>20213.0</v>
      </c>
      <c r="C942" s="5">
        <v>6759.43</v>
      </c>
      <c r="D942" s="5">
        <v>6875.607354069759</v>
      </c>
      <c r="E942" s="5">
        <v>9.498854700910076</v>
      </c>
      <c r="F942" s="5">
        <v>7.762320135801922</v>
      </c>
      <c r="G942" s="5">
        <v>-1.6079891745730919</v>
      </c>
      <c r="H942" s="5">
        <v>5.99441339690443</v>
      </c>
      <c r="I942" s="5">
        <v>8.332905375328808</v>
      </c>
      <c r="J942" s="5">
        <v>-7.671443866441768</v>
      </c>
      <c r="K942" s="5">
        <v>-1.6897031503841142</v>
      </c>
      <c r="L942" s="9" t="b">
        <v>0</v>
      </c>
    </row>
    <row r="943" ht="15.75" customHeight="1">
      <c r="A943" s="5">
        <v>12.0</v>
      </c>
      <c r="B943" s="5">
        <v>20214.0</v>
      </c>
      <c r="C943" s="5">
        <v>7210.083118908388</v>
      </c>
      <c r="D943" s="5">
        <v>7216.304019558032</v>
      </c>
      <c r="E943" s="5">
        <v>17.321060903872485</v>
      </c>
      <c r="F943" s="5">
        <v>10.423604282096374</v>
      </c>
      <c r="G943" s="5">
        <v>1.9383601901154144</v>
      </c>
      <c r="H943" s="5">
        <v>8.282479156530954</v>
      </c>
      <c r="I943" s="5">
        <v>5.978986899197341</v>
      </c>
      <c r="J943" s="5">
        <v>-11.996068353411918</v>
      </c>
      <c r="K943" s="5">
        <v>-0.08620618855280648</v>
      </c>
      <c r="L943" s="9" t="b">
        <v>0</v>
      </c>
    </row>
    <row r="944" ht="15.75" customHeight="1">
      <c r="A944" s="5">
        <v>12.0</v>
      </c>
      <c r="B944" s="5">
        <v>20221.0</v>
      </c>
      <c r="C944" s="5">
        <v>7493.193507014025</v>
      </c>
      <c r="D944" s="5">
        <v>7641.12903683369</v>
      </c>
      <c r="E944" s="5">
        <v>16.396952709448918</v>
      </c>
      <c r="F944" s="5">
        <v>13.383407669788305</v>
      </c>
      <c r="G944" s="5">
        <v>8.839830996462238</v>
      </c>
      <c r="H944" s="5">
        <v>16.77521238030806</v>
      </c>
      <c r="I944" s="5">
        <v>8.994726803049424</v>
      </c>
      <c r="J944" s="5">
        <v>-5.780472794470144</v>
      </c>
      <c r="K944" s="5">
        <v>-1.9360428165333787</v>
      </c>
      <c r="L944" s="9" t="b">
        <v>0</v>
      </c>
    </row>
    <row r="945" ht="15.75" customHeight="1">
      <c r="A945" s="5">
        <v>12.0</v>
      </c>
      <c r="B945" s="5">
        <v>20222.0</v>
      </c>
      <c r="C945" s="5">
        <v>7340.956741214059</v>
      </c>
      <c r="D945" s="5">
        <v>7946.204636088778</v>
      </c>
      <c r="E945" s="5">
        <v>13.852998971952356</v>
      </c>
      <c r="F945" s="5">
        <v>14.26746682154596</v>
      </c>
      <c r="G945" s="5">
        <v>8.60115438226558</v>
      </c>
      <c r="H945" s="5">
        <v>17.452699728252853</v>
      </c>
      <c r="I945" s="5">
        <v>12.126201165499074</v>
      </c>
      <c r="J945" s="5">
        <v>0.8654491551527599</v>
      </c>
      <c r="K945" s="5">
        <v>-7.616817368708362</v>
      </c>
      <c r="L945" s="9" t="b">
        <v>0</v>
      </c>
    </row>
    <row r="946" ht="15.75" customHeight="1">
      <c r="A946" s="5">
        <v>12.0</v>
      </c>
      <c r="B946" s="5">
        <v>20223.0</v>
      </c>
      <c r="C946" s="5">
        <v>7539.50932692308</v>
      </c>
      <c r="D946" s="5">
        <v>8052.838630937004</v>
      </c>
      <c r="E946" s="5">
        <v>11.540608112268046</v>
      </c>
      <c r="F946" s="5">
        <v>14.777905174385452</v>
      </c>
      <c r="G946" s="5">
        <v>7.015585038583531</v>
      </c>
      <c r="H946" s="5">
        <v>17.121851441537416</v>
      </c>
      <c r="I946" s="5">
        <v>14.908060676657321</v>
      </c>
      <c r="J946" s="5">
        <v>6.575155301328513</v>
      </c>
      <c r="K946" s="5">
        <v>-6.374513727890196</v>
      </c>
      <c r="L946" s="9" t="b">
        <v>0</v>
      </c>
    </row>
    <row r="947" ht="15.75" customHeight="1">
      <c r="A947" s="5">
        <v>12.0</v>
      </c>
      <c r="B947" s="5">
        <v>20224.0</v>
      </c>
      <c r="C947" s="5">
        <v>8086.693609022556</v>
      </c>
      <c r="D947" s="5">
        <v>8093.038917788685</v>
      </c>
      <c r="E947" s="5">
        <v>12.158119062667438</v>
      </c>
      <c r="F947" s="5">
        <v>13.48716971408419</v>
      </c>
      <c r="G947" s="5">
        <v>3.0635654319878167</v>
      </c>
      <c r="H947" s="5">
        <v>12.149361998253895</v>
      </c>
      <c r="I947" s="5">
        <v>15.874781387088056</v>
      </c>
      <c r="J947" s="5">
        <v>9.895794487890715</v>
      </c>
      <c r="K947" s="5">
        <v>-0.07840452555073485</v>
      </c>
      <c r="L947" s="9" t="b">
        <v>0</v>
      </c>
    </row>
    <row r="948" ht="15.75" customHeight="1">
      <c r="A948" s="5">
        <v>12.0</v>
      </c>
      <c r="B948" s="5">
        <v>20231.0</v>
      </c>
      <c r="C948" s="5">
        <v>8207.017310344827</v>
      </c>
      <c r="D948" s="5">
        <v>8070.15909635383</v>
      </c>
      <c r="E948" s="5">
        <v>9.52629613345264</v>
      </c>
      <c r="F948" s="5">
        <v>11.769505570085121</v>
      </c>
      <c r="G948" s="5">
        <v>-1.6139020997031839</v>
      </c>
      <c r="H948" s="5">
        <v>5.614746949724592</v>
      </c>
      <c r="I948" s="5">
        <v>13.084665029442188</v>
      </c>
      <c r="J948" s="5">
        <v>4.089938226392764</v>
      </c>
      <c r="K948" s="5">
        <v>1.695855216198039</v>
      </c>
      <c r="L948" s="9" t="b">
        <v>0</v>
      </c>
    </row>
    <row r="949" ht="15.75" customHeight="1">
      <c r="A949" s="5">
        <v>12.0</v>
      </c>
      <c r="B949" s="5">
        <v>20232.0</v>
      </c>
      <c r="C949" s="5">
        <v>8702.744100000002</v>
      </c>
      <c r="D949" s="5">
        <v>8375.504100533797</v>
      </c>
      <c r="E949" s="5">
        <v>18.55054329826671</v>
      </c>
      <c r="F949" s="5">
        <v>12.94389165166371</v>
      </c>
      <c r="G949" s="5">
        <v>-1.3235751698822504</v>
      </c>
      <c r="H949" s="5">
        <v>5.40257247460374</v>
      </c>
      <c r="I949" s="5">
        <v>10.072133216029911</v>
      </c>
      <c r="J949" s="5">
        <v>-2.0540679494691627</v>
      </c>
      <c r="K949" s="5">
        <v>3.9071081040405575</v>
      </c>
      <c r="L949" s="9" t="b">
        <v>0</v>
      </c>
    </row>
    <row r="950" ht="15.75" customHeight="1">
      <c r="A950" s="5">
        <v>12.0</v>
      </c>
      <c r="B950" s="5">
        <v>20233.0</v>
      </c>
      <c r="C950" s="5">
        <v>8742.70764292562</v>
      </c>
      <c r="D950" s="5">
        <v>8653.24993763375</v>
      </c>
      <c r="E950" s="5">
        <v>15.958575867875101</v>
      </c>
      <c r="F950" s="5">
        <v>14.048383590565471</v>
      </c>
      <c r="G950" s="5">
        <v>-0.7295215838199809</v>
      </c>
      <c r="H950" s="5">
        <v>7.455896413844854</v>
      </c>
      <c r="I950" s="5">
        <v>7.65564445910677</v>
      </c>
      <c r="J950" s="5">
        <v>-7.252416217550551</v>
      </c>
      <c r="K950" s="5">
        <v>1.033804708480801</v>
      </c>
      <c r="L950" s="9" t="b">
        <v>0</v>
      </c>
    </row>
    <row r="951" ht="15.75" customHeight="1">
      <c r="A951" s="5">
        <v>12.0</v>
      </c>
      <c r="B951" s="5">
        <v>20234.0</v>
      </c>
      <c r="C951" s="5">
        <v>9426.315374937923</v>
      </c>
      <c r="D951" s="5">
        <v>8943.015173887405</v>
      </c>
      <c r="E951" s="5">
        <v>16.56575394943507</v>
      </c>
      <c r="F951" s="5">
        <v>15.150292312257381</v>
      </c>
      <c r="G951" s="5">
        <v>1.6631225981731905</v>
      </c>
      <c r="H951" s="5">
        <v>10.502559850916482</v>
      </c>
      <c r="I951" s="5">
        <v>7.2439439222724165</v>
      </c>
      <c r="J951" s="5">
        <v>-8.63083746481564</v>
      </c>
      <c r="K951" s="5">
        <v>5.404219848152558</v>
      </c>
      <c r="L951" s="9" t="b">
        <v>0</v>
      </c>
    </row>
    <row r="952" ht="15.75" customHeight="1">
      <c r="A952" s="5">
        <v>12.0</v>
      </c>
      <c r="B952" s="5">
        <v>20241.0</v>
      </c>
      <c r="C952" s="5">
        <v>9630.605907426649</v>
      </c>
      <c r="D952" s="5">
        <v>9343.04194824923</v>
      </c>
      <c r="E952" s="5">
        <v>17.34599237761334</v>
      </c>
      <c r="F952" s="5">
        <v>17.10521637329756</v>
      </c>
      <c r="G952" s="5">
        <v>5.335710803212438</v>
      </c>
      <c r="H952" s="5">
        <v>15.772710756972575</v>
      </c>
      <c r="I952" s="5">
        <v>9.783434874084413</v>
      </c>
      <c r="J952" s="5">
        <v>-3.301230155357775</v>
      </c>
      <c r="K952" s="5">
        <v>3.0778408228307574</v>
      </c>
      <c r="L952" s="9" t="b">
        <v>0</v>
      </c>
    </row>
    <row r="953" ht="15.75" customHeight="1">
      <c r="A953" s="5">
        <v>12.0</v>
      </c>
      <c r="B953" s="5">
        <v>20242.0</v>
      </c>
      <c r="C953" s="5">
        <v>9514.392825786015</v>
      </c>
      <c r="D953" s="5">
        <v>9933.730195053686</v>
      </c>
      <c r="E953" s="5">
        <v>9.326354037986873</v>
      </c>
      <c r="F953" s="5">
        <v>14.799169058227596</v>
      </c>
      <c r="G953" s="5">
        <v>1.8552774065638857</v>
      </c>
      <c r="H953" s="5">
        <v>18.60456488130162</v>
      </c>
      <c r="I953" s="5">
        <v>13.08393297575888</v>
      </c>
      <c r="J953" s="5">
        <v>3.0117997597289694</v>
      </c>
      <c r="K953" s="5">
        <v>-4.221348486759502</v>
      </c>
      <c r="L953" s="9" t="b">
        <v>0</v>
      </c>
    </row>
    <row r="954" ht="15.75" customHeight="1">
      <c r="A954" s="5">
        <v>12.0</v>
      </c>
      <c r="B954" s="5">
        <v>20243.0</v>
      </c>
      <c r="C954" s="5">
        <v>9413.01380001708</v>
      </c>
      <c r="D954" s="5">
        <v>10372.653718866522</v>
      </c>
      <c r="E954" s="5">
        <v>7.667031593282836</v>
      </c>
      <c r="F954" s="5">
        <v>12.72628298957953</v>
      </c>
      <c r="G954" s="5">
        <v>-1.3221006009859408</v>
      </c>
      <c r="H954" s="5">
        <v>19.870034884291666</v>
      </c>
      <c r="I954" s="5">
        <v>16.187467593370584</v>
      </c>
      <c r="J954" s="5">
        <v>8.531823134263814</v>
      </c>
      <c r="K954" s="5">
        <v>-9.251633621047063</v>
      </c>
      <c r="L954" s="9" t="b">
        <v>0</v>
      </c>
    </row>
    <row r="955" ht="15.75" customHeight="1">
      <c r="A955" s="5">
        <v>12.0</v>
      </c>
      <c r="B955" s="5">
        <v>20244.0</v>
      </c>
      <c r="C955" s="5">
        <v>10763.38089891033</v>
      </c>
      <c r="D955" s="5">
        <v>10547.55770248884</v>
      </c>
      <c r="E955" s="5">
        <v>14.184392000370693</v>
      </c>
      <c r="F955" s="5">
        <v>12.130942502313436</v>
      </c>
      <c r="G955" s="5">
        <v>-3.019349809943945</v>
      </c>
      <c r="H955" s="5">
        <v>17.941851796098018</v>
      </c>
      <c r="I955" s="5">
        <v>18.04729057966597</v>
      </c>
      <c r="J955" s="5">
        <v>10.803346657393552</v>
      </c>
      <c r="K955" s="5">
        <v>2.0461911895543805</v>
      </c>
      <c r="L955" s="9" t="b">
        <v>0</v>
      </c>
    </row>
    <row r="956" ht="15.75" customHeight="1">
      <c r="A956" s="5">
        <v>12.0</v>
      </c>
      <c r="B956" s="5">
        <v>20251.0</v>
      </c>
      <c r="C956" s="5">
        <v>10009.11095328682</v>
      </c>
      <c r="D956" s="5">
        <v>10659.225226683991</v>
      </c>
      <c r="E956" s="5">
        <v>3.930230864999751</v>
      </c>
      <c r="F956" s="5">
        <v>8.777002124160038</v>
      </c>
      <c r="G956" s="5">
        <v>-8.32821424913752</v>
      </c>
      <c r="H956" s="5">
        <v>14.087309954563532</v>
      </c>
      <c r="I956" s="5">
        <v>17.62594037906371</v>
      </c>
      <c r="J956" s="5">
        <v>7.842505504979297</v>
      </c>
      <c r="K956" s="5">
        <v>-6.099076242142765</v>
      </c>
      <c r="L956" s="9" t="b">
        <v>0</v>
      </c>
    </row>
    <row r="957" ht="15.75" customHeight="1">
      <c r="A957" s="5">
        <v>12.0</v>
      </c>
      <c r="B957" s="5">
        <v>20252.0</v>
      </c>
      <c r="C957" s="5">
        <v>10758.72811651941</v>
      </c>
      <c r="D957" s="5">
        <v>10720.49814253921</v>
      </c>
      <c r="E957" s="5">
        <v>13.078451915092092</v>
      </c>
      <c r="F957" s="5">
        <v>9.715026593436344</v>
      </c>
      <c r="G957" s="5">
        <v>-5.0841424647912525</v>
      </c>
      <c r="H957" s="5">
        <v>7.92016626218901</v>
      </c>
      <c r="I957" s="5">
        <v>14.954840724285555</v>
      </c>
      <c r="J957" s="5">
        <v>1.8709077485266743</v>
      </c>
      <c r="K957" s="5">
        <v>0.35660632063825304</v>
      </c>
      <c r="L957" s="9" t="b">
        <v>0</v>
      </c>
    </row>
    <row r="958" ht="15.75" customHeight="1">
      <c r="A958" s="5">
        <v>12.0</v>
      </c>
      <c r="B958" s="5">
        <v>20253.0</v>
      </c>
      <c r="C958" s="5">
        <v>10582.884160287893</v>
      </c>
      <c r="D958" s="5">
        <v>10783.004015768416</v>
      </c>
      <c r="E958" s="5">
        <v>12.428223150684126</v>
      </c>
      <c r="F958" s="5">
        <v>10.905324482786666</v>
      </c>
      <c r="G958" s="5">
        <v>-1.8209585067928646</v>
      </c>
      <c r="H958" s="5">
        <v>3.9560782421138807</v>
      </c>
      <c r="I958" s="5">
        <v>10.97635156374111</v>
      </c>
      <c r="J958" s="5">
        <v>-5.2111160296294745</v>
      </c>
      <c r="K958" s="5">
        <v>-1.8558822308503253</v>
      </c>
      <c r="L958" s="9" t="b">
        <v>0</v>
      </c>
    </row>
    <row r="959" ht="15.75" customHeight="1">
      <c r="A959" s="5">
        <v>12.0</v>
      </c>
      <c r="B959" s="5">
        <v>20254.0</v>
      </c>
      <c r="C959" s="5">
        <v>10028.170873900064</v>
      </c>
      <c r="D959" s="5">
        <v>10493.734163996398</v>
      </c>
      <c r="E959" s="5">
        <v>-6.830660662438303</v>
      </c>
      <c r="F959" s="5">
        <v>5.651561317084417</v>
      </c>
      <c r="G959" s="5">
        <v>-6.47938118522902</v>
      </c>
      <c r="H959" s="5">
        <v>-0.5102938520046396</v>
      </c>
      <c r="I959" s="5">
        <v>6.363315151715446</v>
      </c>
      <c r="J959" s="5">
        <v>-11.683975427950523</v>
      </c>
      <c r="K959" s="5">
        <v>-4.436583610948174</v>
      </c>
      <c r="L959" s="9" t="b">
        <v>0</v>
      </c>
    </row>
    <row r="960" ht="15.75" customHeight="1">
      <c r="A960" s="5">
        <v>12.0</v>
      </c>
      <c r="B960" s="5">
        <v>20261.0</v>
      </c>
      <c r="C960" s="5">
        <v>10377.92982838779</v>
      </c>
      <c r="D960" s="5">
        <v>10880.839100664318</v>
      </c>
      <c r="E960" s="5">
        <v>3.6848315182264724</v>
      </c>
      <c r="F960" s="5">
        <v>5.590211480391098</v>
      </c>
      <c r="G960" s="5">
        <v>-3.1867906437689406</v>
      </c>
      <c r="H960" s="5">
        <v>2.079080507892317</v>
      </c>
      <c r="I960" s="5">
        <v>3.361257790047642</v>
      </c>
      <c r="J960" s="5">
        <v>-14.264682589016068</v>
      </c>
      <c r="K960" s="5">
        <v>-4.621971408857817</v>
      </c>
      <c r="L960" s="9" t="b">
        <v>0</v>
      </c>
    </row>
    <row r="961" ht="15.75" customHeight="1">
      <c r="A961" s="5">
        <v>12.0</v>
      </c>
      <c r="B961" s="5">
        <v>20262.0</v>
      </c>
      <c r="C961" s="5">
        <v>10329.0212314799</v>
      </c>
      <c r="D961" s="5">
        <v>10973.993865217552</v>
      </c>
      <c r="E961" s="5">
        <v>-3.994030524665093</v>
      </c>
      <c r="F961" s="5">
        <v>1.3220908704518013</v>
      </c>
      <c r="G961" s="5">
        <v>-8.392935722984543</v>
      </c>
      <c r="H961" s="5">
        <v>2.3645890266279945</v>
      </c>
      <c r="I961" s="5">
        <v>1.9723634811573882</v>
      </c>
      <c r="J961" s="5">
        <v>-12.982477243128166</v>
      </c>
      <c r="K961" s="5">
        <v>-5.877282616148671</v>
      </c>
      <c r="L961" s="9" t="b">
        <v>0</v>
      </c>
    </row>
    <row r="962" ht="15.75" customHeight="1">
      <c r="A962" s="5">
        <v>13.0</v>
      </c>
      <c r="B962" s="5">
        <v>20063.0</v>
      </c>
      <c r="C962" s="5">
        <v>3233.916487073571</v>
      </c>
      <c r="D962" s="5">
        <v>2623.2605343185587</v>
      </c>
      <c r="K962" s="5">
        <v>23.278509502436506</v>
      </c>
      <c r="L962" s="9" t="b">
        <v>0</v>
      </c>
    </row>
    <row r="963" ht="15.75" customHeight="1">
      <c r="A963" s="5">
        <v>13.0</v>
      </c>
      <c r="B963" s="5">
        <v>20064.0</v>
      </c>
      <c r="C963" s="5">
        <v>3575.024357101824</v>
      </c>
      <c r="D963" s="5">
        <v>2901.0669385438314</v>
      </c>
      <c r="K963" s="5">
        <v>23.23136393730647</v>
      </c>
      <c r="L963" s="9" t="b">
        <v>0</v>
      </c>
    </row>
    <row r="964" ht="15.75" customHeight="1">
      <c r="A964" s="5">
        <v>13.0</v>
      </c>
      <c r="B964" s="5">
        <v>20071.0</v>
      </c>
      <c r="C964" s="5">
        <v>3831.400405994445</v>
      </c>
      <c r="D964" s="5">
        <v>3449.710750280668</v>
      </c>
      <c r="K964" s="5">
        <v>11.064395926027215</v>
      </c>
      <c r="L964" s="9" t="b">
        <v>0</v>
      </c>
    </row>
    <row r="965" ht="15.75" customHeight="1">
      <c r="A965" s="5">
        <v>13.0</v>
      </c>
      <c r="B965" s="5">
        <v>20072.0</v>
      </c>
      <c r="C965" s="5">
        <v>4932.747278816657</v>
      </c>
      <c r="D965" s="5">
        <v>4161.829739277982</v>
      </c>
      <c r="K965" s="5">
        <v>18.52352421491461</v>
      </c>
      <c r="L965" s="9" t="b">
        <v>0</v>
      </c>
    </row>
    <row r="966" ht="15.75" customHeight="1">
      <c r="A966" s="5">
        <v>13.0</v>
      </c>
      <c r="B966" s="5">
        <v>20073.0</v>
      </c>
      <c r="C966" s="5">
        <v>5121.0452865480565</v>
      </c>
      <c r="D966" s="5">
        <v>4373.094300011807</v>
      </c>
      <c r="E966" s="5">
        <v>58.35428363773805</v>
      </c>
      <c r="H966" s="5">
        <v>66.70453593157116</v>
      </c>
      <c r="K966" s="5">
        <v>17.10347262656171</v>
      </c>
      <c r="L966" s="9" t="b">
        <v>0</v>
      </c>
    </row>
    <row r="967" ht="15.75" customHeight="1">
      <c r="A967" s="5">
        <v>13.0</v>
      </c>
      <c r="B967" s="5">
        <v>20074.0</v>
      </c>
      <c r="C967" s="5">
        <v>4697.024137420767</v>
      </c>
      <c r="D967" s="5">
        <v>4571.013065427017</v>
      </c>
      <c r="E967" s="5">
        <v>31.38439541230198</v>
      </c>
      <c r="H967" s="5">
        <v>57.563171145626946</v>
      </c>
      <c r="K967" s="5">
        <v>2.7567427655553756</v>
      </c>
      <c r="L967" s="9" t="b">
        <v>0</v>
      </c>
    </row>
    <row r="968" ht="15.75" customHeight="1">
      <c r="A968" s="5">
        <v>13.0</v>
      </c>
      <c r="B968" s="5">
        <v>20081.0</v>
      </c>
      <c r="C968" s="5">
        <v>5361.7065440383285</v>
      </c>
      <c r="D968" s="5">
        <v>4434.448360365133</v>
      </c>
      <c r="E968" s="5">
        <v>39.9411696999779</v>
      </c>
      <c r="H968" s="5">
        <v>28.545512402868777</v>
      </c>
      <c r="K968" s="5">
        <v>20.91033897160648</v>
      </c>
      <c r="L968" s="9" t="b">
        <v>0</v>
      </c>
    </row>
    <row r="969" ht="15.75" customHeight="1">
      <c r="A969" s="5">
        <v>13.0</v>
      </c>
      <c r="B969" s="5">
        <v>20082.0</v>
      </c>
      <c r="C969" s="5">
        <v>5448.251815670206</v>
      </c>
      <c r="D969" s="5">
        <v>4484.813638272184</v>
      </c>
      <c r="E969" s="5">
        <v>10.450657771731953</v>
      </c>
      <c r="F969" s="5">
        <v>35.03262663043747</v>
      </c>
      <c r="H969" s="5">
        <v>7.760622592173472</v>
      </c>
      <c r="I969" s="5">
        <v>40.14346051806009</v>
      </c>
      <c r="K969" s="5">
        <v>21.482234382635255</v>
      </c>
      <c r="L969" s="9" t="b">
        <v>0</v>
      </c>
    </row>
    <row r="970" ht="15.75" customHeight="1">
      <c r="A970" s="5">
        <v>13.0</v>
      </c>
      <c r="B970" s="5">
        <v>20083.0</v>
      </c>
      <c r="C970" s="5">
        <v>5454.726937949176</v>
      </c>
      <c r="D970" s="5">
        <v>4721.851449548252</v>
      </c>
      <c r="E970" s="5">
        <v>6.515889486031945</v>
      </c>
      <c r="F970" s="5">
        <v>22.073028092510942</v>
      </c>
      <c r="H970" s="5">
        <v>7.975065836917894</v>
      </c>
      <c r="I970" s="5">
        <v>25.461092994396772</v>
      </c>
      <c r="K970" s="5">
        <v>15.520934875472193</v>
      </c>
      <c r="L970" s="9" t="b">
        <v>0</v>
      </c>
    </row>
    <row r="971" ht="15.75" customHeight="1">
      <c r="A971" s="5">
        <v>13.0</v>
      </c>
      <c r="B971" s="5">
        <v>20084.0</v>
      </c>
      <c r="C971" s="5">
        <v>5663.186169220287</v>
      </c>
      <c r="D971" s="5">
        <v>4661.096558714956</v>
      </c>
      <c r="E971" s="5">
        <v>20.56966290852531</v>
      </c>
      <c r="F971" s="5">
        <v>19.369344966566775</v>
      </c>
      <c r="H971" s="5">
        <v>1.9707555414638422</v>
      </c>
      <c r="I971" s="5">
        <v>11.562989093355997</v>
      </c>
      <c r="K971" s="5">
        <v>21.499009897825495</v>
      </c>
      <c r="L971" s="9" t="b">
        <v>0</v>
      </c>
    </row>
    <row r="972" ht="15.75" customHeight="1">
      <c r="A972" s="5">
        <v>13.0</v>
      </c>
      <c r="B972" s="5">
        <v>20091.0</v>
      </c>
      <c r="C972" s="5">
        <v>5174.409122228042</v>
      </c>
      <c r="D972" s="5">
        <v>4458.915349756218</v>
      </c>
      <c r="E972" s="5">
        <v>-3.4932426881613243</v>
      </c>
      <c r="F972" s="5">
        <v>8.510741869531971</v>
      </c>
      <c r="H972" s="5">
        <v>0.5517482086333292</v>
      </c>
      <c r="I972" s="5">
        <v>4.564548044797134</v>
      </c>
      <c r="K972" s="5">
        <v>16.046363663551986</v>
      </c>
      <c r="L972" s="9" t="b">
        <v>0</v>
      </c>
    </row>
    <row r="973" ht="15.75" customHeight="1">
      <c r="A973" s="5">
        <v>13.0</v>
      </c>
      <c r="B973" s="5">
        <v>20092.0</v>
      </c>
      <c r="C973" s="5">
        <v>4958.178651761358</v>
      </c>
      <c r="D973" s="5">
        <v>4367.573013617211</v>
      </c>
      <c r="E973" s="5">
        <v>-8.99505346833097</v>
      </c>
      <c r="F973" s="5">
        <v>3.64931405951624</v>
      </c>
      <c r="G973" s="5">
        <v>-31.38331257092123</v>
      </c>
      <c r="H973" s="5">
        <v>-2.6141693749428874</v>
      </c>
      <c r="I973" s="5">
        <v>1.9708500530180442</v>
      </c>
      <c r="J973" s="5">
        <v>-38.17261046504204</v>
      </c>
      <c r="K973" s="5">
        <v>13.522513219647593</v>
      </c>
      <c r="L973" s="9" t="b">
        <v>0</v>
      </c>
    </row>
    <row r="974" ht="15.75" customHeight="1">
      <c r="A974" s="5">
        <v>13.0</v>
      </c>
      <c r="B974" s="5">
        <v>20093.0</v>
      </c>
      <c r="C974" s="5">
        <v>5406.036513010689</v>
      </c>
      <c r="D974" s="5">
        <v>4382.81324002355</v>
      </c>
      <c r="E974" s="5">
        <v>-0.8926280910551587</v>
      </c>
      <c r="F974" s="5">
        <v>1.7971846652444645</v>
      </c>
      <c r="G974" s="5">
        <v>-20.275843427266476</v>
      </c>
      <c r="H974" s="5">
        <v>-7.180196436657038</v>
      </c>
      <c r="I974" s="5">
        <v>-1.8179655153756886</v>
      </c>
      <c r="J974" s="5">
        <v>-27.27905850977246</v>
      </c>
      <c r="K974" s="5">
        <v>23.346266814272056</v>
      </c>
      <c r="L974" s="9" t="b">
        <v>0</v>
      </c>
    </row>
    <row r="975" ht="15.75" customHeight="1">
      <c r="A975" s="5">
        <v>13.0</v>
      </c>
      <c r="B975" s="5">
        <v>20094.0</v>
      </c>
      <c r="C975" s="5">
        <v>5056.837153435183</v>
      </c>
      <c r="D975" s="5">
        <v>4263.010476939354</v>
      </c>
      <c r="E975" s="5">
        <v>-10.706852956391288</v>
      </c>
      <c r="F975" s="5">
        <v>-6.021944300984685</v>
      </c>
      <c r="G975" s="5">
        <v>-25.39128926755146</v>
      </c>
      <c r="H975" s="5">
        <v>-8.540610063769039</v>
      </c>
      <c r="I975" s="5">
        <v>-4.4458069166839085</v>
      </c>
      <c r="J975" s="5">
        <v>-16.008796010039905</v>
      </c>
      <c r="K975" s="5">
        <v>18.621269658848227</v>
      </c>
      <c r="L975" s="9" t="b">
        <v>0</v>
      </c>
    </row>
    <row r="976" ht="15.75" customHeight="1">
      <c r="A976" s="5">
        <v>13.0</v>
      </c>
      <c r="B976" s="5">
        <v>20101.0</v>
      </c>
      <c r="C976" s="5">
        <v>4916.4859594418485</v>
      </c>
      <c r="D976" s="5">
        <v>4236.748092204254</v>
      </c>
      <c r="E976" s="5">
        <v>-4.984591606377176</v>
      </c>
      <c r="F976" s="5">
        <v>-6.394781530538648</v>
      </c>
      <c r="G976" s="5">
        <v>-14.905523400070619</v>
      </c>
      <c r="H976" s="5">
        <v>-4.982540374176669</v>
      </c>
      <c r="I976" s="5">
        <v>-5.829379062386408</v>
      </c>
      <c r="J976" s="5">
        <v>-10.393927107183544</v>
      </c>
      <c r="K976" s="5">
        <v>16.043858460415272</v>
      </c>
      <c r="L976" s="9" t="b">
        <v>0</v>
      </c>
    </row>
    <row r="977" ht="15.75" customHeight="1">
      <c r="A977" s="5">
        <v>13.0</v>
      </c>
      <c r="B977" s="5">
        <v>20102.0</v>
      </c>
      <c r="C977" s="5">
        <v>4751.183960112903</v>
      </c>
      <c r="D977" s="5">
        <v>4311.409874706666</v>
      </c>
      <c r="E977" s="5">
        <v>-4.1748130954281315</v>
      </c>
      <c r="F977" s="5">
        <v>-5.1897214373129374</v>
      </c>
      <c r="G977" s="5">
        <v>-8.839035496829178</v>
      </c>
      <c r="H977" s="5">
        <v>-1.285911849336896</v>
      </c>
      <c r="I977" s="5">
        <v>-5.4973146809849105</v>
      </c>
      <c r="J977" s="5">
        <v>-7.468164734002954</v>
      </c>
      <c r="K977" s="5">
        <v>10.200238395013583</v>
      </c>
      <c r="L977" s="9" t="b">
        <v>0</v>
      </c>
    </row>
    <row r="978" ht="15.75" customHeight="1">
      <c r="A978" s="5">
        <v>13.0</v>
      </c>
      <c r="B978" s="5">
        <v>20103.0</v>
      </c>
      <c r="C978" s="5">
        <v>4840.468962972092</v>
      </c>
      <c r="D978" s="5">
        <v>4357.989650409346</v>
      </c>
      <c r="E978" s="5">
        <v>-10.46177821177211</v>
      </c>
      <c r="F978" s="5">
        <v>-7.582008967492175</v>
      </c>
      <c r="G978" s="5">
        <v>-9.37919363273664</v>
      </c>
      <c r="H978" s="5">
        <v>-0.5663848367417734</v>
      </c>
      <c r="I978" s="5">
        <v>-3.8438617810060944</v>
      </c>
      <c r="J978" s="5">
        <v>-2.025896265630406</v>
      </c>
      <c r="K978" s="5">
        <v>11.071144065645665</v>
      </c>
      <c r="L978" s="9" t="b">
        <v>0</v>
      </c>
    </row>
    <row r="979" ht="15.75" customHeight="1">
      <c r="A979" s="5">
        <v>13.0</v>
      </c>
      <c r="B979" s="5">
        <v>20104.0</v>
      </c>
      <c r="C979" s="5">
        <v>4794.236618179935</v>
      </c>
      <c r="D979" s="5">
        <v>4328.3466794199285</v>
      </c>
      <c r="E979" s="5">
        <v>-5.192979866414305</v>
      </c>
      <c r="F979" s="5">
        <v>-6.20354069499793</v>
      </c>
      <c r="G979" s="5">
        <v>-0.181596394013245</v>
      </c>
      <c r="H979" s="5">
        <v>1.532630586624384</v>
      </c>
      <c r="I979" s="5">
        <v>-1.3255516184077387</v>
      </c>
      <c r="J979" s="5">
        <v>3.1202552982761698</v>
      </c>
      <c r="K979" s="5">
        <v>10.763692773852473</v>
      </c>
      <c r="L979" s="9" t="b">
        <v>0</v>
      </c>
    </row>
    <row r="980" ht="15.75" customHeight="1">
      <c r="A980" s="5">
        <v>13.0</v>
      </c>
      <c r="B980" s="5">
        <v>20111.0</v>
      </c>
      <c r="C980" s="5">
        <v>4855.0</v>
      </c>
      <c r="D980" s="5">
        <v>4216.113426556904</v>
      </c>
      <c r="E980" s="5">
        <v>-1.2506078518086272</v>
      </c>
      <c r="F980" s="5">
        <v>-5.2700447563557935</v>
      </c>
      <c r="G980" s="5">
        <v>1.1247367741828542</v>
      </c>
      <c r="H980" s="5">
        <v>-0.4870401826655213</v>
      </c>
      <c r="I980" s="5">
        <v>-0.2016765705299517</v>
      </c>
      <c r="J980" s="5">
        <v>5.627702491856457</v>
      </c>
      <c r="K980" s="5">
        <v>15.153448420500482</v>
      </c>
      <c r="L980" s="9" t="b">
        <v>0</v>
      </c>
    </row>
    <row r="981" ht="15.75" customHeight="1">
      <c r="A981" s="5">
        <v>13.0</v>
      </c>
      <c r="B981" s="5">
        <v>20112.0</v>
      </c>
      <c r="C981" s="5">
        <v>4819.0</v>
      </c>
      <c r="D981" s="5">
        <v>4192.452842627651</v>
      </c>
      <c r="E981" s="5">
        <v>1.4273503290216816</v>
      </c>
      <c r="F981" s="5">
        <v>-3.8695039002433402</v>
      </c>
      <c r="G981" s="5">
        <v>1.3202175370695972</v>
      </c>
      <c r="H981" s="5">
        <v>-2.759121390357455</v>
      </c>
      <c r="I981" s="5">
        <v>-0.5699789557850915</v>
      </c>
      <c r="J981" s="5">
        <v>4.927335725199819</v>
      </c>
      <c r="K981" s="5">
        <v>14.944644123406658</v>
      </c>
      <c r="L981" s="9" t="b">
        <v>0</v>
      </c>
    </row>
    <row r="982" ht="15.75" customHeight="1">
      <c r="A982" s="5">
        <v>13.0</v>
      </c>
      <c r="B982" s="5">
        <v>20113.0</v>
      </c>
      <c r="C982" s="5">
        <v>5048.0</v>
      </c>
      <c r="D982" s="5">
        <v>4134.131049898683</v>
      </c>
      <c r="E982" s="5">
        <v>4.28741592220605</v>
      </c>
      <c r="F982" s="5">
        <v>-0.1822053667487995</v>
      </c>
      <c r="G982" s="5">
        <v>7.399803600743375</v>
      </c>
      <c r="H982" s="5">
        <v>-5.136740067513368</v>
      </c>
      <c r="I982" s="5">
        <v>-1.7125677634779901</v>
      </c>
      <c r="J982" s="5">
        <v>2.1312940175281043</v>
      </c>
      <c r="K982" s="5">
        <v>22.10546639840345</v>
      </c>
      <c r="L982" s="9" t="b">
        <v>0</v>
      </c>
    </row>
    <row r="983" ht="15.75" customHeight="1">
      <c r="A983" s="5">
        <v>13.0</v>
      </c>
      <c r="B983" s="5">
        <v>20114.0</v>
      </c>
      <c r="C983" s="5">
        <v>4847.0</v>
      </c>
      <c r="D983" s="5">
        <v>4057.814808892994</v>
      </c>
      <c r="E983" s="5">
        <v>1.1005585669256357</v>
      </c>
      <c r="F983" s="5">
        <v>1.3911792415861857</v>
      </c>
      <c r="G983" s="5">
        <v>7.594719936584116</v>
      </c>
      <c r="H983" s="5">
        <v>-6.250235726570552</v>
      </c>
      <c r="I983" s="5">
        <v>-3.6582843417767243</v>
      </c>
      <c r="J983" s="5">
        <v>-2.3327327233689856</v>
      </c>
      <c r="K983" s="5">
        <v>19.44852656600913</v>
      </c>
      <c r="L983" s="9" t="b">
        <v>0</v>
      </c>
    </row>
    <row r="984" ht="15.75" customHeight="1">
      <c r="A984" s="5">
        <v>13.0</v>
      </c>
      <c r="B984" s="5">
        <v>20121.0</v>
      </c>
      <c r="C984" s="5">
        <v>4734.917534277221</v>
      </c>
      <c r="D984" s="5">
        <v>3976.266631144632</v>
      </c>
      <c r="E984" s="5">
        <v>-2.4733772548461097</v>
      </c>
      <c r="F984" s="5">
        <v>1.085486890826815</v>
      </c>
      <c r="G984" s="5">
        <v>6.355531647182609</v>
      </c>
      <c r="H984" s="5">
        <v>-5.688812684722855</v>
      </c>
      <c r="I984" s="5">
        <v>-4.958727467291058</v>
      </c>
      <c r="J984" s="5">
        <v>-4.757050896761106</v>
      </c>
      <c r="K984" s="5">
        <v>19.079477648464426</v>
      </c>
      <c r="L984" s="9" t="b">
        <v>0</v>
      </c>
    </row>
    <row r="985" ht="15.75" customHeight="1">
      <c r="A985" s="5">
        <v>13.0</v>
      </c>
      <c r="B985" s="5">
        <v>20122.0</v>
      </c>
      <c r="C985" s="5">
        <v>4762.0</v>
      </c>
      <c r="D985" s="5">
        <v>3943.579252623856</v>
      </c>
      <c r="E985" s="5">
        <v>-1.1828180120356913</v>
      </c>
      <c r="F985" s="5">
        <v>0.43294480556247184</v>
      </c>
      <c r="G985" s="5">
        <v>4.302448705805812</v>
      </c>
      <c r="H985" s="5">
        <v>-5.936228726852222</v>
      </c>
      <c r="I985" s="5">
        <v>-5.753004301414749</v>
      </c>
      <c r="J985" s="5">
        <v>-5.183025345629657</v>
      </c>
      <c r="K985" s="5">
        <v>20.753247112546514</v>
      </c>
      <c r="L985" s="9" t="b">
        <v>0</v>
      </c>
    </row>
    <row r="986" ht="15.75" customHeight="1">
      <c r="A986" s="5">
        <v>13.0</v>
      </c>
      <c r="B986" s="5">
        <v>20123.0</v>
      </c>
      <c r="C986" s="5">
        <v>4759.43129098217</v>
      </c>
      <c r="D986" s="5">
        <v>3835.397783760039</v>
      </c>
      <c r="E986" s="5">
        <v>-5.716495820479994</v>
      </c>
      <c r="F986" s="5">
        <v>-2.0680331301090393</v>
      </c>
      <c r="G986" s="5">
        <v>-1.8858277633602398</v>
      </c>
      <c r="H986" s="5">
        <v>-7.2260231360098075</v>
      </c>
      <c r="I986" s="5">
        <v>-6.275325068538859</v>
      </c>
      <c r="J986" s="5">
        <v>-4.5627573050608685</v>
      </c>
      <c r="K986" s="5">
        <v>24.09224699285959</v>
      </c>
      <c r="L986" s="9" t="b">
        <v>0</v>
      </c>
    </row>
    <row r="987" ht="15.75" customHeight="1">
      <c r="A987" s="5">
        <v>13.0</v>
      </c>
      <c r="B987" s="5">
        <v>20124.0</v>
      </c>
      <c r="C987" s="5">
        <v>4567.484188068192</v>
      </c>
      <c r="D987" s="5">
        <v>3784.679431859356</v>
      </c>
      <c r="E987" s="5">
        <v>-5.766779697375856</v>
      </c>
      <c r="F987" s="5">
        <v>-3.7848676961844125</v>
      </c>
      <c r="G987" s="5">
        <v>-5.176046937770598</v>
      </c>
      <c r="H987" s="5">
        <v>-6.73109518046614</v>
      </c>
      <c r="I987" s="5">
        <v>-6.395539932012756</v>
      </c>
      <c r="J987" s="5">
        <v>-2.737255590236032</v>
      </c>
      <c r="K987" s="5">
        <v>20.683515481369486</v>
      </c>
      <c r="L987" s="9" t="b">
        <v>0</v>
      </c>
    </row>
    <row r="988" ht="15.75" customHeight="1">
      <c r="A988" s="5">
        <v>13.0</v>
      </c>
      <c r="B988" s="5">
        <v>20131.0</v>
      </c>
      <c r="C988" s="5">
        <v>4547.0</v>
      </c>
      <c r="D988" s="5">
        <v>3736.773351675229</v>
      </c>
      <c r="E988" s="5">
        <v>-3.9687604465514004</v>
      </c>
      <c r="F988" s="5">
        <v>-4.158713494110735</v>
      </c>
      <c r="G988" s="5">
        <v>-5.24420038493755</v>
      </c>
      <c r="H988" s="5">
        <v>-6.023068915790009</v>
      </c>
      <c r="I988" s="5">
        <v>-6.479103989779544</v>
      </c>
      <c r="J988" s="5">
        <v>-1.520376522488486</v>
      </c>
      <c r="K988" s="5">
        <v>21.682520508275903</v>
      </c>
      <c r="L988" s="9" t="b">
        <v>0</v>
      </c>
    </row>
    <row r="989" ht="15.75" customHeight="1">
      <c r="A989" s="5">
        <v>13.0</v>
      </c>
      <c r="B989" s="5">
        <v>20132.0</v>
      </c>
      <c r="C989" s="5">
        <v>4581.208720994747</v>
      </c>
      <c r="D989" s="5">
        <v>3699.522213688879</v>
      </c>
      <c r="E989" s="5">
        <v>-3.7965409282917584</v>
      </c>
      <c r="F989" s="5">
        <v>-4.8121442231747515</v>
      </c>
      <c r="G989" s="5">
        <v>-5.245089028737223</v>
      </c>
      <c r="H989" s="5">
        <v>-6.188719011354815</v>
      </c>
      <c r="I989" s="5">
        <v>-6.542226560905193</v>
      </c>
      <c r="J989" s="5">
        <v>-0.7892222594904439</v>
      </c>
      <c r="K989" s="5">
        <v>23.83244257984107</v>
      </c>
      <c r="L989" s="9" t="b">
        <v>0</v>
      </c>
    </row>
    <row r="990" ht="15.75" customHeight="1">
      <c r="A990" s="5">
        <v>13.0</v>
      </c>
      <c r="B990" s="5">
        <v>20133.0</v>
      </c>
      <c r="C990" s="5">
        <v>4443.709901560958</v>
      </c>
      <c r="D990" s="5">
        <v>3771.6973941540346</v>
      </c>
      <c r="E990" s="5">
        <v>-6.633594858684444</v>
      </c>
      <c r="F990" s="5">
        <v>-5.041418982725864</v>
      </c>
      <c r="G990" s="5">
        <v>-2.973385852616825</v>
      </c>
      <c r="H990" s="5">
        <v>-1.6608548369018372</v>
      </c>
      <c r="I990" s="5">
        <v>-5.1509344861282</v>
      </c>
      <c r="J990" s="5">
        <v>1.1243905824106584</v>
      </c>
      <c r="K990" s="5">
        <v>17.81724346307616</v>
      </c>
      <c r="L990" s="9" t="b">
        <v>0</v>
      </c>
    </row>
    <row r="991" ht="15.75" customHeight="1">
      <c r="A991" s="5">
        <v>13.0</v>
      </c>
      <c r="B991" s="5">
        <v>20134.0</v>
      </c>
      <c r="C991" s="5">
        <v>4741.504587617126</v>
      </c>
      <c r="D991" s="5">
        <v>3762.495703624322</v>
      </c>
      <c r="E991" s="5">
        <v>3.8099836230092166</v>
      </c>
      <c r="F991" s="5">
        <v>-2.647228152629596</v>
      </c>
      <c r="G991" s="5">
        <v>1.1376395435548163</v>
      </c>
      <c r="H991" s="5">
        <v>-0.5861455014734451</v>
      </c>
      <c r="I991" s="5">
        <v>-3.6146970663800264</v>
      </c>
      <c r="J991" s="5">
        <v>2.7808428656327298</v>
      </c>
      <c r="K991" s="5">
        <v>26.020199386533484</v>
      </c>
      <c r="L991" s="9" t="b">
        <v>0</v>
      </c>
    </row>
    <row r="992" ht="15.75" customHeight="1">
      <c r="A992" s="5">
        <v>13.0</v>
      </c>
      <c r="B992" s="5">
        <v>20141.0</v>
      </c>
      <c r="C992" s="5">
        <v>4732.029037516772</v>
      </c>
      <c r="D992" s="5">
        <v>3797.414303741127</v>
      </c>
      <c r="E992" s="5">
        <v>4.069255278574269</v>
      </c>
      <c r="F992" s="5">
        <v>-0.6377242213481791</v>
      </c>
      <c r="G992" s="5">
        <v>3.520989272762556</v>
      </c>
      <c r="H992" s="5">
        <v>1.6228158991422825</v>
      </c>
      <c r="I992" s="5">
        <v>-1.7032258626469534</v>
      </c>
      <c r="J992" s="5">
        <v>4.77587812713259</v>
      </c>
      <c r="K992" s="5">
        <v>24.611871632096726</v>
      </c>
      <c r="L992" s="9" t="b">
        <v>0</v>
      </c>
    </row>
    <row r="993" ht="15.75" customHeight="1">
      <c r="A993" s="5">
        <v>13.0</v>
      </c>
      <c r="B993" s="5">
        <v>20142.0</v>
      </c>
      <c r="C993" s="5">
        <v>4699.14374701463</v>
      </c>
      <c r="D993" s="5">
        <v>3764.7065906218713</v>
      </c>
      <c r="E993" s="5">
        <v>2.5743211716028336</v>
      </c>
      <c r="F993" s="5">
        <v>0.954991303625469</v>
      </c>
      <c r="G993" s="5">
        <v>5.767135526800221</v>
      </c>
      <c r="H993" s="5">
        <v>1.7619674424929288</v>
      </c>
      <c r="I993" s="5">
        <v>0.28444575081498225</v>
      </c>
      <c r="J993" s="5">
        <v>6.826672311720175</v>
      </c>
      <c r="K993" s="5">
        <v>24.820982297013593</v>
      </c>
      <c r="L993" s="9" t="b">
        <v>0</v>
      </c>
    </row>
    <row r="994" ht="15.75" customHeight="1">
      <c r="A994" s="5">
        <v>13.0</v>
      </c>
      <c r="B994" s="5">
        <v>20143.0</v>
      </c>
      <c r="C994" s="5">
        <v>4745.115763640425</v>
      </c>
      <c r="D994" s="5">
        <v>3783.2953939243935</v>
      </c>
      <c r="E994" s="5">
        <v>6.782752896933952</v>
      </c>
      <c r="F994" s="5">
        <v>4.309078242530068</v>
      </c>
      <c r="G994" s="5">
        <v>9.350497225255932</v>
      </c>
      <c r="H994" s="5">
        <v>0.30750080290999904</v>
      </c>
      <c r="I994" s="5">
        <v>0.7765346607679413</v>
      </c>
      <c r="J994" s="5">
        <v>5.927469146896142</v>
      </c>
      <c r="K994" s="5">
        <v>25.422819779301985</v>
      </c>
      <c r="L994" s="9" t="b">
        <v>0</v>
      </c>
    </row>
    <row r="995" ht="15.75" customHeight="1">
      <c r="A995" s="5">
        <v>13.0</v>
      </c>
      <c r="B995" s="5">
        <v>20144.0</v>
      </c>
      <c r="C995" s="5">
        <v>4840.629328772304</v>
      </c>
      <c r="D995" s="5">
        <v>3852.2382799288334</v>
      </c>
      <c r="E995" s="5">
        <v>2.090575666931782</v>
      </c>
      <c r="F995" s="5">
        <v>3.8792262535107094</v>
      </c>
      <c r="G995" s="5">
        <v>6.526454406140306</v>
      </c>
      <c r="H995" s="5">
        <v>2.385187475910322</v>
      </c>
      <c r="I995" s="5">
        <v>1.519367905113883</v>
      </c>
      <c r="J995" s="5">
        <v>5.13406497149391</v>
      </c>
      <c r="K995" s="5">
        <v>25.65757819274175</v>
      </c>
      <c r="L995" s="9" t="b">
        <v>0</v>
      </c>
    </row>
    <row r="996" ht="15.75" customHeight="1">
      <c r="A996" s="5">
        <v>13.0</v>
      </c>
      <c r="B996" s="5">
        <v>20151.0</v>
      </c>
      <c r="C996" s="5">
        <v>4779.298709031604</v>
      </c>
      <c r="D996" s="5">
        <v>3745.746928058662</v>
      </c>
      <c r="E996" s="5">
        <v>0.9989302926940002</v>
      </c>
      <c r="F996" s="5">
        <v>3.111645007040642</v>
      </c>
      <c r="G996" s="5">
        <v>3.7493692283888214</v>
      </c>
      <c r="H996" s="5">
        <v>-1.3605935921072176</v>
      </c>
      <c r="I996" s="5">
        <v>0.773515532301508</v>
      </c>
      <c r="J996" s="5">
        <v>2.4767413949484616</v>
      </c>
      <c r="K996" s="5">
        <v>27.592675127911235</v>
      </c>
      <c r="L996" s="9" t="b">
        <v>0</v>
      </c>
    </row>
    <row r="997" ht="15.75" customHeight="1">
      <c r="A997" s="5">
        <v>13.0</v>
      </c>
      <c r="B997" s="5">
        <v>20152.0</v>
      </c>
      <c r="C997" s="5">
        <v>4822.475183318822</v>
      </c>
      <c r="D997" s="5">
        <v>3830.8674927804345</v>
      </c>
      <c r="E997" s="5">
        <v>2.624551257503982</v>
      </c>
      <c r="F997" s="5">
        <v>3.1242025285159296</v>
      </c>
      <c r="G997" s="5">
        <v>2.1692112248904607</v>
      </c>
      <c r="H997" s="5">
        <v>1.7573986329605162</v>
      </c>
      <c r="I997" s="5">
        <v>0.7723733299184049</v>
      </c>
      <c r="J997" s="5">
        <v>0.48792757910342266</v>
      </c>
      <c r="K997" s="5">
        <v>25.884677358513407</v>
      </c>
      <c r="L997" s="9" t="b">
        <v>0</v>
      </c>
    </row>
    <row r="998" ht="15.75" customHeight="1">
      <c r="A998" s="5">
        <v>13.0</v>
      </c>
      <c r="B998" s="5">
        <v>20153.0</v>
      </c>
      <c r="C998" s="5">
        <v>4696.407341703129</v>
      </c>
      <c r="D998" s="5">
        <v>3829.479217045844</v>
      </c>
      <c r="E998" s="5">
        <v>-1.02649596687453</v>
      </c>
      <c r="F998" s="5">
        <v>1.171890312563809</v>
      </c>
      <c r="G998" s="5">
        <v>-3.1371879299662595</v>
      </c>
      <c r="H998" s="5">
        <v>1.2207300332830906</v>
      </c>
      <c r="I998" s="5">
        <v>1.0006806375116777</v>
      </c>
      <c r="J998" s="5">
        <v>0.22414597674373637</v>
      </c>
      <c r="K998" s="5">
        <v>22.638277309311384</v>
      </c>
      <c r="L998" s="9" t="b">
        <v>0</v>
      </c>
    </row>
    <row r="999" ht="15.75" customHeight="1">
      <c r="A999" s="5">
        <v>13.0</v>
      </c>
      <c r="B999" s="5">
        <v>20154.0</v>
      </c>
      <c r="C999" s="5">
        <v>4609.028180072581</v>
      </c>
      <c r="D999" s="5">
        <v>3789.4244780901886</v>
      </c>
      <c r="E999" s="5">
        <v>-4.784525584785115</v>
      </c>
      <c r="F999" s="5">
        <v>-0.5468850003654153</v>
      </c>
      <c r="G999" s="5">
        <v>-4.426111253876124</v>
      </c>
      <c r="H999" s="5">
        <v>-1.6305793482693232</v>
      </c>
      <c r="I999" s="5">
        <v>-0.003261068533233491</v>
      </c>
      <c r="J999" s="5">
        <v>-1.5226289736471166</v>
      </c>
      <c r="K999" s="5">
        <v>21.628711872243443</v>
      </c>
      <c r="L999" s="9" t="b">
        <v>0</v>
      </c>
    </row>
    <row r="1000" ht="15.75" customHeight="1">
      <c r="A1000" s="5">
        <v>13.0</v>
      </c>
      <c r="B1000" s="5">
        <v>20161.0</v>
      </c>
      <c r="C1000" s="5">
        <v>4669.5282617259</v>
      </c>
      <c r="D1000" s="5">
        <v>3869.877343785591</v>
      </c>
      <c r="E1000" s="5">
        <v>-2.2967898427915134</v>
      </c>
      <c r="F1000" s="5">
        <v>-1.3708150342367937</v>
      </c>
      <c r="G1000" s="5">
        <v>-4.482460041277436</v>
      </c>
      <c r="H1000" s="5">
        <v>3.3139028906916446</v>
      </c>
      <c r="I1000" s="5">
        <v>1.165363052166482</v>
      </c>
      <c r="J1000" s="5">
        <v>0.3918475198649739</v>
      </c>
      <c r="K1000" s="5">
        <v>20.663469327378593</v>
      </c>
      <c r="L1000" s="9" t="b">
        <v>0</v>
      </c>
    </row>
    <row r="1001" ht="15.75" customHeight="1">
      <c r="A1001" s="5">
        <v>13.0</v>
      </c>
      <c r="B1001" s="5">
        <v>20162.0</v>
      </c>
      <c r="C1001" s="5">
        <v>4832.378837621423</v>
      </c>
      <c r="D1001" s="5">
        <v>3929.838041502912</v>
      </c>
      <c r="E1001" s="5">
        <v>0.20536454675512683</v>
      </c>
      <c r="F1001" s="5">
        <v>-1.9756117119240078</v>
      </c>
      <c r="G1001" s="5">
        <v>-5.099814240439938</v>
      </c>
      <c r="H1001" s="5">
        <v>2.5835022722397794</v>
      </c>
      <c r="I1001" s="5">
        <v>1.371888961986298</v>
      </c>
      <c r="J1001" s="5">
        <v>0.599515632067893</v>
      </c>
      <c r="K1001" s="5">
        <v>22.966361121929268</v>
      </c>
      <c r="L1001" s="9" t="b">
        <v>0</v>
      </c>
    </row>
    <row r="1002" ht="15.75" customHeight="1">
      <c r="A1002" s="5">
        <v>13.0</v>
      </c>
      <c r="B1002" s="5">
        <v>20163.0</v>
      </c>
      <c r="C1002" s="5">
        <v>4793.278680104492</v>
      </c>
      <c r="D1002" s="5">
        <v>3960.1410873034383</v>
      </c>
      <c r="E1002" s="5">
        <v>2.0626690010716597</v>
      </c>
      <c r="F1002" s="5">
        <v>-1.2033204699374602</v>
      </c>
      <c r="G1002" s="5">
        <v>-2.375210782501269</v>
      </c>
      <c r="H1002" s="5">
        <v>3.412001028129086</v>
      </c>
      <c r="I1002" s="5">
        <v>1.9197067106977967</v>
      </c>
      <c r="J1002" s="5">
        <v>0.9190260731861191</v>
      </c>
      <c r="K1002" s="5">
        <v>21.038078554124407</v>
      </c>
      <c r="L1002" s="9" t="b">
        <v>0</v>
      </c>
    </row>
    <row r="1003" ht="15.75" customHeight="1">
      <c r="A1003" s="5">
        <v>13.0</v>
      </c>
      <c r="B1003" s="5">
        <v>20164.0</v>
      </c>
      <c r="C1003" s="5">
        <v>4822.56905225318</v>
      </c>
      <c r="D1003" s="5">
        <v>4008.569233663311</v>
      </c>
      <c r="E1003" s="5">
        <v>4.63309973030448</v>
      </c>
      <c r="F1003" s="5">
        <v>1.1510858588349384</v>
      </c>
      <c r="G1003" s="5">
        <v>1.6979708592003537</v>
      </c>
      <c r="H1003" s="5">
        <v>5.783061698159719</v>
      </c>
      <c r="I1003" s="5">
        <v>3.7731169723050573</v>
      </c>
      <c r="J1003" s="5">
        <v>3.7763780408382908</v>
      </c>
      <c r="K1003" s="5">
        <v>20.30649269455125</v>
      </c>
      <c r="L1003" s="9" t="b">
        <v>0</v>
      </c>
    </row>
    <row r="1004" ht="15.75" customHeight="1">
      <c r="A1004" s="5">
        <v>13.0</v>
      </c>
      <c r="B1004" s="5">
        <v>20171.0</v>
      </c>
      <c r="C1004" s="5">
        <v>4694.383250616921</v>
      </c>
      <c r="D1004" s="5">
        <v>3991.384848288501</v>
      </c>
      <c r="E1004" s="5">
        <v>0.5322805109618134</v>
      </c>
      <c r="F1004" s="5">
        <v>1.8583534472732701</v>
      </c>
      <c r="G1004" s="5">
        <v>3.229168481510064</v>
      </c>
      <c r="H1004" s="5">
        <v>3.1398283125957827</v>
      </c>
      <c r="I1004" s="5">
        <v>3.7295983277810913</v>
      </c>
      <c r="J1004" s="5">
        <v>2.5642352756146094</v>
      </c>
      <c r="K1004" s="5">
        <v>17.612894497754695</v>
      </c>
      <c r="L1004" s="9" t="b">
        <v>0</v>
      </c>
    </row>
    <row r="1005" ht="15.75" customHeight="1">
      <c r="A1005" s="5">
        <v>13.0</v>
      </c>
      <c r="B1005" s="5">
        <v>20172.0</v>
      </c>
      <c r="C1005" s="5">
        <v>5236.0</v>
      </c>
      <c r="D1005" s="5">
        <v>4176.66794477328</v>
      </c>
      <c r="E1005" s="5">
        <v>8.35243212382839</v>
      </c>
      <c r="F1005" s="5">
        <v>3.8951203415415856</v>
      </c>
      <c r="G1005" s="5">
        <v>5.870732053465593</v>
      </c>
      <c r="H1005" s="5">
        <v>6.280917958032983</v>
      </c>
      <c r="I1005" s="5">
        <v>4.653952249229393</v>
      </c>
      <c r="J1005" s="5">
        <v>3.282063287243095</v>
      </c>
      <c r="K1005" s="5">
        <v>25.363090129115417</v>
      </c>
      <c r="L1005" s="9" t="b">
        <v>0</v>
      </c>
    </row>
    <row r="1006" ht="15.75" customHeight="1">
      <c r="A1006" s="5">
        <v>13.0</v>
      </c>
      <c r="B1006" s="5">
        <v>20173.0</v>
      </c>
      <c r="C1006" s="5">
        <v>5359.0</v>
      </c>
      <c r="D1006" s="5">
        <v>4208.093409735269</v>
      </c>
      <c r="E1006" s="5">
        <v>11.802387418942551</v>
      </c>
      <c r="F1006" s="5">
        <v>6.330049946009309</v>
      </c>
      <c r="G1006" s="5">
        <v>7.533370415946769</v>
      </c>
      <c r="H1006" s="5">
        <v>6.26119920895718</v>
      </c>
      <c r="I1006" s="5">
        <v>5.366251794436416</v>
      </c>
      <c r="J1006" s="5">
        <v>3.4465450837386196</v>
      </c>
      <c r="K1006" s="5">
        <v>27.349834668644736</v>
      </c>
      <c r="L1006" s="9" t="b">
        <v>0</v>
      </c>
    </row>
    <row r="1007" ht="15.75" customHeight="1">
      <c r="A1007" s="5">
        <v>13.0</v>
      </c>
      <c r="B1007" s="5">
        <v>20174.0</v>
      </c>
      <c r="C1007" s="5">
        <v>5468.0</v>
      </c>
      <c r="D1007" s="5">
        <v>4306.806913912485</v>
      </c>
      <c r="E1007" s="5">
        <v>13.383550152491107</v>
      </c>
      <c r="F1007" s="5">
        <v>8.517662551555965</v>
      </c>
      <c r="G1007" s="5">
        <v>7.3665766927210266</v>
      </c>
      <c r="H1007" s="5">
        <v>7.440003224707259</v>
      </c>
      <c r="I1007" s="5">
        <v>5.780487176073301</v>
      </c>
      <c r="J1007" s="5">
        <v>2.0073702037682435</v>
      </c>
      <c r="K1007" s="5">
        <v>26.961809742072674</v>
      </c>
      <c r="L1007" s="9" t="b">
        <v>0</v>
      </c>
    </row>
    <row r="1008" ht="15.75" customHeight="1">
      <c r="A1008" s="5">
        <v>13.0</v>
      </c>
      <c r="B1008" s="5">
        <v>20181.0</v>
      </c>
      <c r="C1008" s="5">
        <v>5257.0</v>
      </c>
      <c r="D1008" s="5">
        <v>4365.313216196571</v>
      </c>
      <c r="E1008" s="5">
        <v>11.9848917173335</v>
      </c>
      <c r="F1008" s="5">
        <v>11.380815353148888</v>
      </c>
      <c r="G1008" s="5">
        <v>9.522461905875618</v>
      </c>
      <c r="H1008" s="5">
        <v>9.368386715914156</v>
      </c>
      <c r="I1008" s="5">
        <v>7.337626776902894</v>
      </c>
      <c r="J1008" s="5">
        <v>3.608028449121803</v>
      </c>
      <c r="K1008" s="5">
        <v>20.426639272870805</v>
      </c>
      <c r="L1008" s="9" t="b">
        <v>0</v>
      </c>
    </row>
    <row r="1009" ht="15.75" customHeight="1">
      <c r="A1009" s="5">
        <v>13.0</v>
      </c>
      <c r="B1009" s="5">
        <v>20182.0</v>
      </c>
      <c r="C1009" s="5">
        <v>5513.0</v>
      </c>
      <c r="D1009" s="5">
        <v>4546.132548602982</v>
      </c>
      <c r="E1009" s="5">
        <v>5.290297937356758</v>
      </c>
      <c r="F1009" s="5">
        <v>10.615281806530978</v>
      </c>
      <c r="G1009" s="5">
        <v>6.720161464989393</v>
      </c>
      <c r="H1009" s="5">
        <v>8.845917576283568</v>
      </c>
      <c r="I1009" s="5">
        <v>7.978876681465541</v>
      </c>
      <c r="J1009" s="5">
        <v>3.3249244322361484</v>
      </c>
      <c r="K1009" s="5">
        <v>21.267911594309652</v>
      </c>
      <c r="L1009" s="9" t="b">
        <v>0</v>
      </c>
    </row>
    <row r="1010" ht="15.75" customHeight="1">
      <c r="A1010" s="5">
        <v>13.0</v>
      </c>
      <c r="B1010" s="5">
        <v>20183.0</v>
      </c>
      <c r="C1010" s="5">
        <v>5672.0</v>
      </c>
      <c r="D1010" s="5">
        <v>4783.283809139707</v>
      </c>
      <c r="E1010" s="5">
        <v>5.840641910804245</v>
      </c>
      <c r="F1010" s="5">
        <v>9.124845429496402</v>
      </c>
      <c r="G1010" s="5">
        <v>2.7947954834870927</v>
      </c>
      <c r="H1010" s="5">
        <v>13.668669950951085</v>
      </c>
      <c r="I1010" s="5">
        <v>9.830744366964018</v>
      </c>
      <c r="J1010" s="5">
        <v>4.464492572527601</v>
      </c>
      <c r="K1010" s="5">
        <v>18.579624925499296</v>
      </c>
      <c r="L1010" s="9" t="b">
        <v>0</v>
      </c>
    </row>
    <row r="1011" ht="15.75" customHeight="1">
      <c r="A1011" s="5">
        <v>13.0</v>
      </c>
      <c r="B1011" s="5">
        <v>20184.0</v>
      </c>
      <c r="C1011" s="5">
        <v>5880.256456533486</v>
      </c>
      <c r="D1011" s="5">
        <v>4827.843486162105</v>
      </c>
      <c r="E1011" s="5">
        <v>7.539437756647516</v>
      </c>
      <c r="F1011" s="5">
        <v>7.6638173305355055</v>
      </c>
      <c r="G1011" s="5">
        <v>-0.8538452210204595</v>
      </c>
      <c r="H1011" s="5">
        <v>12.097978448174484</v>
      </c>
      <c r="I1011" s="5">
        <v>10.995238172830822</v>
      </c>
      <c r="J1011" s="5">
        <v>5.214750996757521</v>
      </c>
      <c r="K1011" s="5">
        <v>21.798821220859345</v>
      </c>
      <c r="L1011" s="9" t="b">
        <v>0</v>
      </c>
    </row>
    <row r="1012" ht="15.75" customHeight="1">
      <c r="A1012" s="5">
        <v>13.0</v>
      </c>
      <c r="B1012" s="5">
        <v>20191.0</v>
      </c>
      <c r="C1012" s="5">
        <v>5960.421967637306</v>
      </c>
      <c r="D1012" s="5">
        <v>5064.776095845831</v>
      </c>
      <c r="E1012" s="5">
        <v>13.380672772252344</v>
      </c>
      <c r="F1012" s="5">
        <v>8.012762594265215</v>
      </c>
      <c r="G1012" s="5">
        <v>-3.368052758883673</v>
      </c>
      <c r="H1012" s="5">
        <v>16.023200283866256</v>
      </c>
      <c r="I1012" s="5">
        <v>12.658941564818848</v>
      </c>
      <c r="J1012" s="5">
        <v>5.321314787915954</v>
      </c>
      <c r="K1012" s="5">
        <v>17.683819676176604</v>
      </c>
      <c r="L1012" s="9" t="b">
        <v>0</v>
      </c>
    </row>
    <row r="1013" ht="15.75" customHeight="1">
      <c r="A1013" s="5">
        <v>13.0</v>
      </c>
      <c r="B1013" s="5">
        <v>20192.0</v>
      </c>
      <c r="C1013" s="5">
        <v>6494.7445377590975</v>
      </c>
      <c r="D1013" s="5">
        <v>5223.831571996178</v>
      </c>
      <c r="E1013" s="5">
        <v>17.8078095004371</v>
      </c>
      <c r="F1013" s="5">
        <v>11.1421404850353</v>
      </c>
      <c r="G1013" s="5">
        <v>0.5268586785043219</v>
      </c>
      <c r="H1013" s="5">
        <v>14.907154953091982</v>
      </c>
      <c r="I1013" s="5">
        <v>14.174250909020952</v>
      </c>
      <c r="J1013" s="5">
        <v>6.19537422755541</v>
      </c>
      <c r="K1013" s="5">
        <v>24.329133668397862</v>
      </c>
      <c r="L1013" s="9" t="b">
        <v>0</v>
      </c>
    </row>
    <row r="1014" ht="15.75" customHeight="1">
      <c r="A1014" s="5">
        <v>13.0</v>
      </c>
      <c r="B1014" s="5">
        <v>20193.0</v>
      </c>
      <c r="C1014" s="5">
        <v>6649.788524360805</v>
      </c>
      <c r="D1014" s="5">
        <v>5343.802647805521</v>
      </c>
      <c r="E1014" s="5">
        <v>17.238866790564277</v>
      </c>
      <c r="F1014" s="5">
        <v>13.991696704975308</v>
      </c>
      <c r="G1014" s="5">
        <v>4.866851275478906</v>
      </c>
      <c r="H1014" s="5">
        <v>11.718285199694755</v>
      </c>
      <c r="I1014" s="5">
        <v>13.68665472120687</v>
      </c>
      <c r="J1014" s="5">
        <v>3.8559103542428517</v>
      </c>
      <c r="K1014" s="5">
        <v>24.439261002492273</v>
      </c>
      <c r="L1014" s="9" t="b">
        <v>0</v>
      </c>
    </row>
    <row r="1015" ht="15.75" customHeight="1">
      <c r="A1015" s="5">
        <v>13.0</v>
      </c>
      <c r="B1015" s="5">
        <v>20194.0</v>
      </c>
      <c r="C1015" s="5">
        <v>6752.30408951808</v>
      </c>
      <c r="D1015" s="5">
        <v>5501.213351832478</v>
      </c>
      <c r="E1015" s="5">
        <v>14.830095242116048</v>
      </c>
      <c r="F1015" s="5">
        <v>15.814361076342442</v>
      </c>
      <c r="G1015" s="5">
        <v>8.150543745806935</v>
      </c>
      <c r="H1015" s="5">
        <v>13.94763246986841</v>
      </c>
      <c r="I1015" s="5">
        <v>14.149068226630352</v>
      </c>
      <c r="J1015" s="5">
        <v>3.1538300537995294</v>
      </c>
      <c r="K1015" s="5">
        <v>22.742087202796068</v>
      </c>
      <c r="L1015" s="9" t="b">
        <v>0</v>
      </c>
    </row>
    <row r="1016" ht="15.75" customHeight="1">
      <c r="A1016" s="5">
        <v>13.0</v>
      </c>
      <c r="B1016" s="5">
        <v>20201.0</v>
      </c>
      <c r="C1016" s="5">
        <v>6913.0954188186815</v>
      </c>
      <c r="D1016" s="5">
        <v>5612.727010401402</v>
      </c>
      <c r="E1016" s="5">
        <v>15.983322260638744</v>
      </c>
      <c r="F1016" s="5">
        <v>16.46502344843904</v>
      </c>
      <c r="G1016" s="5">
        <v>8.452260854173826</v>
      </c>
      <c r="H1016" s="5">
        <v>10.818857619490906</v>
      </c>
      <c r="I1016" s="5">
        <v>12.847982560536513</v>
      </c>
      <c r="J1016" s="5">
        <v>0.18904099571766508</v>
      </c>
      <c r="K1016" s="5">
        <v>23.168210497454456</v>
      </c>
      <c r="L1016" s="9" t="b">
        <v>0</v>
      </c>
    </row>
    <row r="1017" ht="15.75" customHeight="1">
      <c r="A1017" s="5">
        <v>13.0</v>
      </c>
      <c r="B1017" s="5">
        <v>20202.0</v>
      </c>
      <c r="C1017" s="5">
        <v>6732.1583810221</v>
      </c>
      <c r="D1017" s="5">
        <v>5842.218032782261</v>
      </c>
      <c r="E1017" s="5">
        <v>3.655476237482902</v>
      </c>
      <c r="F1017" s="5">
        <v>12.926940132700492</v>
      </c>
      <c r="G1017" s="5">
        <v>1.7847996476651922</v>
      </c>
      <c r="H1017" s="5">
        <v>11.837794773114773</v>
      </c>
      <c r="I1017" s="5">
        <v>12.08064251554221</v>
      </c>
      <c r="J1017" s="5">
        <v>-2.093608393478741</v>
      </c>
      <c r="K1017" s="5">
        <v>15.232919128422528</v>
      </c>
      <c r="L1017" s="9" t="b">
        <v>0</v>
      </c>
    </row>
    <row r="1018" ht="15.75" customHeight="1">
      <c r="A1018" s="5">
        <v>13.0</v>
      </c>
      <c r="B1018" s="5">
        <v>20203.0</v>
      </c>
      <c r="C1018" s="5">
        <v>7014.256733921132</v>
      </c>
      <c r="D1018" s="5">
        <v>6029.604021331633</v>
      </c>
      <c r="E1018" s="5">
        <v>5.480899253038429</v>
      </c>
      <c r="F1018" s="5">
        <v>9.98744824831903</v>
      </c>
      <c r="G1018" s="5">
        <v>-4.004248456656278</v>
      </c>
      <c r="H1018" s="5">
        <v>12.83358347463941</v>
      </c>
      <c r="I1018" s="5">
        <v>12.359467084278375</v>
      </c>
      <c r="J1018" s="5">
        <v>-1.3271876369284943</v>
      </c>
      <c r="K1018" s="5">
        <v>16.330304761406865</v>
      </c>
      <c r="L1018" s="9" t="b">
        <v>0</v>
      </c>
    </row>
    <row r="1019" ht="15.75" customHeight="1">
      <c r="A1019" s="5">
        <v>13.0</v>
      </c>
      <c r="B1019" s="5">
        <v>20204.0</v>
      </c>
      <c r="C1019" s="5">
        <v>7155.549702802031</v>
      </c>
      <c r="D1019" s="5">
        <v>6110.924063888302</v>
      </c>
      <c r="E1019" s="5">
        <v>5.971970573865715</v>
      </c>
      <c r="F1019" s="5">
        <v>7.772917081256447</v>
      </c>
      <c r="G1019" s="5">
        <v>-8.041443995085995</v>
      </c>
      <c r="H1019" s="5">
        <v>11.083204250799072</v>
      </c>
      <c r="I1019" s="5">
        <v>11.64336002951104</v>
      </c>
      <c r="J1019" s="5">
        <v>-2.5057081971193114</v>
      </c>
      <c r="K1019" s="5">
        <v>17.094397311968024</v>
      </c>
      <c r="L1019" s="9" t="b">
        <v>0</v>
      </c>
    </row>
    <row r="1020" ht="15.75" customHeight="1">
      <c r="A1020" s="5">
        <v>13.0</v>
      </c>
      <c r="B1020" s="5">
        <v>20211.0</v>
      </c>
      <c r="C1020" s="5">
        <v>7642.760480343337</v>
      </c>
      <c r="D1020" s="5">
        <v>6121.897348316436</v>
      </c>
      <c r="E1020" s="5">
        <v>10.554824102939131</v>
      </c>
      <c r="F1020" s="5">
        <v>6.415792541831545</v>
      </c>
      <c r="G1020" s="5">
        <v>-10.049230906607496</v>
      </c>
      <c r="H1020" s="5">
        <v>9.071710364167874</v>
      </c>
      <c r="I1020" s="5">
        <v>11.206573215680283</v>
      </c>
      <c r="J1020" s="5">
        <v>-1.6414093448562301</v>
      </c>
      <c r="K1020" s="5">
        <v>24.84300283873835</v>
      </c>
      <c r="L1020" s="9" t="b">
        <v>0</v>
      </c>
    </row>
    <row r="1021" ht="15.75" customHeight="1">
      <c r="A1021" s="5">
        <v>13.0</v>
      </c>
      <c r="B1021" s="5">
        <v>20212.0</v>
      </c>
      <c r="C1021" s="5">
        <v>7853.5250740778365</v>
      </c>
      <c r="D1021" s="5">
        <v>6411.815023684689</v>
      </c>
      <c r="E1021" s="5">
        <v>16.65686737580121</v>
      </c>
      <c r="F1021" s="5">
        <v>9.66614032641112</v>
      </c>
      <c r="G1021" s="5">
        <v>-3.2607998062893717</v>
      </c>
      <c r="H1021" s="5">
        <v>9.749670205840765</v>
      </c>
      <c r="I1021" s="5">
        <v>10.684542073861781</v>
      </c>
      <c r="J1021" s="5">
        <v>-1.3961004416804297</v>
      </c>
      <c r="K1021" s="5">
        <v>22.485209649180394</v>
      </c>
      <c r="L1021" s="9" t="b">
        <v>0</v>
      </c>
    </row>
    <row r="1022" ht="15.75" customHeight="1">
      <c r="A1022" s="5">
        <v>13.0</v>
      </c>
      <c r="B1022" s="5">
        <v>20213.0</v>
      </c>
      <c r="C1022" s="5">
        <v>8579.960824822534</v>
      </c>
      <c r="D1022" s="5">
        <v>6577.6954633935065</v>
      </c>
      <c r="E1022" s="5">
        <v>22.32173914207638</v>
      </c>
      <c r="F1022" s="5">
        <v>13.876350298670609</v>
      </c>
      <c r="G1022" s="5">
        <v>3.8889020503515788</v>
      </c>
      <c r="H1022" s="5">
        <v>9.090007239659958</v>
      </c>
      <c r="I1022" s="5">
        <v>9.748648015116917</v>
      </c>
      <c r="J1022" s="5">
        <v>-2.610819069161458</v>
      </c>
      <c r="K1022" s="5">
        <v>30.440225951051204</v>
      </c>
      <c r="L1022" s="9" t="b">
        <v>0</v>
      </c>
    </row>
    <row r="1023" ht="15.75" customHeight="1">
      <c r="A1023" s="5">
        <v>13.0</v>
      </c>
      <c r="B1023" s="5">
        <v>20214.0</v>
      </c>
      <c r="C1023" s="5">
        <v>8927.657492208427</v>
      </c>
      <c r="D1023" s="5">
        <v>6886.435942710108</v>
      </c>
      <c r="E1023" s="5">
        <v>24.76550178545276</v>
      </c>
      <c r="F1023" s="5">
        <v>18.574733101567368</v>
      </c>
      <c r="G1023" s="5">
        <v>10.80181602031092</v>
      </c>
      <c r="H1023" s="5">
        <v>12.690582810619278</v>
      </c>
      <c r="I1023" s="5">
        <v>10.150492655071968</v>
      </c>
      <c r="J1023" s="5">
        <v>-1.4928673744390721</v>
      </c>
      <c r="K1023" s="5">
        <v>29.641189818357773</v>
      </c>
      <c r="L1023" s="9" t="b">
        <v>0</v>
      </c>
    </row>
    <row r="1024" ht="15.75" customHeight="1">
      <c r="A1024" s="5">
        <v>13.0</v>
      </c>
      <c r="B1024" s="5">
        <v>20221.0</v>
      </c>
      <c r="C1024" s="5">
        <v>8974.109872679315</v>
      </c>
      <c r="D1024" s="5">
        <v>7196.225705627315</v>
      </c>
      <c r="E1024" s="5">
        <v>17.419745074572447</v>
      </c>
      <c r="F1024" s="5">
        <v>20.2909633444757</v>
      </c>
      <c r="G1024" s="5">
        <v>13.875170802644154</v>
      </c>
      <c r="H1024" s="5">
        <v>17.548944325345907</v>
      </c>
      <c r="I1024" s="5">
        <v>12.269801145366475</v>
      </c>
      <c r="J1024" s="5">
        <v>1.0632279296861924</v>
      </c>
      <c r="K1024" s="5">
        <v>24.705786613414983</v>
      </c>
      <c r="L1024" s="9" t="b">
        <v>0</v>
      </c>
    </row>
    <row r="1025" ht="15.75" customHeight="1">
      <c r="A1025" s="5">
        <v>13.0</v>
      </c>
      <c r="B1025" s="5">
        <v>20222.0</v>
      </c>
      <c r="C1025" s="5">
        <v>9960.707211004456</v>
      </c>
      <c r="D1025" s="5">
        <v>7589.515200498988</v>
      </c>
      <c r="E1025" s="5">
        <v>26.831035962205107</v>
      </c>
      <c r="F1025" s="5">
        <v>22.834505491076676</v>
      </c>
      <c r="G1025" s="5">
        <v>13.168365164665556</v>
      </c>
      <c r="H1025" s="5">
        <v>18.367656778368936</v>
      </c>
      <c r="I1025" s="5">
        <v>14.424297788498519</v>
      </c>
      <c r="J1025" s="5">
        <v>3.739755714636738</v>
      </c>
      <c r="K1025" s="5">
        <v>31.24299705400906</v>
      </c>
      <c r="L1025" s="9" t="b">
        <v>0</v>
      </c>
    </row>
    <row r="1026" ht="15.75" customHeight="1">
      <c r="A1026" s="5">
        <v>13.0</v>
      </c>
      <c r="B1026" s="5">
        <v>20223.0</v>
      </c>
      <c r="C1026" s="5">
        <v>10690.250286603838</v>
      </c>
      <c r="D1026" s="5">
        <v>7493.294852522091</v>
      </c>
      <c r="E1026" s="5">
        <v>24.595560572678398</v>
      </c>
      <c r="F1026" s="5">
        <v>23.40296084872718</v>
      </c>
      <c r="G1026" s="5">
        <v>9.52661055005657</v>
      </c>
      <c r="H1026" s="5">
        <v>13.919759499723284</v>
      </c>
      <c r="I1026" s="5">
        <v>15.63173585351435</v>
      </c>
      <c r="J1026" s="5">
        <v>5.883087838397433</v>
      </c>
      <c r="K1026" s="5">
        <v>42.664215101661405</v>
      </c>
      <c r="L1026" s="9" t="b">
        <v>0</v>
      </c>
    </row>
    <row r="1027" ht="15.75" customHeight="1">
      <c r="A1027" s="5">
        <v>13.0</v>
      </c>
      <c r="B1027" s="5">
        <v>20224.0</v>
      </c>
      <c r="C1027" s="5">
        <v>10662.038020685644</v>
      </c>
      <c r="D1027" s="5">
        <v>7267.365749633968</v>
      </c>
      <c r="E1027" s="5">
        <v>19.42705048878599</v>
      </c>
      <c r="F1027" s="5">
        <v>22.068348024560485</v>
      </c>
      <c r="G1027" s="5">
        <v>3.4936149229931175</v>
      </c>
      <c r="H1027" s="5">
        <v>5.531595880552809</v>
      </c>
      <c r="I1027" s="5">
        <v>13.841989120997733</v>
      </c>
      <c r="J1027" s="5">
        <v>3.6914964659257645</v>
      </c>
      <c r="K1027" s="5">
        <v>46.71117964886595</v>
      </c>
      <c r="L1027" s="9" t="b">
        <v>0</v>
      </c>
    </row>
    <row r="1028" ht="15.75" customHeight="1">
      <c r="A1028" s="5">
        <v>13.0</v>
      </c>
      <c r="B1028" s="5">
        <v>20231.0</v>
      </c>
      <c r="C1028" s="5">
        <v>10976.314516616194</v>
      </c>
      <c r="D1028" s="5">
        <v>7341.113259716469</v>
      </c>
      <c r="E1028" s="5">
        <v>22.31089960278254</v>
      </c>
      <c r="F1028" s="5">
        <v>23.29113665661301</v>
      </c>
      <c r="G1028" s="5">
        <v>3.00017331213731</v>
      </c>
      <c r="H1028" s="5">
        <v>2.013382570475164</v>
      </c>
      <c r="I1028" s="5">
        <v>9.958098682280047</v>
      </c>
      <c r="J1028" s="5">
        <v>-2.3117024630864282</v>
      </c>
      <c r="K1028" s="5">
        <v>49.51839221508108</v>
      </c>
      <c r="L1028" s="9" t="b">
        <v>0</v>
      </c>
    </row>
    <row r="1029" ht="15.75" customHeight="1">
      <c r="A1029" s="5">
        <v>13.0</v>
      </c>
      <c r="B1029" s="5">
        <v>20232.0</v>
      </c>
      <c r="C1029" s="5">
        <v>10857.36907179191</v>
      </c>
      <c r="D1029" s="5">
        <v>7424.676100434448</v>
      </c>
      <c r="E1029" s="5">
        <v>9.001989936987954</v>
      </c>
      <c r="F1029" s="5">
        <v>18.83387515030872</v>
      </c>
      <c r="G1029" s="5">
        <v>-4.000630340767955</v>
      </c>
      <c r="H1029" s="5">
        <v>-2.1719318785171193</v>
      </c>
      <c r="I1029" s="5">
        <v>4.823201518058534</v>
      </c>
      <c r="J1029" s="5">
        <v>-9.601096270439985</v>
      </c>
      <c r="K1029" s="5">
        <v>46.23357200937832</v>
      </c>
      <c r="L1029" s="9" t="b">
        <v>0</v>
      </c>
    </row>
    <row r="1030" ht="15.75" customHeight="1">
      <c r="A1030" s="5">
        <v>13.0</v>
      </c>
      <c r="B1030" s="5">
        <v>20233.0</v>
      </c>
      <c r="C1030" s="5">
        <v>10796.680032698892</v>
      </c>
      <c r="D1030" s="5">
        <v>8020.224917050315</v>
      </c>
      <c r="E1030" s="5">
        <v>0.9955776828576512</v>
      </c>
      <c r="F1030" s="5">
        <v>12.933879427853535</v>
      </c>
      <c r="G1030" s="5">
        <v>-10.469081420873644</v>
      </c>
      <c r="H1030" s="5">
        <v>7.03202095872244</v>
      </c>
      <c r="I1030" s="5">
        <v>3.1012668828083223</v>
      </c>
      <c r="J1030" s="5">
        <v>-12.530468970706028</v>
      </c>
      <c r="K1030" s="5">
        <v>34.61817024290765</v>
      </c>
      <c r="L1030" s="9" t="b">
        <v>0</v>
      </c>
    </row>
    <row r="1031" ht="15.75" customHeight="1">
      <c r="A1031" s="5">
        <v>13.0</v>
      </c>
      <c r="B1031" s="5">
        <v>20234.0</v>
      </c>
      <c r="C1031" s="5">
        <v>10547.930707075748</v>
      </c>
      <c r="D1031" s="5">
        <v>8266.573301861927</v>
      </c>
      <c r="E1031" s="5">
        <v>-1.0702204718133101</v>
      </c>
      <c r="F1031" s="5">
        <v>7.8095616877037095</v>
      </c>
      <c r="G1031" s="5">
        <v>-14.258786336856776</v>
      </c>
      <c r="H1031" s="5">
        <v>13.749239912388944</v>
      </c>
      <c r="I1031" s="5">
        <v>5.155677890767356</v>
      </c>
      <c r="J1031" s="5">
        <v>-8.686311230230377</v>
      </c>
      <c r="K1031" s="5">
        <v>27.597377074004513</v>
      </c>
      <c r="L1031" s="9" t="b">
        <v>0</v>
      </c>
    </row>
    <row r="1032" ht="15.75" customHeight="1">
      <c r="A1032" s="5">
        <v>13.0</v>
      </c>
      <c r="B1032" s="5">
        <v>20241.0</v>
      </c>
      <c r="C1032" s="5">
        <v>11858.021395412865</v>
      </c>
      <c r="D1032" s="5">
        <v>8725.369506690684</v>
      </c>
      <c r="E1032" s="5">
        <v>8.032813541028938</v>
      </c>
      <c r="F1032" s="5">
        <v>4.240040172265308</v>
      </c>
      <c r="G1032" s="5">
        <v>-19.051096484347703</v>
      </c>
      <c r="H1032" s="5">
        <v>18.856217006896834</v>
      </c>
      <c r="I1032" s="5">
        <v>9.366386499872773</v>
      </c>
      <c r="J1032" s="5">
        <v>-0.5917121824072744</v>
      </c>
      <c r="K1032" s="5">
        <v>35.902799145870425</v>
      </c>
      <c r="L1032" s="9" t="b">
        <v>0</v>
      </c>
    </row>
    <row r="1033" ht="15.75" customHeight="1">
      <c r="A1033" s="5">
        <v>13.0</v>
      </c>
      <c r="B1033" s="5">
        <v>20242.0</v>
      </c>
      <c r="C1033" s="5">
        <v>12251.542636410124</v>
      </c>
      <c r="D1033" s="5">
        <v>9000.12944968919</v>
      </c>
      <c r="E1033" s="5">
        <v>12.840804760338841</v>
      </c>
      <c r="F1033" s="5">
        <v>5.19974387810303</v>
      </c>
      <c r="G1033" s="5">
        <v>-13.63413127220569</v>
      </c>
      <c r="H1033" s="5">
        <v>21.219152565625787</v>
      </c>
      <c r="I1033" s="5">
        <v>15.2141576109085</v>
      </c>
      <c r="J1033" s="5">
        <v>10.390956092849967</v>
      </c>
      <c r="K1033" s="5">
        <v>36.12629357051325</v>
      </c>
      <c r="L1033" s="9" t="b">
        <v>0</v>
      </c>
    </row>
    <row r="1034" ht="15.75" customHeight="1">
      <c r="A1034" s="5">
        <v>13.0</v>
      </c>
      <c r="B1034" s="5">
        <v>20243.0</v>
      </c>
      <c r="C1034" s="5">
        <v>11657.618952510677</v>
      </c>
      <c r="D1034" s="5">
        <v>9282.384017680482</v>
      </c>
      <c r="E1034" s="5">
        <v>7.974107940629338</v>
      </c>
      <c r="F1034" s="5">
        <v>6.944376442545952</v>
      </c>
      <c r="G1034" s="5">
        <v>-5.989502985307583</v>
      </c>
      <c r="H1034" s="5">
        <v>15.73720330394881</v>
      </c>
      <c r="I1034" s="5">
        <v>17.39045319721509</v>
      </c>
      <c r="J1034" s="5">
        <v>14.28918631440677</v>
      </c>
      <c r="K1034" s="5">
        <v>25.588630359463703</v>
      </c>
      <c r="L1034" s="9" t="b">
        <v>0</v>
      </c>
    </row>
    <row r="1035" ht="15.75" customHeight="1">
      <c r="A1035" s="5">
        <v>13.0</v>
      </c>
      <c r="B1035" s="5">
        <v>20244.0</v>
      </c>
      <c r="C1035" s="5">
        <v>11920.774674479628</v>
      </c>
      <c r="D1035" s="5">
        <v>9201.38261411592</v>
      </c>
      <c r="E1035" s="5">
        <v>13.015291866517021</v>
      </c>
      <c r="F1035" s="5">
        <v>10.465754527128535</v>
      </c>
      <c r="G1035" s="5">
        <v>2.6561928394248255</v>
      </c>
      <c r="H1035" s="5">
        <v>11.308304881823794</v>
      </c>
      <c r="I1035" s="5">
        <v>16.780219439573806</v>
      </c>
      <c r="J1035" s="5">
        <v>11.62454154880645</v>
      </c>
      <c r="K1035" s="5">
        <v>29.55416782899414</v>
      </c>
      <c r="L1035" s="9" t="b">
        <v>0</v>
      </c>
    </row>
    <row r="1036" ht="15.75" customHeight="1">
      <c r="A1036" s="5">
        <v>13.0</v>
      </c>
      <c r="B1036" s="5">
        <v>20251.0</v>
      </c>
      <c r="C1036" s="5">
        <v>12115.350205688495</v>
      </c>
      <c r="D1036" s="5">
        <v>9183.766241095354</v>
      </c>
      <c r="E1036" s="5">
        <v>2.1700821890503263</v>
      </c>
      <c r="F1036" s="5">
        <v>9.000071689133883</v>
      </c>
      <c r="G1036" s="5">
        <v>4.760031516868574</v>
      </c>
      <c r="H1036" s="5">
        <v>5.2536082747346</v>
      </c>
      <c r="I1036" s="5">
        <v>13.379567256533246</v>
      </c>
      <c r="J1036" s="5">
        <v>4.013180756660473</v>
      </c>
      <c r="K1036" s="5">
        <v>31.921369595351212</v>
      </c>
      <c r="L1036" s="9" t="b">
        <v>0</v>
      </c>
    </row>
    <row r="1037" ht="15.75" customHeight="1">
      <c r="A1037" s="5">
        <v>13.0</v>
      </c>
      <c r="B1037" s="5">
        <v>20252.0</v>
      </c>
      <c r="C1037" s="5">
        <v>11649.490188149624</v>
      </c>
      <c r="D1037" s="5">
        <v>9204.938743056824</v>
      </c>
      <c r="E1037" s="5">
        <v>-4.914095033806365</v>
      </c>
      <c r="F1037" s="5">
        <v>4.56134674059758</v>
      </c>
      <c r="G1037" s="5">
        <v>-0.63839713750545</v>
      </c>
      <c r="H1037" s="5">
        <v>2.275626084186011</v>
      </c>
      <c r="I1037" s="5">
        <v>8.643685636173302</v>
      </c>
      <c r="J1037" s="5">
        <v>-6.570471974735199</v>
      </c>
      <c r="K1037" s="5">
        <v>26.556955057812814</v>
      </c>
      <c r="L1037" s="9" t="b">
        <v>0</v>
      </c>
    </row>
    <row r="1038" ht="15.75" customHeight="1">
      <c r="A1038" s="5">
        <v>13.0</v>
      </c>
      <c r="B1038" s="5">
        <v>20253.0</v>
      </c>
      <c r="C1038" s="5">
        <v>11628.81476379797</v>
      </c>
      <c r="D1038" s="5">
        <v>9331.155595429584</v>
      </c>
      <c r="E1038" s="5">
        <v>-0.24708466480202196</v>
      </c>
      <c r="F1038" s="5">
        <v>2.50604858923974</v>
      </c>
      <c r="G1038" s="5">
        <v>-4.4383278533062125</v>
      </c>
      <c r="H1038" s="5">
        <v>0.5254208149135353</v>
      </c>
      <c r="I1038" s="5">
        <v>4.840740013914483</v>
      </c>
      <c r="J1038" s="5">
        <v>-12.549713183300607</v>
      </c>
      <c r="K1038" s="5">
        <v>24.623522187260317</v>
      </c>
      <c r="L1038" s="9" t="b">
        <v>0</v>
      </c>
    </row>
    <row r="1039" ht="15.75" customHeight="1">
      <c r="A1039" s="5">
        <v>13.0</v>
      </c>
      <c r="B1039" s="5">
        <v>20254.0</v>
      </c>
      <c r="C1039" s="5">
        <v>11667.931027012582</v>
      </c>
      <c r="D1039" s="5">
        <v>9340.576420967916</v>
      </c>
      <c r="E1039" s="5">
        <v>-2.1210336942979136</v>
      </c>
      <c r="F1039" s="5">
        <v>-1.2780328009639936</v>
      </c>
      <c r="G1039" s="5">
        <v>-11.743787328092528</v>
      </c>
      <c r="H1039" s="5">
        <v>1.5127488192748118</v>
      </c>
      <c r="I1039" s="5">
        <v>2.3918509982772376</v>
      </c>
      <c r="J1039" s="5">
        <v>-14.388368441296567</v>
      </c>
      <c r="K1039" s="5">
        <v>24.916605797691172</v>
      </c>
      <c r="L1039" s="9" t="b">
        <v>0</v>
      </c>
    </row>
    <row r="1040" ht="15.75" customHeight="1">
      <c r="A1040" s="5">
        <v>13.0</v>
      </c>
      <c r="B1040" s="5">
        <v>20261.0</v>
      </c>
      <c r="C1040" s="5">
        <v>11497.58598031962</v>
      </c>
      <c r="D1040" s="5">
        <v>9363.3750213239</v>
      </c>
      <c r="E1040" s="5">
        <v>-5.099020786694375</v>
      </c>
      <c r="F1040" s="5">
        <v>-3.0953085449001687</v>
      </c>
      <c r="G1040" s="5">
        <v>-12.095380234034051</v>
      </c>
      <c r="H1040" s="5">
        <v>1.9557202950662544</v>
      </c>
      <c r="I1040" s="5">
        <v>1.5673790033601513</v>
      </c>
      <c r="J1040" s="5">
        <v>-11.812188253173094</v>
      </c>
      <c r="K1040" s="5">
        <v>22.79318038779099</v>
      </c>
      <c r="L1040" s="9" t="b">
        <v>0</v>
      </c>
    </row>
    <row r="1041" ht="15.75" customHeight="1">
      <c r="A1041" s="5">
        <v>13.0</v>
      </c>
      <c r="B1041" s="5">
        <v>20262.0</v>
      </c>
      <c r="C1041" s="5">
        <v>11427.47020676481</v>
      </c>
      <c r="D1041" s="5">
        <v>9363.216333634064</v>
      </c>
      <c r="E1041" s="5">
        <v>-1.9058343137681844</v>
      </c>
      <c r="F1041" s="5">
        <v>-2.3432433648906237</v>
      </c>
      <c r="G1041" s="5">
        <v>-6.904590105488204</v>
      </c>
      <c r="H1041" s="5">
        <v>1.719485539179999</v>
      </c>
      <c r="I1041" s="5">
        <v>1.4283438671086484</v>
      </c>
      <c r="J1041" s="5">
        <v>-7.215341769064654</v>
      </c>
      <c r="K1041" s="5">
        <v>22.046418661882683</v>
      </c>
      <c r="L1041" s="9" t="b">
        <v>0</v>
      </c>
    </row>
    <row r="1042" ht="15.75" customHeight="1">
      <c r="A1042" s="5">
        <v>14.0</v>
      </c>
      <c r="B1042" s="5">
        <v>20063.0</v>
      </c>
      <c r="C1042" s="5">
        <v>5605.0</v>
      </c>
      <c r="D1042" s="5">
        <v>5506.96083597507</v>
      </c>
      <c r="K1042" s="5">
        <v>1.7802771246251403</v>
      </c>
      <c r="L1042" s="9" t="b">
        <v>0</v>
      </c>
    </row>
    <row r="1043" ht="15.75" customHeight="1">
      <c r="A1043" s="5">
        <v>14.0</v>
      </c>
      <c r="B1043" s="5">
        <v>20064.0</v>
      </c>
      <c r="C1043" s="5">
        <v>6186.0</v>
      </c>
      <c r="D1043" s="5">
        <v>6266.65373011634</v>
      </c>
      <c r="K1043" s="5">
        <v>-1.287030265111555</v>
      </c>
      <c r="L1043" s="9" t="b">
        <v>0</v>
      </c>
    </row>
    <row r="1044" ht="15.75" customHeight="1">
      <c r="A1044" s="5">
        <v>14.0</v>
      </c>
      <c r="B1044" s="5">
        <v>20071.0</v>
      </c>
      <c r="C1044" s="5">
        <v>7302.0</v>
      </c>
      <c r="D1044" s="5">
        <v>7035.28167347688</v>
      </c>
      <c r="K1044" s="5">
        <v>3.7911534875519237</v>
      </c>
      <c r="L1044" s="9" t="b">
        <v>0</v>
      </c>
    </row>
    <row r="1045" ht="15.75" customHeight="1">
      <c r="A1045" s="5">
        <v>14.0</v>
      </c>
      <c r="B1045" s="5">
        <v>20072.0</v>
      </c>
      <c r="C1045" s="5">
        <v>7523.0</v>
      </c>
      <c r="D1045" s="5">
        <v>7737.98840405399</v>
      </c>
      <c r="K1045" s="5">
        <v>-2.7783500417415508</v>
      </c>
      <c r="L1045" s="9" t="b">
        <v>0</v>
      </c>
    </row>
    <row r="1046" ht="15.75" customHeight="1">
      <c r="A1046" s="5">
        <v>14.0</v>
      </c>
      <c r="B1046" s="5">
        <v>20073.0</v>
      </c>
      <c r="C1046" s="5">
        <v>7879.0</v>
      </c>
      <c r="D1046" s="5">
        <v>8170.91728502973</v>
      </c>
      <c r="E1046" s="5">
        <v>40.57091882247992</v>
      </c>
      <c r="H1046" s="5">
        <v>48.37434890860226</v>
      </c>
      <c r="K1046" s="5">
        <v>-3.57263786728772</v>
      </c>
      <c r="L1046" s="9" t="b">
        <v>0</v>
      </c>
    </row>
    <row r="1047" ht="15.75" customHeight="1">
      <c r="A1047" s="5">
        <v>14.0</v>
      </c>
      <c r="B1047" s="5">
        <v>20074.0</v>
      </c>
      <c r="C1047" s="5">
        <v>8571.0</v>
      </c>
      <c r="D1047" s="5">
        <v>8241.69116042273</v>
      </c>
      <c r="E1047" s="5">
        <v>38.55480116391852</v>
      </c>
      <c r="H1047" s="5">
        <v>31.51661980004954</v>
      </c>
      <c r="K1047" s="5">
        <v>3.9956464415778825</v>
      </c>
      <c r="L1047" s="9" t="b">
        <v>0</v>
      </c>
    </row>
    <row r="1048" ht="15.75" customHeight="1">
      <c r="A1048" s="5">
        <v>14.0</v>
      </c>
      <c r="B1048" s="5">
        <v>20081.0</v>
      </c>
      <c r="C1048" s="5">
        <v>8535.0</v>
      </c>
      <c r="D1048" s="5">
        <v>8222.79010390342</v>
      </c>
      <c r="E1048" s="5">
        <v>16.885784716516028</v>
      </c>
      <c r="H1048" s="5">
        <v>16.879330288984228</v>
      </c>
      <c r="K1048" s="5">
        <v>3.7968851466653852</v>
      </c>
      <c r="L1048" s="9" t="b">
        <v>0</v>
      </c>
    </row>
    <row r="1049" ht="15.75" customHeight="1">
      <c r="A1049" s="5">
        <v>14.0</v>
      </c>
      <c r="B1049" s="5">
        <v>20082.0</v>
      </c>
      <c r="C1049" s="5">
        <v>8611.0</v>
      </c>
      <c r="D1049" s="5">
        <v>8201.69152279001</v>
      </c>
      <c r="E1049" s="5">
        <v>14.462315565598827</v>
      </c>
      <c r="F1049" s="5">
        <v>27.618455067128323</v>
      </c>
      <c r="H1049" s="5">
        <v>5.9925538075642715</v>
      </c>
      <c r="I1049" s="5">
        <v>25.690713201300074</v>
      </c>
      <c r="K1049" s="5">
        <v>4.990537330898714</v>
      </c>
      <c r="L1049" s="9" t="b">
        <v>0</v>
      </c>
    </row>
    <row r="1050" ht="15.75" customHeight="1">
      <c r="A1050" s="5">
        <v>14.0</v>
      </c>
      <c r="B1050" s="5">
        <v>20083.0</v>
      </c>
      <c r="C1050" s="5">
        <v>8325.0</v>
      </c>
      <c r="D1050" s="5">
        <v>8048.33879081156</v>
      </c>
      <c r="E1050" s="5">
        <v>5.660616829546905</v>
      </c>
      <c r="F1050" s="5">
        <v>18.890879568895073</v>
      </c>
      <c r="H1050" s="5">
        <v>-1.500180334009149</v>
      </c>
      <c r="I1050" s="5">
        <v>13.222080890647222</v>
      </c>
      <c r="K1050" s="5">
        <v>3.4374945734676476</v>
      </c>
      <c r="L1050" s="9" t="b">
        <v>0</v>
      </c>
    </row>
    <row r="1051" ht="15.75" customHeight="1">
      <c r="A1051" s="5">
        <v>14.0</v>
      </c>
      <c r="B1051" s="5">
        <v>20084.0</v>
      </c>
      <c r="C1051" s="5">
        <v>8149.0</v>
      </c>
      <c r="D1051" s="5">
        <v>8024.74956256593</v>
      </c>
      <c r="E1051" s="5">
        <v>-4.923579512308951</v>
      </c>
      <c r="F1051" s="5">
        <v>8.021284399838201</v>
      </c>
      <c r="H1051" s="5">
        <v>-2.6322461450457024</v>
      </c>
      <c r="I1051" s="5">
        <v>4.684864404373412</v>
      </c>
      <c r="K1051" s="5">
        <v>1.5483403745542024</v>
      </c>
      <c r="L1051" s="9" t="b">
        <v>0</v>
      </c>
    </row>
    <row r="1052" ht="15.75" customHeight="1">
      <c r="A1052" s="5">
        <v>14.0</v>
      </c>
      <c r="B1052" s="5">
        <v>20091.0</v>
      </c>
      <c r="C1052" s="5">
        <v>7543.0</v>
      </c>
      <c r="D1052" s="5">
        <v>7701.73885939886</v>
      </c>
      <c r="E1052" s="5">
        <v>-11.622729935559462</v>
      </c>
      <c r="F1052" s="5">
        <v>0.8941557368193296</v>
      </c>
      <c r="H1052" s="5">
        <v>-6.336672077488803</v>
      </c>
      <c r="I1052" s="5">
        <v>-1.1191361872448458</v>
      </c>
      <c r="K1052" s="5">
        <v>-2.061078183729148</v>
      </c>
      <c r="L1052" s="9" t="b">
        <v>0</v>
      </c>
    </row>
    <row r="1053" ht="15.75" customHeight="1">
      <c r="A1053" s="5">
        <v>14.0</v>
      </c>
      <c r="B1053" s="5">
        <v>20092.0</v>
      </c>
      <c r="C1053" s="5">
        <v>7461.0</v>
      </c>
      <c r="D1053" s="5">
        <v>7536.13094789073</v>
      </c>
      <c r="E1053" s="5">
        <v>-13.355011032400421</v>
      </c>
      <c r="F1053" s="5">
        <v>-6.060175912680482</v>
      </c>
      <c r="G1053" s="5">
        <v>-33.67863097980881</v>
      </c>
      <c r="H1053" s="5">
        <v>-8.114918404939875</v>
      </c>
      <c r="I1053" s="5">
        <v>-4.646004240370882</v>
      </c>
      <c r="J1053" s="5">
        <v>-30.336717441670956</v>
      </c>
      <c r="K1053" s="5">
        <v>-0.9969432379855037</v>
      </c>
      <c r="L1053" s="9" t="b">
        <v>0</v>
      </c>
    </row>
    <row r="1054" ht="15.75" customHeight="1">
      <c r="A1054" s="5">
        <v>14.0</v>
      </c>
      <c r="B1054" s="5">
        <v>20093.0</v>
      </c>
      <c r="C1054" s="5">
        <v>7585.235697</v>
      </c>
      <c r="D1054" s="5">
        <v>7599.68456373405</v>
      </c>
      <c r="E1054" s="5">
        <v>-8.886057693693694</v>
      </c>
      <c r="F1054" s="5">
        <v>-9.696844543490633</v>
      </c>
      <c r="G1054" s="5">
        <v>-28.587724112385708</v>
      </c>
      <c r="H1054" s="5">
        <v>-5.574494796239426</v>
      </c>
      <c r="I1054" s="5">
        <v>-5.664582855928452</v>
      </c>
      <c r="J1054" s="5">
        <v>-18.886663746575675</v>
      </c>
      <c r="K1054" s="5">
        <v>-0.19012455862972288</v>
      </c>
      <c r="L1054" s="9" t="b">
        <v>0</v>
      </c>
    </row>
    <row r="1055" ht="15.75" customHeight="1">
      <c r="A1055" s="5">
        <v>14.0</v>
      </c>
      <c r="B1055" s="5">
        <v>20094.0</v>
      </c>
      <c r="C1055" s="5">
        <v>7679.589222</v>
      </c>
      <c r="D1055" s="5">
        <v>7648.68228785254</v>
      </c>
      <c r="E1055" s="5">
        <v>-5.760348239047741</v>
      </c>
      <c r="F1055" s="5">
        <v>-9.90603672517533</v>
      </c>
      <c r="G1055" s="5">
        <v>-17.92732112501353</v>
      </c>
      <c r="H1055" s="5">
        <v>-4.686342817072808</v>
      </c>
      <c r="I1055" s="5">
        <v>-6.178107023935229</v>
      </c>
      <c r="J1055" s="5">
        <v>-10.86297142830864</v>
      </c>
      <c r="K1055" s="5">
        <v>0.4040818141517688</v>
      </c>
      <c r="L1055" s="9" t="b">
        <v>0</v>
      </c>
    </row>
    <row r="1056" ht="15.75" customHeight="1">
      <c r="A1056" s="5">
        <v>14.0</v>
      </c>
      <c r="B1056" s="5">
        <v>20101.0</v>
      </c>
      <c r="C1056" s="5">
        <v>8173.215445708</v>
      </c>
      <c r="D1056" s="5">
        <v>7716.54126610911</v>
      </c>
      <c r="E1056" s="5">
        <v>8.354970776985283</v>
      </c>
      <c r="F1056" s="5">
        <v>-4.911611547039143</v>
      </c>
      <c r="G1056" s="5">
        <v>-5.805767283858472</v>
      </c>
      <c r="H1056" s="5">
        <v>0.1921956454312479</v>
      </c>
      <c r="I1056" s="5">
        <v>-4.545890093205216</v>
      </c>
      <c r="J1056" s="5">
        <v>-3.4267539059603704</v>
      </c>
      <c r="K1056" s="5">
        <v>5.918120098762292</v>
      </c>
      <c r="L1056" s="9" t="b">
        <v>0</v>
      </c>
    </row>
    <row r="1057" ht="15.75" customHeight="1">
      <c r="A1057" s="5">
        <v>14.0</v>
      </c>
      <c r="B1057" s="5">
        <v>20102.0</v>
      </c>
      <c r="C1057" s="5">
        <v>7973.89213438384</v>
      </c>
      <c r="D1057" s="5">
        <v>7790.25811149702</v>
      </c>
      <c r="E1057" s="5">
        <v>6.874308194395384</v>
      </c>
      <c r="F1057" s="5">
        <v>0.14571825965980834</v>
      </c>
      <c r="G1057" s="5">
        <v>6.20589417234029</v>
      </c>
      <c r="H1057" s="5">
        <v>3.372117142914255</v>
      </c>
      <c r="I1057" s="5">
        <v>-1.6741312062416829</v>
      </c>
      <c r="J1057" s="5">
        <v>2.971873034129199</v>
      </c>
      <c r="K1057" s="5">
        <v>2.3572264263723053</v>
      </c>
      <c r="L1057" s="9" t="b">
        <v>0</v>
      </c>
    </row>
    <row r="1058" ht="15.75" customHeight="1">
      <c r="A1058" s="5">
        <v>14.0</v>
      </c>
      <c r="B1058" s="5">
        <v>20103.0</v>
      </c>
      <c r="C1058" s="5">
        <v>7940.206331142</v>
      </c>
      <c r="D1058" s="5">
        <v>7847.93366815912</v>
      </c>
      <c r="E1058" s="5">
        <v>4.67975746992797</v>
      </c>
      <c r="F1058" s="5">
        <v>3.537172050565224</v>
      </c>
      <c r="G1058" s="5">
        <v>13.234016594055856</v>
      </c>
      <c r="H1058" s="5">
        <v>3.2665711628312</v>
      </c>
      <c r="I1058" s="5">
        <v>0.5361352835259736</v>
      </c>
      <c r="J1058" s="5">
        <v>6.200718139454425</v>
      </c>
      <c r="K1058" s="5">
        <v>1.1757574271715754</v>
      </c>
      <c r="L1058" s="9" t="b">
        <v>0</v>
      </c>
    </row>
    <row r="1059" ht="15.75" customHeight="1">
      <c r="A1059" s="5">
        <v>14.0</v>
      </c>
      <c r="B1059" s="5">
        <v>20104.0</v>
      </c>
      <c r="C1059" s="5">
        <v>7440.55675933</v>
      </c>
      <c r="D1059" s="5">
        <v>7764.6565334541</v>
      </c>
      <c r="E1059" s="5">
        <v>-3.1125683387496106</v>
      </c>
      <c r="F1059" s="5">
        <v>4.199117025639756</v>
      </c>
      <c r="G1059" s="5">
        <v>14.105153750815086</v>
      </c>
      <c r="H1059" s="5">
        <v>1.5162643869486958</v>
      </c>
      <c r="I1059" s="5">
        <v>2.0867870845313496</v>
      </c>
      <c r="J1059" s="5">
        <v>8.264894108466578</v>
      </c>
      <c r="K1059" s="5">
        <v>-4.174038770777722</v>
      </c>
      <c r="L1059" s="9" t="b">
        <v>0</v>
      </c>
    </row>
    <row r="1060" ht="15.75" customHeight="1">
      <c r="A1060" s="5">
        <v>14.0</v>
      </c>
      <c r="B1060" s="5">
        <v>20111.0</v>
      </c>
      <c r="C1060" s="5">
        <v>8037.0</v>
      </c>
      <c r="D1060" s="5">
        <v>7845.839438923</v>
      </c>
      <c r="E1060" s="5">
        <v>-1.6666077948493396</v>
      </c>
      <c r="F1060" s="5">
        <v>1.693722382681101</v>
      </c>
      <c r="G1060" s="5">
        <v>6.605333929720244</v>
      </c>
      <c r="H1060" s="5">
        <v>1.675597503531323</v>
      </c>
      <c r="I1060" s="5">
        <v>2.4576375490563684</v>
      </c>
      <c r="J1060" s="5">
        <v>7.003527642261584</v>
      </c>
      <c r="K1060" s="5">
        <v>2.4364577246974717</v>
      </c>
      <c r="L1060" s="9" t="b">
        <v>0</v>
      </c>
    </row>
    <row r="1061" ht="15.75" customHeight="1">
      <c r="A1061" s="5">
        <v>14.0</v>
      </c>
      <c r="B1061" s="5">
        <v>20112.0</v>
      </c>
      <c r="C1061" s="5">
        <v>7526.773102662611</v>
      </c>
      <c r="D1061" s="5">
        <v>7845.19741492661</v>
      </c>
      <c r="E1061" s="5">
        <v>-5.607287184049414</v>
      </c>
      <c r="F1061" s="5">
        <v>-1.4266764619300987</v>
      </c>
      <c r="G1061" s="5">
        <v>-1.572394721589907</v>
      </c>
      <c r="H1061" s="5">
        <v>0.7052308491359183</v>
      </c>
      <c r="I1061" s="5">
        <v>1.7909159756117843</v>
      </c>
      <c r="J1061" s="5">
        <v>3.465047181853467</v>
      </c>
      <c r="K1061" s="5">
        <v>-4.058843843217397</v>
      </c>
      <c r="L1061" s="9" t="b">
        <v>0</v>
      </c>
    </row>
    <row r="1062" ht="15.75" customHeight="1">
      <c r="A1062" s="5">
        <v>14.0</v>
      </c>
      <c r="B1062" s="5">
        <v>20113.0</v>
      </c>
      <c r="C1062" s="5">
        <v>7422.746064729731</v>
      </c>
      <c r="D1062" s="5">
        <v>7844.12991942843</v>
      </c>
      <c r="E1062" s="5">
        <v>-6.516962467118215</v>
      </c>
      <c r="F1062" s="5">
        <v>-4.225856446191645</v>
      </c>
      <c r="G1062" s="5">
        <v>-7.763028496756869</v>
      </c>
      <c r="H1062" s="5">
        <v>-0.04846815596980525</v>
      </c>
      <c r="I1062" s="5">
        <v>0.962156145911533</v>
      </c>
      <c r="J1062" s="5">
        <v>0.42602086238555936</v>
      </c>
      <c r="K1062" s="5">
        <v>-5.371964246219463</v>
      </c>
      <c r="L1062" s="9" t="b">
        <v>0</v>
      </c>
    </row>
    <row r="1063" ht="15.75" customHeight="1">
      <c r="A1063" s="5">
        <v>14.0</v>
      </c>
      <c r="B1063" s="5">
        <v>20114.0</v>
      </c>
      <c r="C1063" s="5">
        <v>7225.681702302718</v>
      </c>
      <c r="D1063" s="5">
        <v>7752.11561927243</v>
      </c>
      <c r="E1063" s="5">
        <v>-2.887889495068263</v>
      </c>
      <c r="F1063" s="5">
        <v>-4.169686735271308</v>
      </c>
      <c r="G1063" s="5">
        <v>-8.368803760911064</v>
      </c>
      <c r="H1063" s="5">
        <v>-0.1615128000528765</v>
      </c>
      <c r="I1063" s="5">
        <v>0.5427118491611399</v>
      </c>
      <c r="J1063" s="5">
        <v>-1.5440752353702099</v>
      </c>
      <c r="K1063" s="5">
        <v>-6.790841917539925</v>
      </c>
      <c r="L1063" s="9" t="b">
        <v>0</v>
      </c>
    </row>
    <row r="1064" ht="15.75" customHeight="1">
      <c r="A1064" s="5">
        <v>14.0</v>
      </c>
      <c r="B1064" s="5">
        <v>20121.0</v>
      </c>
      <c r="C1064" s="5">
        <v>6966.769914028987</v>
      </c>
      <c r="D1064" s="5">
        <v>7737.64337818679</v>
      </c>
      <c r="E1064" s="5">
        <v>-13.316288241520635</v>
      </c>
      <c r="F1064" s="5">
        <v>-7.082106846939132</v>
      </c>
      <c r="G1064" s="5">
        <v>-8.775829229620232</v>
      </c>
      <c r="H1064" s="5">
        <v>-1.3790246611401713</v>
      </c>
      <c r="I1064" s="5">
        <v>-0.2209436920067337</v>
      </c>
      <c r="J1064" s="5">
        <v>-2.6785812410631022</v>
      </c>
      <c r="K1064" s="5">
        <v>-9.962638835630166</v>
      </c>
      <c r="L1064" s="9" t="b">
        <v>0</v>
      </c>
    </row>
    <row r="1065" ht="15.75" customHeight="1">
      <c r="A1065" s="5">
        <v>14.0</v>
      </c>
      <c r="B1065" s="5">
        <v>20122.0</v>
      </c>
      <c r="C1065" s="5">
        <v>7042.943540678168</v>
      </c>
      <c r="D1065" s="5">
        <v>7621.63993176005</v>
      </c>
      <c r="E1065" s="5">
        <v>-6.428114085348035</v>
      </c>
      <c r="F1065" s="5">
        <v>-7.287313572263788</v>
      </c>
      <c r="G1065" s="5">
        <v>-5.860637110333689</v>
      </c>
      <c r="H1065" s="5">
        <v>-2.8496094023231278</v>
      </c>
      <c r="I1065" s="5">
        <v>-1.1096537548714953</v>
      </c>
      <c r="J1065" s="5">
        <v>-2.9005697304832796</v>
      </c>
      <c r="K1065" s="5">
        <v>-7.59280674845847</v>
      </c>
      <c r="L1065" s="9" t="b">
        <v>0</v>
      </c>
    </row>
    <row r="1066" ht="15.75" customHeight="1">
      <c r="A1066" s="5">
        <v>14.0</v>
      </c>
      <c r="B1066" s="5">
        <v>20123.0</v>
      </c>
      <c r="C1066" s="5">
        <v>6756.71012076573</v>
      </c>
      <c r="D1066" s="5">
        <v>7418.38702084481</v>
      </c>
      <c r="E1066" s="5">
        <v>-8.972904881237543</v>
      </c>
      <c r="F1066" s="5">
        <v>-7.9012991757936195</v>
      </c>
      <c r="G1066" s="5">
        <v>-3.6754427296019747</v>
      </c>
      <c r="H1066" s="5">
        <v>-5.427535022452079</v>
      </c>
      <c r="I1066" s="5">
        <v>-2.4544204714920634</v>
      </c>
      <c r="J1066" s="5">
        <v>-3.4165766174035963</v>
      </c>
      <c r="K1066" s="5">
        <v>-8.91941736417694</v>
      </c>
      <c r="L1066" s="9" t="b">
        <v>0</v>
      </c>
    </row>
    <row r="1067" ht="15.75" customHeight="1">
      <c r="A1067" s="5">
        <v>14.0</v>
      </c>
      <c r="B1067" s="5">
        <v>20124.0</v>
      </c>
      <c r="C1067" s="5">
        <v>6466.028355775188</v>
      </c>
      <c r="D1067" s="5">
        <v>7354.66990349705</v>
      </c>
      <c r="E1067" s="5">
        <v>-10.513241211350888</v>
      </c>
      <c r="F1067" s="5">
        <v>-9.807637104864275</v>
      </c>
      <c r="G1067" s="5">
        <v>-5.637950369592967</v>
      </c>
      <c r="H1067" s="5">
        <v>-5.126932250433624</v>
      </c>
      <c r="I1067" s="5">
        <v>-3.6957753340872506</v>
      </c>
      <c r="J1067" s="5">
        <v>-4.238487183248391</v>
      </c>
      <c r="K1067" s="5">
        <v>-12.082684326856386</v>
      </c>
      <c r="L1067" s="9" t="b">
        <v>0</v>
      </c>
    </row>
    <row r="1068" ht="15.75" customHeight="1">
      <c r="A1068" s="5">
        <v>14.0</v>
      </c>
      <c r="B1068" s="5">
        <v>20131.0</v>
      </c>
      <c r="C1068" s="5">
        <v>6989.64032684866</v>
      </c>
      <c r="D1068" s="5">
        <v>7000.38347162578</v>
      </c>
      <c r="E1068" s="5">
        <v>0.32827857245032455</v>
      </c>
      <c r="F1068" s="5">
        <v>-6.396495401371535</v>
      </c>
      <c r="G1068" s="5">
        <v>0.6856114455675968</v>
      </c>
      <c r="H1068" s="5">
        <v>-9.528222877774661</v>
      </c>
      <c r="I1068" s="5">
        <v>-5.7330748882458735</v>
      </c>
      <c r="J1068" s="5">
        <v>-5.51213119623914</v>
      </c>
      <c r="K1068" s="5">
        <v>-0.1534650897434986</v>
      </c>
      <c r="L1068" s="9" t="b">
        <v>0</v>
      </c>
    </row>
    <row r="1069" ht="15.75" customHeight="1">
      <c r="A1069" s="5">
        <v>14.0</v>
      </c>
      <c r="B1069" s="5">
        <v>20132.0</v>
      </c>
      <c r="C1069" s="5">
        <v>7018.096418042534</v>
      </c>
      <c r="D1069" s="5">
        <v>6903.15925832803</v>
      </c>
      <c r="E1069" s="5">
        <v>-0.3527945736342075</v>
      </c>
      <c r="F1069" s="5">
        <v>-4.877665523443079</v>
      </c>
      <c r="G1069" s="5">
        <v>2.409648048820709</v>
      </c>
      <c r="H1069" s="5">
        <v>-9.426851437025352</v>
      </c>
      <c r="I1069" s="5">
        <v>-7.377385396921429</v>
      </c>
      <c r="J1069" s="5">
        <v>-6.2677316420499345</v>
      </c>
      <c r="K1069" s="5">
        <v>1.6649935980521224</v>
      </c>
      <c r="L1069" s="9" t="b">
        <v>0</v>
      </c>
    </row>
    <row r="1070" ht="15.75" customHeight="1">
      <c r="A1070" s="5">
        <v>14.0</v>
      </c>
      <c r="B1070" s="5">
        <v>20133.0</v>
      </c>
      <c r="C1070" s="5">
        <v>7172.740614766419</v>
      </c>
      <c r="D1070" s="5">
        <v>7042.8124736348</v>
      </c>
      <c r="E1070" s="5">
        <v>6.157293809632036</v>
      </c>
      <c r="F1070" s="5">
        <v>-1.0951158507256835</v>
      </c>
      <c r="G1070" s="5">
        <v>6.806183325067936</v>
      </c>
      <c r="H1070" s="5">
        <v>-5.062752134051363</v>
      </c>
      <c r="I1070" s="5">
        <v>-7.286189674821251</v>
      </c>
      <c r="J1070" s="5">
        <v>-4.831769203329188</v>
      </c>
      <c r="K1070" s="5">
        <v>1.8448331773423199</v>
      </c>
      <c r="L1070" s="9" t="b">
        <v>0</v>
      </c>
    </row>
    <row r="1071" ht="15.75" customHeight="1">
      <c r="A1071" s="5">
        <v>14.0</v>
      </c>
      <c r="B1071" s="5">
        <v>20134.0</v>
      </c>
      <c r="C1071" s="5">
        <v>7427.495037694658</v>
      </c>
      <c r="D1071" s="5">
        <v>7078.76068282624</v>
      </c>
      <c r="E1071" s="5">
        <v>14.86950921056087</v>
      </c>
      <c r="F1071" s="5">
        <v>5.250571754752256</v>
      </c>
      <c r="G1071" s="5">
        <v>15.058208859616531</v>
      </c>
      <c r="H1071" s="5">
        <v>-3.7514834015816123</v>
      </c>
      <c r="I1071" s="5">
        <v>-6.942327462608247</v>
      </c>
      <c r="J1071" s="5">
        <v>-3.246552128520997</v>
      </c>
      <c r="K1071" s="5">
        <v>4.92648883743847</v>
      </c>
      <c r="L1071" s="9" t="b">
        <v>0</v>
      </c>
    </row>
    <row r="1072" ht="15.75" customHeight="1">
      <c r="A1072" s="5">
        <v>14.0</v>
      </c>
      <c r="B1072" s="5">
        <v>20141.0</v>
      </c>
      <c r="C1072" s="5">
        <v>7298.319226913252</v>
      </c>
      <c r="D1072" s="5">
        <v>7165.24042535125</v>
      </c>
      <c r="E1072" s="5">
        <v>4.41623439304728</v>
      </c>
      <c r="F1072" s="5">
        <v>6.272560709901495</v>
      </c>
      <c r="G1072" s="5">
        <v>12.66905611127303</v>
      </c>
      <c r="H1072" s="5">
        <v>2.3549703297494284</v>
      </c>
      <c r="I1072" s="5">
        <v>-3.971529160727225</v>
      </c>
      <c r="J1072" s="5">
        <v>1.7615457275186484</v>
      </c>
      <c r="K1072" s="5">
        <v>1.8572831288557579</v>
      </c>
      <c r="L1072" s="9" t="b">
        <v>0</v>
      </c>
    </row>
    <row r="1073" ht="15.75" customHeight="1">
      <c r="A1073" s="5">
        <v>14.0</v>
      </c>
      <c r="B1073" s="5">
        <v>20142.0</v>
      </c>
      <c r="C1073" s="5">
        <v>7315.614550027939</v>
      </c>
      <c r="D1073" s="5">
        <v>7290.23408428326</v>
      </c>
      <c r="E1073" s="5">
        <v>4.239299580161471</v>
      </c>
      <c r="F1073" s="5">
        <v>7.420584248350415</v>
      </c>
      <c r="G1073" s="5">
        <v>12.298249771793493</v>
      </c>
      <c r="H1073" s="5">
        <v>5.607212748108914</v>
      </c>
      <c r="I1073" s="5">
        <v>-0.21301311444365822</v>
      </c>
      <c r="J1073" s="5">
        <v>7.164372282477771</v>
      </c>
      <c r="K1073" s="5">
        <v>0.34814335796700124</v>
      </c>
      <c r="L1073" s="9" t="b">
        <v>0</v>
      </c>
    </row>
    <row r="1074" ht="15.75" customHeight="1">
      <c r="A1074" s="5">
        <v>14.0</v>
      </c>
      <c r="B1074" s="5">
        <v>20143.0</v>
      </c>
      <c r="C1074" s="5">
        <v>7445.5271821529695</v>
      </c>
      <c r="D1074" s="5">
        <v>7281.44967609807</v>
      </c>
      <c r="E1074" s="5">
        <v>3.803100962900685</v>
      </c>
      <c r="F1074" s="5">
        <v>6.832036036667577</v>
      </c>
      <c r="G1074" s="5">
        <v>7.9271518873932605</v>
      </c>
      <c r="H1074" s="5">
        <v>3.3883793350543367</v>
      </c>
      <c r="I1074" s="5">
        <v>1.8997697528327666</v>
      </c>
      <c r="J1074" s="5">
        <v>9.185959427654018</v>
      </c>
      <c r="K1074" s="5">
        <v>2.253363181146417</v>
      </c>
      <c r="L1074" s="9" t="b">
        <v>0</v>
      </c>
    </row>
    <row r="1075" ht="15.75" customHeight="1">
      <c r="A1075" s="5">
        <v>14.0</v>
      </c>
      <c r="B1075" s="5">
        <v>20144.0</v>
      </c>
      <c r="C1075" s="5">
        <v>7314.723076602341</v>
      </c>
      <c r="D1075" s="5">
        <v>7325.52152829463</v>
      </c>
      <c r="E1075" s="5">
        <v>-1.518304092025602</v>
      </c>
      <c r="F1075" s="5">
        <v>2.735082711020959</v>
      </c>
      <c r="G1075" s="5">
        <v>-2.5154890437312973</v>
      </c>
      <c r="H1075" s="5">
        <v>3.4859328705243</v>
      </c>
      <c r="I1075" s="5">
        <v>3.7091238208592445</v>
      </c>
      <c r="J1075" s="5">
        <v>10.651451283467491</v>
      </c>
      <c r="K1075" s="5">
        <v>-0.14740864047125823</v>
      </c>
      <c r="L1075" s="9" t="b">
        <v>0</v>
      </c>
    </row>
    <row r="1076" ht="15.75" customHeight="1">
      <c r="A1076" s="5">
        <v>14.0</v>
      </c>
      <c r="B1076" s="5">
        <v>20151.0</v>
      </c>
      <c r="C1076" s="5">
        <v>7395.596806207275</v>
      </c>
      <c r="D1076" s="5">
        <v>7277.18278542521</v>
      </c>
      <c r="E1076" s="5">
        <v>1.3328764646975522</v>
      </c>
      <c r="F1076" s="5">
        <v>1.9642432289335265</v>
      </c>
      <c r="G1076" s="5">
        <v>-4.308317480967968</v>
      </c>
      <c r="H1076" s="5">
        <v>1.562297333078977</v>
      </c>
      <c r="I1076" s="5">
        <v>3.510955571691632</v>
      </c>
      <c r="J1076" s="5">
        <v>7.4824847324188575</v>
      </c>
      <c r="K1076" s="5">
        <v>1.6271959118469015</v>
      </c>
      <c r="L1076" s="9" t="b">
        <v>0</v>
      </c>
    </row>
    <row r="1077" ht="15.75" customHeight="1">
      <c r="A1077" s="5">
        <v>14.0</v>
      </c>
      <c r="B1077" s="5">
        <v>20152.0</v>
      </c>
      <c r="C1077" s="5">
        <v>7509.90595430045</v>
      </c>
      <c r="D1077" s="5">
        <v>7295.43654432192</v>
      </c>
      <c r="E1077" s="5">
        <v>2.6558452874170246</v>
      </c>
      <c r="F1077" s="5">
        <v>1.568379655747415</v>
      </c>
      <c r="G1077" s="5">
        <v>-5.852204592603</v>
      </c>
      <c r="H1077" s="5">
        <v>0.07136204377684585</v>
      </c>
      <c r="I1077" s="5">
        <v>2.126992895608615</v>
      </c>
      <c r="J1077" s="5">
        <v>2.340006010052273</v>
      </c>
      <c r="K1077" s="5">
        <v>2.9397748671455615</v>
      </c>
      <c r="L1077" s="9" t="b">
        <v>0</v>
      </c>
    </row>
    <row r="1078" ht="15.75" customHeight="1">
      <c r="A1078" s="5">
        <v>14.0</v>
      </c>
      <c r="B1078" s="5">
        <v>20153.0</v>
      </c>
      <c r="C1078" s="5">
        <v>7557.105909657103</v>
      </c>
      <c r="D1078" s="5">
        <v>7380.5442340855</v>
      </c>
      <c r="E1078" s="5">
        <v>1.4986007676070168</v>
      </c>
      <c r="F1078" s="5">
        <v>0.9922546069239979</v>
      </c>
      <c r="G1078" s="5">
        <v>-5.839781429743579</v>
      </c>
      <c r="H1078" s="5">
        <v>1.3609179819331185</v>
      </c>
      <c r="I1078" s="5">
        <v>1.6201275573283103</v>
      </c>
      <c r="J1078" s="5">
        <v>-0.27964219550445635</v>
      </c>
      <c r="K1078" s="5">
        <v>2.3922582125609493</v>
      </c>
      <c r="L1078" s="9" t="b">
        <v>0</v>
      </c>
    </row>
    <row r="1079" ht="15.75" customHeight="1">
      <c r="A1079" s="5">
        <v>14.0</v>
      </c>
      <c r="B1079" s="5">
        <v>20154.0</v>
      </c>
      <c r="C1079" s="5">
        <v>7461.922544375651</v>
      </c>
      <c r="D1079" s="5">
        <v>7314.34180067474</v>
      </c>
      <c r="E1079" s="5">
        <v>2.012372392389783</v>
      </c>
      <c r="F1079" s="5">
        <v>1.8749237280278441</v>
      </c>
      <c r="G1079" s="5">
        <v>-0.8601589829931147</v>
      </c>
      <c r="H1079" s="5">
        <v>-0.152613402017987</v>
      </c>
      <c r="I1079" s="5">
        <v>0.7104909891927386</v>
      </c>
      <c r="J1079" s="5">
        <v>-2.998632831666506</v>
      </c>
      <c r="K1079" s="5">
        <v>2.017690008515838</v>
      </c>
      <c r="L1079" s="9" t="b">
        <v>0</v>
      </c>
    </row>
    <row r="1080" ht="15.75" customHeight="1">
      <c r="A1080" s="5">
        <v>14.0</v>
      </c>
      <c r="B1080" s="5">
        <v>20161.0</v>
      </c>
      <c r="C1080" s="5">
        <v>7639.388136193285</v>
      </c>
      <c r="D1080" s="5">
        <v>7375.32110522475</v>
      </c>
      <c r="E1080" s="5">
        <v>3.296438899716536</v>
      </c>
      <c r="F1080" s="5">
        <v>2.36581433678259</v>
      </c>
      <c r="G1080" s="5">
        <v>0.4015711078490636</v>
      </c>
      <c r="H1080" s="5">
        <v>1.3485757152629452</v>
      </c>
      <c r="I1080" s="5">
        <v>0.6570605847387306</v>
      </c>
      <c r="J1080" s="5">
        <v>-2.853894986952901</v>
      </c>
      <c r="K1080" s="5">
        <v>3.580414021315881</v>
      </c>
      <c r="L1080" s="9" t="b">
        <v>0</v>
      </c>
    </row>
    <row r="1081" ht="15.75" customHeight="1">
      <c r="A1081" s="5">
        <v>14.0</v>
      </c>
      <c r="B1081" s="5">
        <v>20162.0</v>
      </c>
      <c r="C1081" s="5">
        <v>7582.883</v>
      </c>
      <c r="D1081" s="5">
        <v>7401.86437289142</v>
      </c>
      <c r="E1081" s="5">
        <v>0.9717438027004865</v>
      </c>
      <c r="F1081" s="5">
        <v>1.9447889656034556</v>
      </c>
      <c r="G1081" s="5">
        <v>0.3764093098560406</v>
      </c>
      <c r="H1081" s="5">
        <v>1.4588274179744953</v>
      </c>
      <c r="I1081" s="5">
        <v>1.0039269282881431</v>
      </c>
      <c r="J1081" s="5">
        <v>-1.1230659673204717</v>
      </c>
      <c r="K1081" s="5">
        <v>2.4455815182393925</v>
      </c>
      <c r="L1081" s="9" t="b">
        <v>0</v>
      </c>
    </row>
    <row r="1082" ht="15.75" customHeight="1">
      <c r="A1082" s="5">
        <v>14.0</v>
      </c>
      <c r="B1082" s="5">
        <v>20163.0</v>
      </c>
      <c r="C1082" s="5">
        <v>7696.128493308946</v>
      </c>
      <c r="D1082" s="5">
        <v>7529.70764107164</v>
      </c>
      <c r="E1082" s="5">
        <v>1.839627303280067</v>
      </c>
      <c r="F1082" s="5">
        <v>2.030045599521718</v>
      </c>
      <c r="G1082" s="5">
        <v>1.03779099259772</v>
      </c>
      <c r="H1082" s="5">
        <v>2.021035336354471</v>
      </c>
      <c r="I1082" s="5">
        <v>1.1689562668934812</v>
      </c>
      <c r="J1082" s="5">
        <v>-0.45117129043482906</v>
      </c>
      <c r="K1082" s="5">
        <v>2.210190091970432</v>
      </c>
      <c r="L1082" s="9" t="b">
        <v>0</v>
      </c>
    </row>
    <row r="1083" ht="15.75" customHeight="1">
      <c r="A1083" s="5">
        <v>14.0</v>
      </c>
      <c r="B1083" s="5">
        <v>20164.0</v>
      </c>
      <c r="C1083" s="5">
        <v>7686.002090118282</v>
      </c>
      <c r="D1083" s="5">
        <v>7575.5479420857</v>
      </c>
      <c r="E1083" s="5">
        <v>3.0029733545214654</v>
      </c>
      <c r="F1083" s="5">
        <v>2.2776958400546388</v>
      </c>
      <c r="G1083" s="5">
        <v>0.40277211202679464</v>
      </c>
      <c r="H1083" s="5">
        <v>3.5711503308043957</v>
      </c>
      <c r="I1083" s="5">
        <v>2.0998972000990768</v>
      </c>
      <c r="J1083" s="5">
        <v>1.3894062109063383</v>
      </c>
      <c r="K1083" s="5">
        <v>1.4580351002593028</v>
      </c>
      <c r="L1083" s="9" t="b">
        <v>0</v>
      </c>
    </row>
    <row r="1084" ht="15.75" customHeight="1">
      <c r="A1084" s="5">
        <v>14.0</v>
      </c>
      <c r="B1084" s="5">
        <v>20171.0</v>
      </c>
      <c r="C1084" s="5">
        <v>7562.114717666345</v>
      </c>
      <c r="D1084" s="5">
        <v>7683.05094175501</v>
      </c>
      <c r="E1084" s="5">
        <v>-1.0115131886131112</v>
      </c>
      <c r="F1084" s="5">
        <v>1.2007078179722268</v>
      </c>
      <c r="G1084" s="5">
        <v>-1.1651065188103633</v>
      </c>
      <c r="H1084" s="5">
        <v>4.172426286799391</v>
      </c>
      <c r="I1084" s="5">
        <v>2.805859842983188</v>
      </c>
      <c r="J1084" s="5">
        <v>2.1487992582444573</v>
      </c>
      <c r="K1084" s="5">
        <v>-1.5740651078000045</v>
      </c>
      <c r="L1084" s="9" t="b">
        <v>0</v>
      </c>
    </row>
    <row r="1085" ht="15.75" customHeight="1">
      <c r="A1085" s="5">
        <v>14.0</v>
      </c>
      <c r="B1085" s="5">
        <v>20172.0</v>
      </c>
      <c r="C1085" s="5">
        <v>7682.575698500695</v>
      </c>
      <c r="D1085" s="5">
        <v>7796.71571204144</v>
      </c>
      <c r="E1085" s="5">
        <v>1.3147070645913361</v>
      </c>
      <c r="F1085" s="5">
        <v>1.2864486334449392</v>
      </c>
      <c r="G1085" s="5">
        <v>-0.6583403321585164</v>
      </c>
      <c r="H1085" s="5">
        <v>5.33448492512405</v>
      </c>
      <c r="I1085" s="5">
        <v>3.7747742197705767</v>
      </c>
      <c r="J1085" s="5">
        <v>2.7708472914824336</v>
      </c>
      <c r="K1085" s="5">
        <v>-1.4639499214324947</v>
      </c>
      <c r="L1085" s="9" t="b">
        <v>0</v>
      </c>
    </row>
    <row r="1086" ht="15.75" customHeight="1">
      <c r="A1086" s="5">
        <v>14.0</v>
      </c>
      <c r="B1086" s="5">
        <v>20173.0</v>
      </c>
      <c r="C1086" s="5">
        <v>7819.85595173138</v>
      </c>
      <c r="D1086" s="5">
        <v>7956.80400941427</v>
      </c>
      <c r="E1086" s="5">
        <v>1.6076584289101081</v>
      </c>
      <c r="F1086" s="5">
        <v>1.2284564148524497</v>
      </c>
      <c r="G1086" s="5">
        <v>-0.8015891846692682</v>
      </c>
      <c r="H1086" s="5">
        <v>5.672150748761928</v>
      </c>
      <c r="I1086" s="5">
        <v>4.687553072872441</v>
      </c>
      <c r="J1086" s="5">
        <v>3.5185968059789596</v>
      </c>
      <c r="K1086" s="5">
        <v>-1.7211440362343566</v>
      </c>
      <c r="L1086" s="9" t="b">
        <v>0</v>
      </c>
    </row>
    <row r="1087" ht="15.75" customHeight="1">
      <c r="A1087" s="5">
        <v>14.0</v>
      </c>
      <c r="B1087" s="5">
        <v>20174.0</v>
      </c>
      <c r="C1087" s="5">
        <v>7750.880270995374</v>
      </c>
      <c r="D1087" s="5">
        <v>8018.85203312681</v>
      </c>
      <c r="E1087" s="5">
        <v>0.8441082908434927</v>
      </c>
      <c r="F1087" s="5">
        <v>0.6887401489329564</v>
      </c>
      <c r="G1087" s="5">
        <v>-1.5889556911216824</v>
      </c>
      <c r="H1087" s="5">
        <v>5.851775930006986</v>
      </c>
      <c r="I1087" s="5">
        <v>5.257709472673088</v>
      </c>
      <c r="J1087" s="5">
        <v>3.1578122725740116</v>
      </c>
      <c r="K1087" s="5">
        <v>-3.3417721267883893</v>
      </c>
      <c r="L1087" s="9" t="b">
        <v>0</v>
      </c>
    </row>
    <row r="1088" ht="15.75" customHeight="1">
      <c r="A1088" s="5">
        <v>14.0</v>
      </c>
      <c r="B1088" s="5">
        <v>20181.0</v>
      </c>
      <c r="C1088" s="5">
        <v>7964.8923862843485</v>
      </c>
      <c r="D1088" s="5">
        <v>8082.62895735476</v>
      </c>
      <c r="E1088" s="5">
        <v>5.3262570544856835</v>
      </c>
      <c r="F1088" s="5">
        <v>2.273182709707655</v>
      </c>
      <c r="G1088" s="5">
        <v>1.0724748917354283</v>
      </c>
      <c r="H1088" s="5">
        <v>5.200772696015421</v>
      </c>
      <c r="I1088" s="5">
        <v>5.514796074977096</v>
      </c>
      <c r="J1088" s="5">
        <v>2.708936231993908</v>
      </c>
      <c r="K1088" s="5">
        <v>-1.4566618323271885</v>
      </c>
      <c r="L1088" s="9" t="b">
        <v>0</v>
      </c>
    </row>
    <row r="1089" ht="15.75" customHeight="1">
      <c r="A1089" s="5">
        <v>14.0</v>
      </c>
      <c r="B1089" s="5">
        <v>20182.0</v>
      </c>
      <c r="C1089" s="5">
        <v>8182.211925469966</v>
      </c>
      <c r="D1089" s="5">
        <v>8336.31459637101</v>
      </c>
      <c r="E1089" s="5">
        <v>6.5034989120482</v>
      </c>
      <c r="F1089" s="5">
        <v>3.570380671571871</v>
      </c>
      <c r="G1089" s="5">
        <v>2.283932038126932</v>
      </c>
      <c r="H1089" s="5">
        <v>6.920848524670453</v>
      </c>
      <c r="I1089" s="5">
        <v>5.911386974863698</v>
      </c>
      <c r="J1089" s="5">
        <v>2.136612755093121</v>
      </c>
      <c r="K1089" s="5">
        <v>-1.8485707217446912</v>
      </c>
      <c r="L1089" s="9" t="b">
        <v>0</v>
      </c>
    </row>
    <row r="1090" ht="15.75" customHeight="1">
      <c r="A1090" s="5">
        <v>14.0</v>
      </c>
      <c r="B1090" s="5">
        <v>20183.0</v>
      </c>
      <c r="C1090" s="5">
        <v>8537.825167515166</v>
      </c>
      <c r="D1090" s="5">
        <v>8540.82046358678</v>
      </c>
      <c r="E1090" s="5">
        <v>9.181361142909816</v>
      </c>
      <c r="F1090" s="5">
        <v>5.463806350071798</v>
      </c>
      <c r="G1090" s="5">
        <v>4.235349935219348</v>
      </c>
      <c r="H1090" s="5">
        <v>7.3398371190432465</v>
      </c>
      <c r="I1090" s="5">
        <v>6.328308567434027</v>
      </c>
      <c r="J1090" s="5">
        <v>1.6407554945615859</v>
      </c>
      <c r="K1090" s="5">
        <v>-0.03507035517705814</v>
      </c>
      <c r="L1090" s="9" t="b">
        <v>0</v>
      </c>
    </row>
    <row r="1091" ht="15.75" customHeight="1">
      <c r="A1091" s="5">
        <v>14.0</v>
      </c>
      <c r="B1091" s="5">
        <v>20184.0</v>
      </c>
      <c r="C1091" s="5">
        <v>8564.578476304134</v>
      </c>
      <c r="D1091" s="5">
        <v>8679.96528040445</v>
      </c>
      <c r="E1091" s="5">
        <v>10.498139267532046</v>
      </c>
      <c r="F1091" s="5">
        <v>7.877314094243936</v>
      </c>
      <c r="G1091" s="5">
        <v>7.18857394531098</v>
      </c>
      <c r="H1091" s="5">
        <v>8.244487422220859</v>
      </c>
      <c r="I1091" s="5">
        <v>6.926486440487494</v>
      </c>
      <c r="J1091" s="5">
        <v>1.6687769678144058</v>
      </c>
      <c r="K1091" s="5">
        <v>-1.3293463783871307</v>
      </c>
      <c r="L1091" s="9" t="b">
        <v>0</v>
      </c>
    </row>
    <row r="1092" ht="15.75" customHeight="1">
      <c r="A1092" s="5">
        <v>14.0</v>
      </c>
      <c r="B1092" s="5">
        <v>20191.0</v>
      </c>
      <c r="C1092" s="5">
        <v>8771.15430060197</v>
      </c>
      <c r="D1092" s="5">
        <v>8992.44493738374</v>
      </c>
      <c r="E1092" s="5">
        <v>10.122696895516302</v>
      </c>
      <c r="F1092" s="5">
        <v>9.07642405450159</v>
      </c>
      <c r="G1092" s="5">
        <v>6.8032413447939355</v>
      </c>
      <c r="H1092" s="5">
        <v>11.256436300977235</v>
      </c>
      <c r="I1092" s="5">
        <v>8.440402341727948</v>
      </c>
      <c r="J1092" s="5">
        <v>2.925606266750852</v>
      </c>
      <c r="K1092" s="5">
        <v>-2.460850617631394</v>
      </c>
      <c r="L1092" s="9" t="b">
        <v>0</v>
      </c>
    </row>
    <row r="1093" ht="15.75" customHeight="1">
      <c r="A1093" s="5">
        <v>14.0</v>
      </c>
      <c r="B1093" s="5">
        <v>20192.0</v>
      </c>
      <c r="C1093" s="5">
        <v>8932.04924952834</v>
      </c>
      <c r="D1093" s="5">
        <v>9196.1561165766</v>
      </c>
      <c r="E1093" s="5">
        <v>9.164237383344286</v>
      </c>
      <c r="F1093" s="5">
        <v>9.741608672325611</v>
      </c>
      <c r="G1093" s="5">
        <v>6.17122800075374</v>
      </c>
      <c r="H1093" s="5">
        <v>10.31440824677967</v>
      </c>
      <c r="I1093" s="5">
        <v>9.288792272255252</v>
      </c>
      <c r="J1093" s="5">
        <v>3.3774052973915545</v>
      </c>
      <c r="K1093" s="5">
        <v>-2.871926745264708</v>
      </c>
      <c r="L1093" s="9" t="b">
        <v>0</v>
      </c>
    </row>
    <row r="1094" ht="15.75" customHeight="1">
      <c r="A1094" s="5">
        <v>14.0</v>
      </c>
      <c r="B1094" s="5">
        <v>20193.0</v>
      </c>
      <c r="C1094" s="5">
        <v>9188.448558315798</v>
      </c>
      <c r="D1094" s="5">
        <v>9415.11914431143</v>
      </c>
      <c r="E1094" s="5">
        <v>7.620481539914081</v>
      </c>
      <c r="F1094" s="5">
        <v>9.35138877157668</v>
      </c>
      <c r="G1094" s="5">
        <v>3.8875824215048818</v>
      </c>
      <c r="H1094" s="5">
        <v>10.236705998588347</v>
      </c>
      <c r="I1094" s="5">
        <v>10.013009492141528</v>
      </c>
      <c r="J1094" s="5">
        <v>3.684700924707501</v>
      </c>
      <c r="K1094" s="5">
        <v>-2.407516915307273</v>
      </c>
      <c r="L1094" s="9" t="b">
        <v>0</v>
      </c>
    </row>
    <row r="1095" ht="15.75" customHeight="1">
      <c r="A1095" s="5">
        <v>14.0</v>
      </c>
      <c r="B1095" s="5">
        <v>20194.0</v>
      </c>
      <c r="C1095" s="5">
        <v>9475.831959098188</v>
      </c>
      <c r="D1095" s="5">
        <v>9732.04536152786</v>
      </c>
      <c r="E1095" s="5">
        <v>10.63979371915671</v>
      </c>
      <c r="F1095" s="5">
        <v>9.386802384482845</v>
      </c>
      <c r="G1095" s="5">
        <v>1.5094882902389086</v>
      </c>
      <c r="H1095" s="5">
        <v>12.120786744372625</v>
      </c>
      <c r="I1095" s="5">
        <v>10.98208432267947</v>
      </c>
      <c r="J1095" s="5">
        <v>4.055597882191975</v>
      </c>
      <c r="K1095" s="5">
        <v>-2.6326778484050184</v>
      </c>
      <c r="L1095" s="9" t="b">
        <v>0</v>
      </c>
    </row>
    <row r="1096" ht="15.75" customHeight="1">
      <c r="A1096" s="5">
        <v>14.0</v>
      </c>
      <c r="B1096" s="5">
        <v>20201.0</v>
      </c>
      <c r="C1096" s="5">
        <v>9818.601940341168</v>
      </c>
      <c r="D1096" s="5">
        <v>9969.61092915727</v>
      </c>
      <c r="E1096" s="5">
        <v>11.941958878403414</v>
      </c>
      <c r="F1096" s="5">
        <v>9.841617880204623</v>
      </c>
      <c r="G1096" s="5">
        <v>0.7651938257030331</v>
      </c>
      <c r="H1096" s="5">
        <v>10.866521825574015</v>
      </c>
      <c r="I1096" s="5">
        <v>10.884605703828665</v>
      </c>
      <c r="J1096" s="5">
        <v>2.4442033621007173</v>
      </c>
      <c r="K1096" s="5">
        <v>-1.5146928991427222</v>
      </c>
      <c r="L1096" s="9" t="b">
        <v>0</v>
      </c>
    </row>
    <row r="1097" ht="15.75" customHeight="1">
      <c r="A1097" s="5">
        <v>14.0</v>
      </c>
      <c r="B1097" s="5">
        <v>20202.0</v>
      </c>
      <c r="C1097" s="5">
        <v>9438.890761932047</v>
      </c>
      <c r="D1097" s="5">
        <v>10242.3566871792</v>
      </c>
      <c r="E1097" s="5">
        <v>5.674414663919047</v>
      </c>
      <c r="F1097" s="5">
        <v>8.969162200348313</v>
      </c>
      <c r="G1097" s="5">
        <v>-0.7724464719772985</v>
      </c>
      <c r="H1097" s="5">
        <v>11.376498586368754</v>
      </c>
      <c r="I1097" s="5">
        <v>11.150128288725934</v>
      </c>
      <c r="J1097" s="5">
        <v>1.8613360164706823</v>
      </c>
      <c r="K1097" s="5">
        <v>-7.844541542405825</v>
      </c>
      <c r="L1097" s="9" t="b">
        <v>0</v>
      </c>
    </row>
    <row r="1098" ht="15.75" customHeight="1">
      <c r="A1098" s="5">
        <v>14.0</v>
      </c>
      <c r="B1098" s="5">
        <v>20203.0</v>
      </c>
      <c r="C1098" s="5">
        <v>10182.752715356784</v>
      </c>
      <c r="D1098" s="5">
        <v>10449.7016158636</v>
      </c>
      <c r="E1098" s="5">
        <v>10.82124093888639</v>
      </c>
      <c r="F1098" s="5">
        <v>9.76935205009139</v>
      </c>
      <c r="G1098" s="5">
        <v>0.41796327851471027</v>
      </c>
      <c r="H1098" s="5">
        <v>10.988522351066155</v>
      </c>
      <c r="I1098" s="5">
        <v>11.338082376845387</v>
      </c>
      <c r="J1098" s="5">
        <v>1.325072884703859</v>
      </c>
      <c r="K1098" s="5">
        <v>-2.5546078760905755</v>
      </c>
      <c r="L1098" s="9" t="b">
        <v>0</v>
      </c>
    </row>
    <row r="1099" ht="15.75" customHeight="1">
      <c r="A1099" s="5">
        <v>14.0</v>
      </c>
      <c r="B1099" s="5">
        <v>20204.0</v>
      </c>
      <c r="C1099" s="5">
        <v>10239.530064305822</v>
      </c>
      <c r="D1099" s="5">
        <v>10662.1295202753</v>
      </c>
      <c r="E1099" s="5">
        <v>8.059430649510112</v>
      </c>
      <c r="F1099" s="5">
        <v>9.12426128267974</v>
      </c>
      <c r="G1099" s="5">
        <v>-0.2625411018031052</v>
      </c>
      <c r="H1099" s="5">
        <v>9.556923793472993</v>
      </c>
      <c r="I1099" s="5">
        <v>10.69711663912048</v>
      </c>
      <c r="J1099" s="5">
        <v>-0.28496768355898894</v>
      </c>
      <c r="K1099" s="5">
        <v>-3.963555827809595</v>
      </c>
      <c r="L1099" s="9" t="b">
        <v>0</v>
      </c>
    </row>
    <row r="1100" ht="15.75" customHeight="1">
      <c r="A1100" s="5">
        <v>14.0</v>
      </c>
      <c r="B1100" s="5">
        <v>20211.0</v>
      </c>
      <c r="C1100" s="5">
        <v>10665.869259657971</v>
      </c>
      <c r="D1100" s="5">
        <v>10815.470757534447</v>
      </c>
      <c r="E1100" s="5">
        <v>8.629205303004305</v>
      </c>
      <c r="F1100" s="5">
        <v>8.296072888829965</v>
      </c>
      <c r="G1100" s="5">
        <v>-1.5455449913746584</v>
      </c>
      <c r="H1100" s="5">
        <v>8.484381530911733</v>
      </c>
      <c r="I1100" s="5">
        <v>10.101581565454909</v>
      </c>
      <c r="J1100" s="5">
        <v>-0.7830241383737562</v>
      </c>
      <c r="K1100" s="5">
        <v>-1.3832176262162044</v>
      </c>
      <c r="L1100" s="9" t="b">
        <v>0</v>
      </c>
    </row>
    <row r="1101" ht="15.75" customHeight="1">
      <c r="A1101" s="5">
        <v>14.0</v>
      </c>
      <c r="B1101" s="5">
        <v>20212.0</v>
      </c>
      <c r="C1101" s="5">
        <v>10695.520589276564</v>
      </c>
      <c r="D1101" s="5">
        <v>10966.544065469589</v>
      </c>
      <c r="E1101" s="5">
        <v>13.313321014505508</v>
      </c>
      <c r="F1101" s="5">
        <v>10.205799476476578</v>
      </c>
      <c r="G1101" s="5">
        <v>1.2366372761282651</v>
      </c>
      <c r="H1101" s="5">
        <v>7.070515120771814</v>
      </c>
      <c r="I1101" s="5">
        <v>9.025085699055674</v>
      </c>
      <c r="J1101" s="5">
        <v>-2.12504258967026</v>
      </c>
      <c r="K1101" s="5">
        <v>-2.4713663171827993</v>
      </c>
      <c r="L1101" s="9" t="b">
        <v>0</v>
      </c>
    </row>
    <row r="1102" ht="15.75" customHeight="1">
      <c r="A1102" s="5">
        <v>14.0</v>
      </c>
      <c r="B1102" s="5">
        <v>20213.0</v>
      </c>
      <c r="C1102" s="5">
        <v>11005.860979554898</v>
      </c>
      <c r="D1102" s="5">
        <v>11265.44707341051</v>
      </c>
      <c r="E1102" s="5">
        <v>8.083357096129529</v>
      </c>
      <c r="F1102" s="5">
        <v>9.521328515787364</v>
      </c>
      <c r="G1102" s="5">
        <v>-0.24802353430402668</v>
      </c>
      <c r="H1102" s="5">
        <v>7.806399527317942</v>
      </c>
      <c r="I1102" s="5">
        <v>8.22955499311862</v>
      </c>
      <c r="J1102" s="5">
        <v>-3.1085273837267664</v>
      </c>
      <c r="K1102" s="5">
        <v>-2.3042680167421503</v>
      </c>
      <c r="L1102" s="9" t="b">
        <v>0</v>
      </c>
    </row>
    <row r="1103" ht="15.75" customHeight="1">
      <c r="A1103" s="5">
        <v>14.0</v>
      </c>
      <c r="B1103" s="5">
        <v>20214.0</v>
      </c>
      <c r="C1103" s="5">
        <v>11619.96579986599</v>
      </c>
      <c r="D1103" s="5">
        <v>11618.404151570492</v>
      </c>
      <c r="E1103" s="5">
        <v>13.481436422285187</v>
      </c>
      <c r="F1103" s="5">
        <v>10.876829958981132</v>
      </c>
      <c r="G1103" s="5">
        <v>1.752568676301392</v>
      </c>
      <c r="H1103" s="5">
        <v>8.968889652641355</v>
      </c>
      <c r="I1103" s="5">
        <v>8.082546457910711</v>
      </c>
      <c r="J1103" s="5">
        <v>-2.6145701812097695</v>
      </c>
      <c r="K1103" s="5">
        <v>0.013441160034766142</v>
      </c>
      <c r="L1103" s="9" t="b">
        <v>0</v>
      </c>
    </row>
    <row r="1104" ht="15.75" customHeight="1">
      <c r="A1104" s="5">
        <v>14.0</v>
      </c>
      <c r="B1104" s="5">
        <v>20221.0</v>
      </c>
      <c r="C1104" s="5">
        <v>12380.662357093424</v>
      </c>
      <c r="D1104" s="5">
        <v>12123.640529591175</v>
      </c>
      <c r="E1104" s="5">
        <v>16.077387184196958</v>
      </c>
      <c r="F1104" s="5">
        <v>12.738875429279295</v>
      </c>
      <c r="G1104" s="5">
        <v>4.44280254044933</v>
      </c>
      <c r="H1104" s="5">
        <v>12.095356747605358</v>
      </c>
      <c r="I1104" s="5">
        <v>8.985290262084117</v>
      </c>
      <c r="J1104" s="5">
        <v>-1.116291303370792</v>
      </c>
      <c r="K1104" s="5">
        <v>2.120005347196785</v>
      </c>
      <c r="L1104" s="9" t="b">
        <v>0</v>
      </c>
    </row>
    <row r="1105" ht="15.75" customHeight="1">
      <c r="A1105" s="5">
        <v>14.0</v>
      </c>
      <c r="B1105" s="5">
        <v>20222.0</v>
      </c>
      <c r="C1105" s="5">
        <v>12343.410440092872</v>
      </c>
      <c r="D1105" s="5">
        <v>12455.84308772129</v>
      </c>
      <c r="E1105" s="5">
        <v>15.407289781373512</v>
      </c>
      <c r="F1105" s="5">
        <v>13.262367620996296</v>
      </c>
      <c r="G1105" s="5">
        <v>3.0565681445197175</v>
      </c>
      <c r="H1105" s="5">
        <v>13.580386066573746</v>
      </c>
      <c r="I1105" s="5">
        <v>10.6127579985346</v>
      </c>
      <c r="J1105" s="5">
        <v>1.5876722994789247</v>
      </c>
      <c r="K1105" s="5">
        <v>-0.9026498394095195</v>
      </c>
      <c r="L1105" s="9" t="b">
        <v>0</v>
      </c>
    </row>
    <row r="1106" ht="15.75" customHeight="1">
      <c r="A1106" s="5">
        <v>14.0</v>
      </c>
      <c r="B1106" s="5">
        <v>20223.0</v>
      </c>
      <c r="C1106" s="5">
        <v>12726.52242775086</v>
      </c>
      <c r="D1106" s="5">
        <v>12697.913645616603</v>
      </c>
      <c r="E1106" s="5">
        <v>15.63404672648836</v>
      </c>
      <c r="F1106" s="5">
        <v>15.150040028586004</v>
      </c>
      <c r="G1106" s="5">
        <v>5.62871151279864</v>
      </c>
      <c r="H1106" s="5">
        <v>12.71557677978976</v>
      </c>
      <c r="I1106" s="5">
        <v>11.840052311652554</v>
      </c>
      <c r="J1106" s="5">
        <v>3.610497318533934</v>
      </c>
      <c r="K1106" s="5">
        <v>0.22530301380756512</v>
      </c>
      <c r="L1106" s="9" t="b">
        <v>0</v>
      </c>
    </row>
    <row r="1107" ht="15.75" customHeight="1">
      <c r="A1107" s="5">
        <v>14.0</v>
      </c>
      <c r="B1107" s="5">
        <v>20224.0</v>
      </c>
      <c r="C1107" s="5">
        <v>12835.956204420823</v>
      </c>
      <c r="D1107" s="5">
        <v>12816.227648426157</v>
      </c>
      <c r="E1107" s="5">
        <v>10.464664229638764</v>
      </c>
      <c r="F1107" s="5">
        <v>14.395846980424398</v>
      </c>
      <c r="G1107" s="5">
        <v>3.5190170214432666</v>
      </c>
      <c r="H1107" s="5">
        <v>10.309707608972719</v>
      </c>
      <c r="I1107" s="5">
        <v>12.175256800735395</v>
      </c>
      <c r="J1107" s="5">
        <v>4.0927103428246845</v>
      </c>
      <c r="K1107" s="5">
        <v>0.15393418824836136</v>
      </c>
      <c r="L1107" s="9" t="b">
        <v>0</v>
      </c>
    </row>
    <row r="1108" ht="15.75" customHeight="1">
      <c r="A1108" s="5">
        <v>14.0</v>
      </c>
      <c r="B1108" s="5">
        <v>20231.0</v>
      </c>
      <c r="C1108" s="5">
        <v>12806.123641876957</v>
      </c>
      <c r="D1108" s="5">
        <v>12825.552088237178</v>
      </c>
      <c r="E1108" s="5">
        <v>3.436498569398161</v>
      </c>
      <c r="F1108" s="5">
        <v>11.235624826724699</v>
      </c>
      <c r="G1108" s="5">
        <v>-1.503250602554596</v>
      </c>
      <c r="H1108" s="5">
        <v>5.789610446901561</v>
      </c>
      <c r="I1108" s="5">
        <v>10.598820225559447</v>
      </c>
      <c r="J1108" s="5">
        <v>1.6135299634753295</v>
      </c>
      <c r="K1108" s="5">
        <v>-0.15148233952471113</v>
      </c>
      <c r="L1108" s="9" t="b">
        <v>0</v>
      </c>
    </row>
    <row r="1109" ht="15.75" customHeight="1">
      <c r="A1109" s="5">
        <v>14.0</v>
      </c>
      <c r="B1109" s="5">
        <v>20232.0</v>
      </c>
      <c r="C1109" s="5">
        <v>13179.729117161727</v>
      </c>
      <c r="D1109" s="5">
        <v>12971.303003646335</v>
      </c>
      <c r="E1109" s="5">
        <v>6.775426298329945</v>
      </c>
      <c r="F1109" s="5">
        <v>9.077658955963807</v>
      </c>
      <c r="G1109" s="5">
        <v>-4.184708665032488</v>
      </c>
      <c r="H1109" s="5">
        <v>4.138298084640879</v>
      </c>
      <c r="I1109" s="5">
        <v>8.23829823007623</v>
      </c>
      <c r="J1109" s="5">
        <v>-2.374459768458369</v>
      </c>
      <c r="K1109" s="5">
        <v>1.6068247997660823</v>
      </c>
      <c r="L1109" s="9" t="b">
        <v>0</v>
      </c>
    </row>
    <row r="1110" ht="15.75" customHeight="1">
      <c r="A1110" s="5">
        <v>14.0</v>
      </c>
      <c r="B1110" s="5">
        <v>20233.0</v>
      </c>
      <c r="C1110" s="5">
        <v>14032.220506921574</v>
      </c>
      <c r="D1110" s="5">
        <v>13743.787279196054</v>
      </c>
      <c r="E1110" s="5">
        <v>10.259661164966548</v>
      </c>
      <c r="F1110" s="5">
        <v>7.734062565583355</v>
      </c>
      <c r="G1110" s="5">
        <v>-7.4159774630026485</v>
      </c>
      <c r="H1110" s="5">
        <v>8.236578565333797</v>
      </c>
      <c r="I1110" s="5">
        <v>7.118548676462239</v>
      </c>
      <c r="J1110" s="5">
        <v>-4.721503635190316</v>
      </c>
      <c r="K1110" s="5">
        <v>2.0986444410568073</v>
      </c>
      <c r="L1110" s="9" t="b">
        <v>0</v>
      </c>
    </row>
    <row r="1111" ht="15.75" customHeight="1">
      <c r="A1111" s="5">
        <v>14.0</v>
      </c>
      <c r="B1111" s="5">
        <v>20234.0</v>
      </c>
      <c r="C1111" s="5">
        <v>14926.628092974184</v>
      </c>
      <c r="D1111" s="5">
        <v>14148.98945254322</v>
      </c>
      <c r="E1111" s="5">
        <v>16.287620924051716</v>
      </c>
      <c r="F1111" s="5">
        <v>9.189801739186592</v>
      </c>
      <c r="G1111" s="5">
        <v>-5.206045241237806</v>
      </c>
      <c r="H1111" s="5">
        <v>10.399017875441107</v>
      </c>
      <c r="I1111" s="5">
        <v>7.140876243079336</v>
      </c>
      <c r="J1111" s="5">
        <v>-5.03438055765606</v>
      </c>
      <c r="K1111" s="5">
        <v>5.496071949443615</v>
      </c>
      <c r="L1111" s="9" t="b">
        <v>0</v>
      </c>
    </row>
    <row r="1112" ht="15.75" customHeight="1">
      <c r="A1112" s="5">
        <v>14.0</v>
      </c>
      <c r="B1112" s="5">
        <v>20241.0</v>
      </c>
      <c r="C1112" s="5">
        <v>15880.280574017512</v>
      </c>
      <c r="D1112" s="5">
        <v>15233.26062060518</v>
      </c>
      <c r="E1112" s="5">
        <v>24.005366636378845</v>
      </c>
      <c r="F1112" s="5">
        <v>14.332018755931763</v>
      </c>
      <c r="G1112" s="5">
        <v>3.096393929207064</v>
      </c>
      <c r="H1112" s="5">
        <v>18.772747682154023</v>
      </c>
      <c r="I1112" s="5">
        <v>10.38666055189245</v>
      </c>
      <c r="J1112" s="5">
        <v>-0.21215967366699573</v>
      </c>
      <c r="K1112" s="5">
        <v>4.247416029481843</v>
      </c>
      <c r="L1112" s="9" t="b">
        <v>0</v>
      </c>
    </row>
    <row r="1113" ht="15.75" customHeight="1">
      <c r="A1113" s="5">
        <v>14.0</v>
      </c>
      <c r="B1113" s="5">
        <v>20242.0</v>
      </c>
      <c r="C1113" s="5">
        <v>15995.870719606284</v>
      </c>
      <c r="D1113" s="5">
        <v>16278.723439873129</v>
      </c>
      <c r="E1113" s="5">
        <v>21.367219139409887</v>
      </c>
      <c r="F1113" s="5">
        <v>17.979966966201747</v>
      </c>
      <c r="G1113" s="5">
        <v>8.90230801023794</v>
      </c>
      <c r="H1113" s="5">
        <v>25.49798146953357</v>
      </c>
      <c r="I1113" s="5">
        <v>15.726581398115624</v>
      </c>
      <c r="J1113" s="5">
        <v>7.488283168039393</v>
      </c>
      <c r="K1113" s="5">
        <v>-1.7375608186451785</v>
      </c>
      <c r="L1113" s="9" t="b">
        <v>0</v>
      </c>
    </row>
    <row r="1114" ht="15.75" customHeight="1">
      <c r="A1114" s="5">
        <v>14.0</v>
      </c>
      <c r="B1114" s="5">
        <v>20243.0</v>
      </c>
      <c r="C1114" s="5">
        <v>16323.256411590044</v>
      </c>
      <c r="D1114" s="5">
        <v>16849.246501148584</v>
      </c>
      <c r="E1114" s="5">
        <v>16.3269662384395</v>
      </c>
      <c r="F1114" s="5">
        <v>19.496793234569985</v>
      </c>
      <c r="G1114" s="5">
        <v>11.762730668986631</v>
      </c>
      <c r="H1114" s="5">
        <v>22.59536733847196</v>
      </c>
      <c r="I1114" s="5">
        <v>19.316278591400163</v>
      </c>
      <c r="J1114" s="5">
        <v>12.197729914937923</v>
      </c>
      <c r="K1114" s="5">
        <v>-3.1217425035753643</v>
      </c>
      <c r="L1114" s="9" t="b">
        <v>0</v>
      </c>
    </row>
    <row r="1115" ht="15.75" customHeight="1">
      <c r="A1115" s="5">
        <v>14.0</v>
      </c>
      <c r="B1115" s="5">
        <v>20244.0</v>
      </c>
      <c r="C1115" s="5">
        <v>16548.275690816088</v>
      </c>
      <c r="D1115" s="5">
        <v>16972.408508539345</v>
      </c>
      <c r="E1115" s="5">
        <v>10.86412542565589</v>
      </c>
      <c r="F1115" s="5">
        <v>18.14091935997103</v>
      </c>
      <c r="G1115" s="5">
        <v>8.951117620784437</v>
      </c>
      <c r="H1115" s="5">
        <v>19.95491667773226</v>
      </c>
      <c r="I1115" s="5">
        <v>21.70525329197295</v>
      </c>
      <c r="J1115" s="5">
        <v>14.564377048893615</v>
      </c>
      <c r="K1115" s="5">
        <v>-2.4989548036736364</v>
      </c>
      <c r="L1115" s="9" t="b">
        <v>0</v>
      </c>
    </row>
    <row r="1116" ht="15.75" customHeight="1">
      <c r="A1116" s="5">
        <v>14.0</v>
      </c>
      <c r="B1116" s="5">
        <v>20251.0</v>
      </c>
      <c r="C1116" s="5">
        <v>16436.954203402074</v>
      </c>
      <c r="D1116" s="5">
        <v>16682.10157555931</v>
      </c>
      <c r="E1116" s="5">
        <v>3.505439509018271</v>
      </c>
      <c r="F1116" s="5">
        <v>13.015937578130886</v>
      </c>
      <c r="G1116" s="5">
        <v>-1.3160811778008767</v>
      </c>
      <c r="H1116" s="5">
        <v>9.511036350250347</v>
      </c>
      <c r="I1116" s="5">
        <v>19.389825458997034</v>
      </c>
      <c r="J1116" s="5">
        <v>9.003164907104583</v>
      </c>
      <c r="K1116" s="5">
        <v>-1.4695233154340626</v>
      </c>
      <c r="L1116" s="9" t="b">
        <v>0</v>
      </c>
    </row>
    <row r="1117" ht="15.75" customHeight="1">
      <c r="A1117" s="5">
        <v>14.0</v>
      </c>
      <c r="B1117" s="5">
        <v>20252.0</v>
      </c>
      <c r="C1117" s="5">
        <v>16386.713961050413</v>
      </c>
      <c r="D1117" s="5">
        <v>16507.2064373036</v>
      </c>
      <c r="E1117" s="5">
        <v>2.443400851977806</v>
      </c>
      <c r="F1117" s="5">
        <v>8.284983006272867</v>
      </c>
      <c r="G1117" s="5">
        <v>-9.69498395992888</v>
      </c>
      <c r="H1117" s="5">
        <v>1.4035682728709808</v>
      </c>
      <c r="I1117" s="5">
        <v>13.366222159831388</v>
      </c>
      <c r="J1117" s="5">
        <v>-2.3603592382842358</v>
      </c>
      <c r="K1117" s="5">
        <v>-0.7299386283853293</v>
      </c>
      <c r="L1117" s="9" t="b">
        <v>0</v>
      </c>
    </row>
    <row r="1118" ht="15.75" customHeight="1">
      <c r="A1118" s="5">
        <v>14.0</v>
      </c>
      <c r="B1118" s="5">
        <v>20253.0</v>
      </c>
      <c r="C1118" s="5">
        <v>16291.003915533429</v>
      </c>
      <c r="D1118" s="5">
        <v>16444.390322810366</v>
      </c>
      <c r="E1118" s="5">
        <v>-0.1975861632223963</v>
      </c>
      <c r="F1118" s="5">
        <v>4.153844905857393</v>
      </c>
      <c r="G1118" s="5">
        <v>-15.342948328712591</v>
      </c>
      <c r="H1118" s="5">
        <v>-2.4028147389891785</v>
      </c>
      <c r="I1118" s="5">
        <v>7.116676640466102</v>
      </c>
      <c r="J1118" s="5">
        <v>-12.19960195093406</v>
      </c>
      <c r="K1118" s="5">
        <v>-0.9327582492624997</v>
      </c>
      <c r="L1118" s="9" t="b">
        <v>0</v>
      </c>
    </row>
    <row r="1119" ht="15.75" customHeight="1">
      <c r="A1119" s="5">
        <v>14.0</v>
      </c>
      <c r="B1119" s="5">
        <v>20254.0</v>
      </c>
      <c r="C1119" s="5">
        <v>16576.887642808255</v>
      </c>
      <c r="D1119" s="5">
        <v>16759.213075944503</v>
      </c>
      <c r="E1119" s="5">
        <v>0.17289989922060212</v>
      </c>
      <c r="F1119" s="5">
        <v>1.4810385242485706</v>
      </c>
      <c r="G1119" s="5">
        <v>-16.659880835722458</v>
      </c>
      <c r="H1119" s="5">
        <v>-1.256129514485682</v>
      </c>
      <c r="I1119" s="5">
        <v>1.8139150924116167</v>
      </c>
      <c r="J1119" s="5">
        <v>-19.891338199561336</v>
      </c>
      <c r="K1119" s="5">
        <v>-1.0879116597541816</v>
      </c>
      <c r="L1119" s="9" t="b">
        <v>0</v>
      </c>
    </row>
    <row r="1120" ht="15.75" customHeight="1">
      <c r="A1120" s="5">
        <v>14.0</v>
      </c>
      <c r="B1120" s="5">
        <v>20261.0</v>
      </c>
      <c r="C1120" s="5">
        <v>16470.573676205182</v>
      </c>
      <c r="D1120" s="5">
        <v>16522.655483872208</v>
      </c>
      <c r="E1120" s="5">
        <v>0.20453590359306162</v>
      </c>
      <c r="F1120" s="5">
        <v>0.6558126228922684</v>
      </c>
      <c r="G1120" s="5">
        <v>-12.360124955238618</v>
      </c>
      <c r="H1120" s="5">
        <v>-0.955791396934691</v>
      </c>
      <c r="I1120" s="5">
        <v>-0.8027918443846427</v>
      </c>
      <c r="J1120" s="5">
        <v>-20.192617303381677</v>
      </c>
      <c r="K1120" s="5">
        <v>-0.31521451087486163</v>
      </c>
      <c r="L1120" s="9" t="b">
        <v>0</v>
      </c>
    </row>
    <row r="1121" ht="15.75" customHeight="1">
      <c r="A1121" s="5">
        <v>14.0</v>
      </c>
      <c r="B1121" s="5">
        <v>20262.0</v>
      </c>
      <c r="C1121" s="5">
        <v>16783.491477744396</v>
      </c>
      <c r="D1121" s="5">
        <v>16722.656815563725</v>
      </c>
      <c r="E1121" s="5">
        <v>2.4213366855434515</v>
      </c>
      <c r="F1121" s="5">
        <v>0.6502965812836797</v>
      </c>
      <c r="G1121" s="5">
        <v>-7.634686424989187</v>
      </c>
      <c r="H1121" s="5">
        <v>1.305189821660191</v>
      </c>
      <c r="I1121" s="5">
        <v>-0.8273864571873402</v>
      </c>
      <c r="J1121" s="5">
        <v>-14.193608617018729</v>
      </c>
      <c r="K1121" s="5">
        <v>0.3637858675904493</v>
      </c>
      <c r="L1121" s="9" t="b">
        <v>0</v>
      </c>
    </row>
    <row r="1122" ht="15.75" customHeight="1">
      <c r="A1122" s="5">
        <v>15.0</v>
      </c>
      <c r="B1122" s="5">
        <v>20063.0</v>
      </c>
      <c r="C1122" s="5">
        <v>3211.0</v>
      </c>
      <c r="D1122" s="5">
        <v>4363.450301310089</v>
      </c>
      <c r="K1122" s="5">
        <v>-26.411445570127746</v>
      </c>
      <c r="L1122" s="9" t="b">
        <v>0</v>
      </c>
    </row>
    <row r="1123" ht="15.75" customHeight="1">
      <c r="A1123" s="5">
        <v>15.0</v>
      </c>
      <c r="B1123" s="5">
        <v>20064.0</v>
      </c>
      <c r="C1123" s="5">
        <v>3777.0</v>
      </c>
      <c r="D1123" s="5">
        <v>4896.118753824928</v>
      </c>
      <c r="K1123" s="5">
        <v>-22.857263275133064</v>
      </c>
      <c r="L1123" s="9" t="b">
        <v>0</v>
      </c>
    </row>
    <row r="1124" ht="15.75" customHeight="1">
      <c r="A1124" s="5">
        <v>15.0</v>
      </c>
      <c r="B1124" s="5">
        <v>20071.0</v>
      </c>
      <c r="C1124" s="5">
        <v>7062.859050052712</v>
      </c>
      <c r="D1124" s="5">
        <v>5649.625717556676</v>
      </c>
      <c r="K1124" s="5">
        <v>25.014636422804017</v>
      </c>
      <c r="L1124" s="9" t="b">
        <v>0</v>
      </c>
    </row>
    <row r="1125" ht="15.75" customHeight="1">
      <c r="A1125" s="5">
        <v>15.0</v>
      </c>
      <c r="B1125" s="5">
        <v>20072.0</v>
      </c>
      <c r="C1125" s="5">
        <v>5289.0</v>
      </c>
      <c r="D1125" s="5">
        <v>6259.24913319187</v>
      </c>
      <c r="K1125" s="5">
        <v>-15.50104673173628</v>
      </c>
      <c r="L1125" s="9" t="b">
        <v>0</v>
      </c>
    </row>
    <row r="1126" ht="15.75" customHeight="1">
      <c r="A1126" s="5">
        <v>15.0</v>
      </c>
      <c r="B1126" s="5">
        <v>20073.0</v>
      </c>
      <c r="C1126" s="5">
        <v>5835.806577405288</v>
      </c>
      <c r="D1126" s="5">
        <v>6632.17013804881</v>
      </c>
      <c r="E1126" s="5">
        <v>81.74420982264989</v>
      </c>
      <c r="H1126" s="5">
        <v>51.9937132332539</v>
      </c>
      <c r="K1126" s="5">
        <v>-12.007586416922233</v>
      </c>
      <c r="L1126" s="9" t="b">
        <v>0</v>
      </c>
    </row>
    <row r="1127" ht="15.75" customHeight="1">
      <c r="A1127" s="5">
        <v>15.0</v>
      </c>
      <c r="B1127" s="5">
        <v>20074.0</v>
      </c>
      <c r="C1127" s="5">
        <v>5625.0</v>
      </c>
      <c r="D1127" s="5">
        <v>5989.830638410667</v>
      </c>
      <c r="E1127" s="5">
        <v>48.92772041302622</v>
      </c>
      <c r="H1127" s="5">
        <v>22.33834470888423</v>
      </c>
      <c r="K1127" s="5">
        <v>-6.09083395565706</v>
      </c>
      <c r="L1127" s="9" t="b">
        <v>0</v>
      </c>
    </row>
    <row r="1128" ht="15.75" customHeight="1">
      <c r="A1128" s="5">
        <v>15.0</v>
      </c>
      <c r="B1128" s="5">
        <v>20081.0</v>
      </c>
      <c r="C1128" s="5">
        <v>5268.0</v>
      </c>
      <c r="D1128" s="5">
        <v>5862.346583539417</v>
      </c>
      <c r="E1128" s="5">
        <v>-25.412641500177134</v>
      </c>
      <c r="H1128" s="5">
        <v>3.7652205051689203</v>
      </c>
      <c r="K1128" s="5">
        <v>-10.13837334708686</v>
      </c>
      <c r="L1128" s="9" t="b">
        <v>0</v>
      </c>
    </row>
    <row r="1129" ht="15.75" customHeight="1">
      <c r="A1129" s="5">
        <v>15.0</v>
      </c>
      <c r="B1129" s="5">
        <v>20082.0</v>
      </c>
      <c r="C1129" s="5">
        <v>5349.0</v>
      </c>
      <c r="D1129" s="5">
        <v>6039.540835902385</v>
      </c>
      <c r="E1129" s="5">
        <v>1.1344299489506549</v>
      </c>
      <c r="F1129" s="5">
        <v>26.59842967111241</v>
      </c>
      <c r="H1129" s="5">
        <v>-3.5101382388568747</v>
      </c>
      <c r="I1129" s="5">
        <v>18.646785052112545</v>
      </c>
      <c r="K1129" s="5">
        <v>-11.433664489813978</v>
      </c>
      <c r="L1129" s="9" t="b">
        <v>0</v>
      </c>
    </row>
    <row r="1130" ht="15.75" customHeight="1">
      <c r="A1130" s="5">
        <v>15.0</v>
      </c>
      <c r="B1130" s="5">
        <v>20083.0</v>
      </c>
      <c r="C1130" s="5">
        <v>5891.0</v>
      </c>
      <c r="D1130" s="5">
        <v>6086.05111606114</v>
      </c>
      <c r="E1130" s="5">
        <v>0.9457719659250907</v>
      </c>
      <c r="F1130" s="5">
        <v>6.398820206931209</v>
      </c>
      <c r="H1130" s="5">
        <v>-8.23439403121734</v>
      </c>
      <c r="I1130" s="5">
        <v>3.5897582359947338</v>
      </c>
      <c r="K1130" s="5">
        <v>-3.2048879041846834</v>
      </c>
      <c r="L1130" s="9" t="b">
        <v>0</v>
      </c>
    </row>
    <row r="1131" ht="15.75" customHeight="1">
      <c r="A1131" s="5">
        <v>15.0</v>
      </c>
      <c r="B1131" s="5">
        <v>20084.0</v>
      </c>
      <c r="C1131" s="5">
        <v>5513.0</v>
      </c>
      <c r="D1131" s="5">
        <v>5955.40828225085</v>
      </c>
      <c r="E1131" s="5">
        <v>-1.9911111111111102</v>
      </c>
      <c r="F1131" s="5">
        <v>-6.330887674103125</v>
      </c>
      <c r="H1131" s="5">
        <v>-0.5746799573777439</v>
      </c>
      <c r="I1131" s="5">
        <v>-2.138497930570759</v>
      </c>
      <c r="K1131" s="5">
        <v>-7.428680978420532</v>
      </c>
      <c r="L1131" s="9" t="b">
        <v>0</v>
      </c>
    </row>
    <row r="1132" ht="15.75" customHeight="1">
      <c r="A1132" s="5">
        <v>15.0</v>
      </c>
      <c r="B1132" s="5">
        <v>20091.0</v>
      </c>
      <c r="C1132" s="5">
        <v>5218.0</v>
      </c>
      <c r="D1132" s="5">
        <v>5831.24684510047</v>
      </c>
      <c r="E1132" s="5">
        <v>-0.9491268033409272</v>
      </c>
      <c r="F1132" s="5">
        <v>-0.21500899989407296</v>
      </c>
      <c r="H1132" s="5">
        <v>-0.5304998262346095</v>
      </c>
      <c r="I1132" s="5">
        <v>-3.2124280134216416</v>
      </c>
      <c r="K1132" s="5">
        <v>-10.516564662594108</v>
      </c>
      <c r="L1132" s="9" t="b">
        <v>0</v>
      </c>
    </row>
    <row r="1133" ht="15.75" customHeight="1">
      <c r="A1133" s="5">
        <v>15.0</v>
      </c>
      <c r="B1133" s="5">
        <v>20092.0</v>
      </c>
      <c r="C1133" s="5">
        <v>5095.0</v>
      </c>
      <c r="D1133" s="5">
        <v>5627.68630885187</v>
      </c>
      <c r="E1133" s="5">
        <v>-4.748551131052537</v>
      </c>
      <c r="F1133" s="5">
        <v>-1.6857542698948709</v>
      </c>
      <c r="G1133" s="5">
        <v>-28.28418394100728</v>
      </c>
      <c r="H1133" s="5">
        <v>-6.819301967497637</v>
      </c>
      <c r="I1133" s="5">
        <v>-4.039718945581832</v>
      </c>
      <c r="J1133" s="5">
        <v>-22.686503997694377</v>
      </c>
      <c r="K1133" s="5">
        <v>-9.465458442735164</v>
      </c>
      <c r="L1133" s="9" t="b">
        <v>0</v>
      </c>
    </row>
    <row r="1134" ht="15.75" customHeight="1">
      <c r="A1134" s="5">
        <v>15.0</v>
      </c>
      <c r="B1134" s="5">
        <v>20093.0</v>
      </c>
      <c r="C1134" s="5">
        <v>5105.0</v>
      </c>
      <c r="D1134" s="5">
        <v>5814.48958404692</v>
      </c>
      <c r="E1134" s="5">
        <v>-13.342386691563402</v>
      </c>
      <c r="F1134" s="5">
        <v>-5.257793934266994</v>
      </c>
      <c r="G1134" s="5">
        <v>-11.656614141198203</v>
      </c>
      <c r="H1134" s="5">
        <v>-4.462031731832939</v>
      </c>
      <c r="I1134" s="5">
        <v>-3.0966283707357323</v>
      </c>
      <c r="J1134" s="5">
        <v>-6.686386606730466</v>
      </c>
      <c r="K1134" s="5">
        <v>-12.202095709200854</v>
      </c>
      <c r="L1134" s="9" t="b">
        <v>0</v>
      </c>
    </row>
    <row r="1135" ht="15.75" customHeight="1">
      <c r="A1135" s="5">
        <v>15.0</v>
      </c>
      <c r="B1135" s="5">
        <v>20094.0</v>
      </c>
      <c r="C1135" s="5">
        <v>5472.0</v>
      </c>
      <c r="D1135" s="5">
        <v>5689.821058069875</v>
      </c>
      <c r="E1135" s="5">
        <v>-0.7436967168510833</v>
      </c>
      <c r="F1135" s="5">
        <v>-4.945940335701987</v>
      </c>
      <c r="G1135" s="5">
        <v>1.3849473384011377</v>
      </c>
      <c r="H1135" s="5">
        <v>-4.459597253348946</v>
      </c>
      <c r="I1135" s="5">
        <v>-4.0678576947285325</v>
      </c>
      <c r="J1135" s="5">
        <v>-1.9293597641577733</v>
      </c>
      <c r="K1135" s="5">
        <v>-3.828258496125103</v>
      </c>
      <c r="L1135" s="9" t="b">
        <v>0</v>
      </c>
    </row>
    <row r="1136" ht="15.75" customHeight="1">
      <c r="A1136" s="5">
        <v>15.0</v>
      </c>
      <c r="B1136" s="5">
        <v>20101.0</v>
      </c>
      <c r="C1136" s="5">
        <v>5628.0</v>
      </c>
      <c r="D1136" s="5">
        <v>5685.333526792405</v>
      </c>
      <c r="E1136" s="5">
        <v>7.857416634725944</v>
      </c>
      <c r="F1136" s="5">
        <v>-2.7443044761852695</v>
      </c>
      <c r="G1136" s="5">
        <v>-2.5292954762911966</v>
      </c>
      <c r="H1136" s="5">
        <v>-2.502266190817559</v>
      </c>
      <c r="I1136" s="5">
        <v>-4.56079928587427</v>
      </c>
      <c r="J1136" s="5">
        <v>-1.3483712724526287</v>
      </c>
      <c r="K1136" s="5">
        <v>-1.0084461451947857</v>
      </c>
      <c r="L1136" s="9" t="b">
        <v>0</v>
      </c>
    </row>
    <row r="1137" ht="15.75" customHeight="1">
      <c r="A1137" s="5">
        <v>15.0</v>
      </c>
      <c r="B1137" s="5">
        <v>20102.0</v>
      </c>
      <c r="C1137" s="5">
        <v>5938.0</v>
      </c>
      <c r="D1137" s="5">
        <v>5777.52589748196</v>
      </c>
      <c r="E1137" s="5">
        <v>16.545632973503444</v>
      </c>
      <c r="F1137" s="5">
        <v>2.579241549953726</v>
      </c>
      <c r="G1137" s="5">
        <v>4.264995819848597</v>
      </c>
      <c r="H1137" s="5">
        <v>2.6625433687447186</v>
      </c>
      <c r="I1137" s="5">
        <v>-2.190337951813681</v>
      </c>
      <c r="J1137" s="5">
        <v>1.849380993768151</v>
      </c>
      <c r="K1137" s="5">
        <v>2.777557476427406</v>
      </c>
      <c r="L1137" s="9" t="b">
        <v>0</v>
      </c>
    </row>
    <row r="1138" ht="15.75" customHeight="1">
      <c r="A1138" s="5">
        <v>15.0</v>
      </c>
      <c r="B1138" s="5">
        <v>20103.0</v>
      </c>
      <c r="C1138" s="5">
        <v>5614.0</v>
      </c>
      <c r="D1138" s="5">
        <v>5781.676812575783</v>
      </c>
      <c r="E1138" s="5">
        <v>9.97061704211557</v>
      </c>
      <c r="F1138" s="5">
        <v>8.407492483373469</v>
      </c>
      <c r="G1138" s="5">
        <v>13.665286417640463</v>
      </c>
      <c r="H1138" s="5">
        <v>-0.5643276335237535</v>
      </c>
      <c r="I1138" s="5">
        <v>-1.215911927236385</v>
      </c>
      <c r="J1138" s="5">
        <v>1.8807164434993473</v>
      </c>
      <c r="K1138" s="5">
        <v>-2.900141568118564</v>
      </c>
      <c r="L1138" s="9" t="b">
        <v>0</v>
      </c>
    </row>
    <row r="1139" ht="15.75" customHeight="1">
      <c r="A1139" s="5">
        <v>15.0</v>
      </c>
      <c r="B1139" s="5">
        <v>20104.0</v>
      </c>
      <c r="C1139" s="5">
        <v>5735.0</v>
      </c>
      <c r="D1139" s="5">
        <v>5774.420183522276</v>
      </c>
      <c r="E1139" s="5">
        <v>4.806286549707606</v>
      </c>
      <c r="F1139" s="5">
        <v>9.794988300013141</v>
      </c>
      <c r="G1139" s="5">
        <v>14.740928635715129</v>
      </c>
      <c r="H1139" s="5">
        <v>1.4868503699674962</v>
      </c>
      <c r="I1139" s="5">
        <v>0.27069997859272554</v>
      </c>
      <c r="J1139" s="5">
        <v>4.338557673321258</v>
      </c>
      <c r="K1139" s="5">
        <v>-0.682669121217816</v>
      </c>
      <c r="L1139" s="9" t="b">
        <v>0</v>
      </c>
    </row>
    <row r="1140" ht="15.75" customHeight="1">
      <c r="A1140" s="5">
        <v>15.0</v>
      </c>
      <c r="B1140" s="5">
        <v>20111.0</v>
      </c>
      <c r="C1140" s="5">
        <v>5905.0</v>
      </c>
      <c r="D1140" s="5">
        <v>5802.128873743917</v>
      </c>
      <c r="E1140" s="5">
        <v>4.9218194740582755</v>
      </c>
      <c r="F1140" s="5">
        <v>9.061089009846224</v>
      </c>
      <c r="G1140" s="5">
        <v>11.805393486031495</v>
      </c>
      <c r="H1140" s="5">
        <v>2.0543270927045665</v>
      </c>
      <c r="I1140" s="5">
        <v>1.409848299473257</v>
      </c>
      <c r="J1140" s="5">
        <v>5.970647585347527</v>
      </c>
      <c r="K1140" s="5">
        <v>1.7729893370965977</v>
      </c>
      <c r="L1140" s="9" t="b">
        <v>0</v>
      </c>
    </row>
    <row r="1141" ht="15.75" customHeight="1">
      <c r="A1141" s="5">
        <v>15.0</v>
      </c>
      <c r="B1141" s="5">
        <v>20112.0</v>
      </c>
      <c r="C1141" s="5">
        <v>5949.0</v>
      </c>
      <c r="D1141" s="5">
        <v>5793.410736348339</v>
      </c>
      <c r="E1141" s="5">
        <v>0.18524755810036542</v>
      </c>
      <c r="F1141" s="5">
        <v>4.970992655995454</v>
      </c>
      <c r="G1141" s="5">
        <v>2.3917511060417285</v>
      </c>
      <c r="H1141" s="5">
        <v>0.2749418894565592</v>
      </c>
      <c r="I1141" s="5">
        <v>0.8129479296512171</v>
      </c>
      <c r="J1141" s="5">
        <v>3.0032858814648984</v>
      </c>
      <c r="K1141" s="5">
        <v>2.685624595464664</v>
      </c>
      <c r="L1141" s="9" t="b">
        <v>0</v>
      </c>
    </row>
    <row r="1142" ht="15.75" customHeight="1">
      <c r="A1142" s="5">
        <v>15.0</v>
      </c>
      <c r="B1142" s="5">
        <v>20113.0</v>
      </c>
      <c r="C1142" s="5">
        <v>6098.0</v>
      </c>
      <c r="D1142" s="5">
        <v>5739.40577105334</v>
      </c>
      <c r="E1142" s="5">
        <v>8.621303883149277</v>
      </c>
      <c r="F1142" s="5">
        <v>4.633664366253881</v>
      </c>
      <c r="G1142" s="5">
        <v>-3.7738281171195878</v>
      </c>
      <c r="H1142" s="5">
        <v>-0.7311207957957588</v>
      </c>
      <c r="I1142" s="5">
        <v>0.7712496390832158</v>
      </c>
      <c r="J1142" s="5">
        <v>1.9871615663196007</v>
      </c>
      <c r="K1142" s="5">
        <v>6.247933030893682</v>
      </c>
      <c r="L1142" s="9" t="b">
        <v>0</v>
      </c>
    </row>
    <row r="1143" ht="15.75" customHeight="1">
      <c r="A1143" s="5">
        <v>15.0</v>
      </c>
      <c r="B1143" s="5">
        <v>20114.0</v>
      </c>
      <c r="C1143" s="5">
        <v>5720.0</v>
      </c>
      <c r="D1143" s="5">
        <v>5684.71115980627</v>
      </c>
      <c r="E1143" s="5">
        <v>-0.26155187445510153</v>
      </c>
      <c r="F1143" s="5">
        <v>3.3667047602132043</v>
      </c>
      <c r="G1143" s="5">
        <v>-6.428283539799937</v>
      </c>
      <c r="H1143" s="5">
        <v>-1.5535589871342737</v>
      </c>
      <c r="I1143" s="5">
        <v>0.011147299807773292</v>
      </c>
      <c r="J1143" s="5">
        <v>-0.25955267878495225</v>
      </c>
      <c r="K1143" s="5">
        <v>0.620767514860554</v>
      </c>
      <c r="L1143" s="9" t="b">
        <v>0</v>
      </c>
    </row>
    <row r="1144" ht="15.75" customHeight="1">
      <c r="A1144" s="5">
        <v>15.0</v>
      </c>
      <c r="B1144" s="5">
        <v>20121.0</v>
      </c>
      <c r="C1144" s="5">
        <v>5606.0</v>
      </c>
      <c r="D1144" s="5">
        <v>5545.17052163553</v>
      </c>
      <c r="E1144" s="5">
        <v>-5.063505503810328</v>
      </c>
      <c r="F1144" s="5">
        <v>0.8703735157460533</v>
      </c>
      <c r="G1144" s="5">
        <v>-8.190715494100171</v>
      </c>
      <c r="H1144" s="5">
        <v>-4.428690877088027</v>
      </c>
      <c r="I1144" s="5">
        <v>-1.609607192640375</v>
      </c>
      <c r="J1144" s="5">
        <v>-3.0194554921136323</v>
      </c>
      <c r="K1144" s="5">
        <v>1.0969812042232352</v>
      </c>
      <c r="L1144" s="9" t="b">
        <v>0</v>
      </c>
    </row>
    <row r="1145" ht="15.75" customHeight="1">
      <c r="A1145" s="5">
        <v>15.0</v>
      </c>
      <c r="B1145" s="5">
        <v>20122.0</v>
      </c>
      <c r="C1145" s="5">
        <v>5808.0</v>
      </c>
      <c r="D1145" s="5">
        <v>5320.29027588925</v>
      </c>
      <c r="E1145" s="5">
        <v>-2.3701462430660625</v>
      </c>
      <c r="F1145" s="5">
        <v>0.2315250654544465</v>
      </c>
      <c r="G1145" s="5">
        <v>-4.7394675905410075</v>
      </c>
      <c r="H1145" s="5">
        <v>-8.166527145929637</v>
      </c>
      <c r="I1145" s="5">
        <v>-3.719974451486924</v>
      </c>
      <c r="J1145" s="5">
        <v>-4.532922381138141</v>
      </c>
      <c r="K1145" s="5">
        <v>9.16697583816013</v>
      </c>
      <c r="L1145" s="9" t="b">
        <v>0</v>
      </c>
    </row>
    <row r="1146" ht="15.75" customHeight="1">
      <c r="A1146" s="5">
        <v>15.0</v>
      </c>
      <c r="B1146" s="5">
        <v>20123.0</v>
      </c>
      <c r="C1146" s="5">
        <v>5521.0</v>
      </c>
      <c r="D1146" s="5">
        <v>5414.09451168968</v>
      </c>
      <c r="E1146" s="5">
        <v>-9.462118727451617</v>
      </c>
      <c r="F1146" s="5">
        <v>-4.289330587195777</v>
      </c>
      <c r="G1146" s="5">
        <v>-8.922994953449658</v>
      </c>
      <c r="H1146" s="5">
        <v>-5.668030321263662</v>
      </c>
      <c r="I1146" s="5">
        <v>-4.9542018328539</v>
      </c>
      <c r="J1146" s="5">
        <v>-5.725451471937116</v>
      </c>
      <c r="K1146" s="5">
        <v>1.9745774308058017</v>
      </c>
      <c r="L1146" s="9" t="b">
        <v>0</v>
      </c>
    </row>
    <row r="1147" ht="15.75" customHeight="1">
      <c r="A1147" s="5">
        <v>15.0</v>
      </c>
      <c r="B1147" s="5">
        <v>20124.0</v>
      </c>
      <c r="C1147" s="5">
        <v>5593.0</v>
      </c>
      <c r="D1147" s="5">
        <v>5279.37022962535</v>
      </c>
      <c r="E1147" s="5">
        <v>-2.2202797202797164</v>
      </c>
      <c r="F1147" s="5">
        <v>-4.779012548651931</v>
      </c>
      <c r="G1147" s="5">
        <v>-8.145717308865136</v>
      </c>
      <c r="H1147" s="5">
        <v>-7.130369842655893</v>
      </c>
      <c r="I1147" s="5">
        <v>-6.348404546734304</v>
      </c>
      <c r="J1147" s="5">
        <v>-6.359551846542078</v>
      </c>
      <c r="K1147" s="5">
        <v>5.940666343396561</v>
      </c>
      <c r="L1147" s="9" t="b">
        <v>0</v>
      </c>
    </row>
    <row r="1148" ht="15.75" customHeight="1">
      <c r="A1148" s="5">
        <v>15.0</v>
      </c>
      <c r="B1148" s="5">
        <v>20131.0</v>
      </c>
      <c r="C1148" s="5">
        <v>5430.0</v>
      </c>
      <c r="D1148" s="5">
        <v>5008.555674551985</v>
      </c>
      <c r="E1148" s="5">
        <v>-3.13949339992865</v>
      </c>
      <c r="F1148" s="5">
        <v>-4.298009522681511</v>
      </c>
      <c r="G1148" s="5">
        <v>-5.168383038427564</v>
      </c>
      <c r="H1148" s="5">
        <v>-9.677156815824528</v>
      </c>
      <c r="I1148" s="5">
        <v>-7.66052103141843</v>
      </c>
      <c r="J1148" s="5">
        <v>-6.0509138387780546</v>
      </c>
      <c r="K1148" s="5">
        <v>8.414488184474722</v>
      </c>
      <c r="L1148" s="9" t="b">
        <v>0</v>
      </c>
    </row>
    <row r="1149" ht="15.75" customHeight="1">
      <c r="A1149" s="5">
        <v>15.0</v>
      </c>
      <c r="B1149" s="5">
        <v>20132.0</v>
      </c>
      <c r="C1149" s="5">
        <v>5603.0</v>
      </c>
      <c r="D1149" s="5">
        <v>5010.231758353965</v>
      </c>
      <c r="E1149" s="5">
        <v>-3.529614325068875</v>
      </c>
      <c r="F1149" s="5">
        <v>-4.587876543182214</v>
      </c>
      <c r="G1149" s="5">
        <v>-4.819401608636661</v>
      </c>
      <c r="H1149" s="5">
        <v>-5.82784963708508</v>
      </c>
      <c r="I1149" s="5">
        <v>-7.075851654207291</v>
      </c>
      <c r="J1149" s="5">
        <v>-3.355877202720367</v>
      </c>
      <c r="K1149" s="5">
        <v>11.831154130897525</v>
      </c>
      <c r="L1149" s="9" t="b">
        <v>0</v>
      </c>
    </row>
    <row r="1150" ht="15.75" customHeight="1">
      <c r="A1150" s="5">
        <v>15.0</v>
      </c>
      <c r="B1150" s="5">
        <v>20133.0</v>
      </c>
      <c r="C1150" s="5">
        <v>5605.0</v>
      </c>
      <c r="D1150" s="5">
        <v>5089.565532482307</v>
      </c>
      <c r="E1150" s="5">
        <v>1.5214635029885848</v>
      </c>
      <c r="F1150" s="5">
        <v>-1.8419809855721638</v>
      </c>
      <c r="G1150" s="5">
        <v>2.447349601623613</v>
      </c>
      <c r="H1150" s="5">
        <v>-5.994150610165294</v>
      </c>
      <c r="I1150" s="5">
        <v>-7.157381726432698</v>
      </c>
      <c r="J1150" s="5">
        <v>-2.203179893578798</v>
      </c>
      <c r="K1150" s="5">
        <v>10.12727833501934</v>
      </c>
      <c r="L1150" s="9" t="b">
        <v>0</v>
      </c>
    </row>
    <row r="1151" ht="15.75" customHeight="1">
      <c r="A1151" s="5">
        <v>15.0</v>
      </c>
      <c r="B1151" s="5">
        <v>20134.0</v>
      </c>
      <c r="C1151" s="5">
        <v>5693.0</v>
      </c>
      <c r="D1151" s="5">
        <v>5036.451137670578</v>
      </c>
      <c r="E1151" s="5">
        <v>1.78794922224208</v>
      </c>
      <c r="F1151" s="5">
        <v>-0.8399237499417146</v>
      </c>
      <c r="G1151" s="5">
        <v>3.939088798710216</v>
      </c>
      <c r="H1151" s="5">
        <v>-4.601289195283631</v>
      </c>
      <c r="I1151" s="5">
        <v>-6.525111564589633</v>
      </c>
      <c r="J1151" s="5">
        <v>-0.17670701785532827</v>
      </c>
      <c r="K1151" s="5">
        <v>13.035942261381383</v>
      </c>
      <c r="L1151" s="9" t="b">
        <v>0</v>
      </c>
    </row>
    <row r="1152" ht="15.75" customHeight="1">
      <c r="A1152" s="5">
        <v>15.0</v>
      </c>
      <c r="B1152" s="5">
        <v>20141.0</v>
      </c>
      <c r="C1152" s="5">
        <v>5668.0</v>
      </c>
      <c r="D1152" s="5">
        <v>5115.15993133938</v>
      </c>
      <c r="E1152" s="5">
        <v>4.383057090239406</v>
      </c>
      <c r="F1152" s="5">
        <v>1.0407138726002994</v>
      </c>
      <c r="G1152" s="5">
        <v>5.338723395281811</v>
      </c>
      <c r="H1152" s="5">
        <v>2.1284430824846545</v>
      </c>
      <c r="I1152" s="5">
        <v>-3.5737115900123375</v>
      </c>
      <c r="J1152" s="5">
        <v>4.086809441406093</v>
      </c>
      <c r="K1152" s="5">
        <v>10.807874554879483</v>
      </c>
      <c r="L1152" s="9" t="b">
        <v>0</v>
      </c>
    </row>
    <row r="1153" ht="15.75" customHeight="1">
      <c r="A1153" s="5">
        <v>15.0</v>
      </c>
      <c r="B1153" s="5">
        <v>20142.0</v>
      </c>
      <c r="C1153" s="5">
        <v>5860.0</v>
      </c>
      <c r="D1153" s="5">
        <v>5115.602970636464</v>
      </c>
      <c r="E1153" s="5">
        <v>4.586828484740324</v>
      </c>
      <c r="F1153" s="5">
        <v>3.069824575052599</v>
      </c>
      <c r="G1153" s="5">
        <v>7.657701118234813</v>
      </c>
      <c r="H1153" s="5">
        <v>2.1031205214570248</v>
      </c>
      <c r="I1153" s="5">
        <v>-1.5909690503768112</v>
      </c>
      <c r="J1153" s="5">
        <v>5.48488260383048</v>
      </c>
      <c r="K1153" s="5">
        <v>14.551501233312504</v>
      </c>
      <c r="L1153" s="9" t="b">
        <v>0</v>
      </c>
    </row>
    <row r="1154" ht="15.75" customHeight="1">
      <c r="A1154" s="5">
        <v>15.0</v>
      </c>
      <c r="B1154" s="5">
        <v>20143.0</v>
      </c>
      <c r="C1154" s="5">
        <v>5921.0</v>
      </c>
      <c r="D1154" s="5">
        <v>5137.953076328713</v>
      </c>
      <c r="E1154" s="5">
        <v>5.637823371989303</v>
      </c>
      <c r="F1154" s="5">
        <v>4.098914542302779</v>
      </c>
      <c r="G1154" s="5">
        <v>5.940895527874943</v>
      </c>
      <c r="H1154" s="5">
        <v>0.9507205190224965</v>
      </c>
      <c r="I1154" s="5">
        <v>0.14524873192013632</v>
      </c>
      <c r="J1154" s="5">
        <v>7.3026304583528345</v>
      </c>
      <c r="K1154" s="5">
        <v>15.240445213073217</v>
      </c>
      <c r="L1154" s="9" t="b">
        <v>0</v>
      </c>
    </row>
    <row r="1155" ht="15.75" customHeight="1">
      <c r="A1155" s="5">
        <v>15.0</v>
      </c>
      <c r="B1155" s="5">
        <v>20144.0</v>
      </c>
      <c r="C1155" s="5">
        <v>5793.0</v>
      </c>
      <c r="D1155" s="5">
        <v>5157.545982652879</v>
      </c>
      <c r="E1155" s="5">
        <v>1.7565431231336692</v>
      </c>
      <c r="F1155" s="5">
        <v>4.091063017525676</v>
      </c>
      <c r="G1155" s="5">
        <v>4.930986767467391</v>
      </c>
      <c r="H1155" s="5">
        <v>2.404368506160237</v>
      </c>
      <c r="I1155" s="5">
        <v>1.8966631572811032</v>
      </c>
      <c r="J1155" s="5">
        <v>8.421774721870737</v>
      </c>
      <c r="K1155" s="5">
        <v>12.320859949371975</v>
      </c>
      <c r="L1155" s="9" t="b">
        <v>0</v>
      </c>
    </row>
    <row r="1156" ht="15.75" customHeight="1">
      <c r="A1156" s="5">
        <v>15.0</v>
      </c>
      <c r="B1156" s="5">
        <v>20151.0</v>
      </c>
      <c r="C1156" s="5">
        <v>5988.0</v>
      </c>
      <c r="D1156" s="5">
        <v>5166.05979843165</v>
      </c>
      <c r="E1156" s="5">
        <v>5.6457304163726185</v>
      </c>
      <c r="F1156" s="5">
        <v>4.40673134905898</v>
      </c>
      <c r="G1156" s="5">
        <v>3.3660174764586803</v>
      </c>
      <c r="H1156" s="5">
        <v>0.9950787028264463</v>
      </c>
      <c r="I1156" s="5">
        <v>1.6133220623665512</v>
      </c>
      <c r="J1156" s="5">
        <v>5.187033652378888</v>
      </c>
      <c r="K1156" s="5">
        <v>15.910388838663469</v>
      </c>
      <c r="L1156" s="9" t="b">
        <v>0</v>
      </c>
    </row>
    <row r="1157" ht="15.75" customHeight="1">
      <c r="A1157" s="5">
        <v>15.0</v>
      </c>
      <c r="B1157" s="5">
        <v>20152.0</v>
      </c>
      <c r="C1157" s="5">
        <v>6068.0</v>
      </c>
      <c r="D1157" s="5">
        <v>5119.0902626431625</v>
      </c>
      <c r="E1157" s="5">
        <v>3.549488054607508</v>
      </c>
      <c r="F1157" s="5">
        <v>4.147396241525776</v>
      </c>
      <c r="G1157" s="5">
        <v>1.077571666473177</v>
      </c>
      <c r="H1157" s="5">
        <v>0.06816971580310138</v>
      </c>
      <c r="I1157" s="5">
        <v>1.1045843609530703</v>
      </c>
      <c r="J1157" s="5">
        <v>2.6955534113298816</v>
      </c>
      <c r="K1157" s="5">
        <v>18.536686963337168</v>
      </c>
      <c r="L1157" s="9" t="b">
        <v>0</v>
      </c>
    </row>
    <row r="1158" ht="15.75" customHeight="1">
      <c r="A1158" s="5">
        <v>15.0</v>
      </c>
      <c r="B1158" s="5">
        <v>20153.0</v>
      </c>
      <c r="C1158" s="5">
        <v>6044.0</v>
      </c>
      <c r="D1158" s="5">
        <v>5222.386151085555</v>
      </c>
      <c r="E1158" s="5">
        <v>2.0773517986826473</v>
      </c>
      <c r="F1158" s="5">
        <v>3.257278348199111</v>
      </c>
      <c r="G1158" s="5">
        <v>-0.8416361941036681</v>
      </c>
      <c r="H1158" s="5">
        <v>1.6433212507493966</v>
      </c>
      <c r="I1158" s="5">
        <v>1.2777345438847953</v>
      </c>
      <c r="J1158" s="5">
        <v>1.132485811964659</v>
      </c>
      <c r="K1158" s="5">
        <v>15.73253729511479</v>
      </c>
      <c r="L1158" s="9" t="b">
        <v>0</v>
      </c>
    </row>
    <row r="1159" ht="15.75" customHeight="1">
      <c r="A1159" s="5">
        <v>15.0</v>
      </c>
      <c r="B1159" s="5">
        <v>20154.0</v>
      </c>
      <c r="C1159" s="5">
        <v>6109.0</v>
      </c>
      <c r="D1159" s="5">
        <v>5150.958321935431</v>
      </c>
      <c r="E1159" s="5">
        <v>5.454859312963922</v>
      </c>
      <c r="F1159" s="5">
        <v>4.1818573956566745</v>
      </c>
      <c r="G1159" s="5">
        <v>0.09079437813099833</v>
      </c>
      <c r="H1159" s="5">
        <v>-0.12772858913143725</v>
      </c>
      <c r="I1159" s="5">
        <v>0.6447102700618768</v>
      </c>
      <c r="J1159" s="5">
        <v>-1.2519528872192265</v>
      </c>
      <c r="K1159" s="5">
        <v>18.599290038607673</v>
      </c>
      <c r="L1159" s="9" t="b">
        <v>0</v>
      </c>
    </row>
    <row r="1160" ht="15.75" customHeight="1">
      <c r="A1160" s="5">
        <v>15.0</v>
      </c>
      <c r="B1160" s="5">
        <v>20161.0</v>
      </c>
      <c r="C1160" s="5">
        <v>5993.0</v>
      </c>
      <c r="D1160" s="5">
        <v>5255.94097405779</v>
      </c>
      <c r="E1160" s="5">
        <v>0.08350033400132961</v>
      </c>
      <c r="F1160" s="5">
        <v>2.791299875063852</v>
      </c>
      <c r="G1160" s="5">
        <v>-1.6154314739951277</v>
      </c>
      <c r="H1160" s="5">
        <v>1.7398400160491212</v>
      </c>
      <c r="I1160" s="5">
        <v>0.8309005983675455</v>
      </c>
      <c r="J1160" s="5">
        <v>-0.7824214639990057</v>
      </c>
      <c r="K1160" s="5">
        <v>14.023350520490553</v>
      </c>
      <c r="L1160" s="9" t="b">
        <v>0</v>
      </c>
    </row>
    <row r="1161" ht="15.75" customHeight="1">
      <c r="A1161" s="5">
        <v>15.0</v>
      </c>
      <c r="B1161" s="5">
        <v>20162.0</v>
      </c>
      <c r="C1161" s="5">
        <v>6218.0</v>
      </c>
      <c r="D1161" s="5">
        <v>5258.37873847627</v>
      </c>
      <c r="E1161" s="5">
        <v>2.4719841793012565</v>
      </c>
      <c r="F1161" s="5">
        <v>2.5219239062372893</v>
      </c>
      <c r="G1161" s="5">
        <v>-1.6254723352884866</v>
      </c>
      <c r="H1161" s="5">
        <v>2.7209615124306863</v>
      </c>
      <c r="I1161" s="5">
        <v>1.4940985475244417</v>
      </c>
      <c r="J1161" s="5">
        <v>0.3895141865713714</v>
      </c>
      <c r="K1161" s="5">
        <v>18.2493751258739</v>
      </c>
      <c r="L1161" s="9" t="b">
        <v>0</v>
      </c>
    </row>
    <row r="1162" ht="15.75" customHeight="1">
      <c r="A1162" s="5">
        <v>15.0</v>
      </c>
      <c r="B1162" s="5">
        <v>20163.0</v>
      </c>
      <c r="C1162" s="5">
        <v>6162.0</v>
      </c>
      <c r="D1162" s="5">
        <v>5343.550304323327</v>
      </c>
      <c r="E1162" s="5">
        <v>1.9523494374586337</v>
      </c>
      <c r="F1162" s="5">
        <v>2.4906733159312857</v>
      </c>
      <c r="G1162" s="5">
        <v>-0.7666050322678255</v>
      </c>
      <c r="H1162" s="5">
        <v>2.320091807316582</v>
      </c>
      <c r="I1162" s="5">
        <v>1.663291186666238</v>
      </c>
      <c r="J1162" s="5">
        <v>0.38555664278144275</v>
      </c>
      <c r="K1162" s="5">
        <v>15.316590077097004</v>
      </c>
      <c r="L1162" s="9" t="b">
        <v>0</v>
      </c>
    </row>
    <row r="1163" ht="15.75" customHeight="1">
      <c r="A1163" s="5">
        <v>15.0</v>
      </c>
      <c r="B1163" s="5">
        <v>20164.0</v>
      </c>
      <c r="C1163" s="5">
        <v>6163.0</v>
      </c>
      <c r="D1163" s="5">
        <v>5476.062108329577</v>
      </c>
      <c r="E1163" s="5">
        <v>0.8839417253232895</v>
      </c>
      <c r="F1163" s="5">
        <v>1.3479439190211278</v>
      </c>
      <c r="G1163" s="5">
        <v>-2.833913476635547</v>
      </c>
      <c r="H1163" s="5">
        <v>6.3115204215434595</v>
      </c>
      <c r="I1163" s="5">
        <v>3.273103439334962</v>
      </c>
      <c r="J1163" s="5">
        <v>2.6283931692730853</v>
      </c>
      <c r="K1163" s="5">
        <v>12.54437729304656</v>
      </c>
      <c r="L1163" s="9" t="b">
        <v>0</v>
      </c>
    </row>
    <row r="1164" ht="15.75" customHeight="1">
      <c r="A1164" s="5">
        <v>15.0</v>
      </c>
      <c r="B1164" s="5">
        <v>20171.0</v>
      </c>
      <c r="C1164" s="5">
        <v>6136.0</v>
      </c>
      <c r="D1164" s="5">
        <v>5411.309952073716</v>
      </c>
      <c r="E1164" s="5">
        <v>2.386117136659438</v>
      </c>
      <c r="F1164" s="5">
        <v>1.9235981196856549</v>
      </c>
      <c r="G1164" s="5">
        <v>-0.8677017553781972</v>
      </c>
      <c r="H1164" s="5">
        <v>2.9560639813649647</v>
      </c>
      <c r="I1164" s="5">
        <v>3.577159430663923</v>
      </c>
      <c r="J1164" s="5">
        <v>2.7462588322963777</v>
      </c>
      <c r="K1164" s="5">
        <v>13.392137104409784</v>
      </c>
      <c r="L1164" s="9" t="b">
        <v>0</v>
      </c>
    </row>
    <row r="1165" ht="15.75" customHeight="1">
      <c r="A1165" s="5">
        <v>15.0</v>
      </c>
      <c r="B1165" s="5">
        <v>20172.0</v>
      </c>
      <c r="C1165" s="5">
        <v>6314.0</v>
      </c>
      <c r="D1165" s="5">
        <v>5515.506479348831</v>
      </c>
      <c r="E1165" s="5">
        <v>1.543904792537787</v>
      </c>
      <c r="F1165" s="5">
        <v>1.6915782729947875</v>
      </c>
      <c r="G1165" s="5">
        <v>-0.8303456332425019</v>
      </c>
      <c r="H1165" s="5">
        <v>4.889867270136361</v>
      </c>
      <c r="I1165" s="5">
        <v>4.119385870090342</v>
      </c>
      <c r="J1165" s="5">
        <v>2.6252873225659004</v>
      </c>
      <c r="K1165" s="5">
        <v>14.47724744120762</v>
      </c>
      <c r="L1165" s="9" t="b">
        <v>0</v>
      </c>
    </row>
    <row r="1166" ht="15.75" customHeight="1">
      <c r="A1166" s="5">
        <v>15.0</v>
      </c>
      <c r="B1166" s="5">
        <v>20173.0</v>
      </c>
      <c r="C1166" s="5">
        <v>6433.0</v>
      </c>
      <c r="D1166" s="5">
        <v>5685.179515402181</v>
      </c>
      <c r="E1166" s="5">
        <v>4.397922752353134</v>
      </c>
      <c r="F1166" s="5">
        <v>2.3029716017184123</v>
      </c>
      <c r="G1166" s="5">
        <v>-0.1877017142128734</v>
      </c>
      <c r="H1166" s="5">
        <v>6.393300177270733</v>
      </c>
      <c r="I1166" s="5">
        <v>5.137687962578879</v>
      </c>
      <c r="J1166" s="5">
        <v>3.4743967759126413</v>
      </c>
      <c r="K1166" s="5">
        <v>13.153858775643545</v>
      </c>
      <c r="L1166" s="9" t="b">
        <v>0</v>
      </c>
    </row>
    <row r="1167" ht="15.75" customHeight="1">
      <c r="A1167" s="5">
        <v>15.0</v>
      </c>
      <c r="B1167" s="5">
        <v>20174.0</v>
      </c>
      <c r="C1167" s="5">
        <v>6389.0</v>
      </c>
      <c r="D1167" s="5">
        <v>5820.950446387819</v>
      </c>
      <c r="E1167" s="5">
        <v>3.6670452701606404</v>
      </c>
      <c r="F1167" s="5">
        <v>2.9987474879277505</v>
      </c>
      <c r="G1167" s="5">
        <v>1.6508035689066227</v>
      </c>
      <c r="H1167" s="5">
        <v>6.298108590361595</v>
      </c>
      <c r="I1167" s="5">
        <v>5.134335004783413</v>
      </c>
      <c r="J1167" s="5">
        <v>1.8612315654484508</v>
      </c>
      <c r="K1167" s="5">
        <v>9.75870794372906</v>
      </c>
      <c r="L1167" s="9" t="b">
        <v>0</v>
      </c>
    </row>
    <row r="1168" ht="15.75" customHeight="1">
      <c r="A1168" s="5">
        <v>15.0</v>
      </c>
      <c r="B1168" s="5">
        <v>20181.0</v>
      </c>
      <c r="C1168" s="5">
        <v>6508.0</v>
      </c>
      <c r="D1168" s="5">
        <v>5875.315707845266</v>
      </c>
      <c r="E1168" s="5">
        <v>6.062581486310292</v>
      </c>
      <c r="F1168" s="5">
        <v>3.917863575340464</v>
      </c>
      <c r="G1168" s="5">
        <v>1.994265455654809</v>
      </c>
      <c r="H1168" s="5">
        <v>8.574739940626275</v>
      </c>
      <c r="I1168" s="5">
        <v>6.539003994598741</v>
      </c>
      <c r="J1168" s="5">
        <v>2.961844563934818</v>
      </c>
      <c r="K1168" s="5">
        <v>10.768515661378263</v>
      </c>
      <c r="L1168" s="9" t="b">
        <v>0</v>
      </c>
    </row>
    <row r="1169" ht="15.75" customHeight="1">
      <c r="A1169" s="5">
        <v>15.0</v>
      </c>
      <c r="B1169" s="5">
        <v>20182.0</v>
      </c>
      <c r="C1169" s="5">
        <v>6651.0</v>
      </c>
      <c r="D1169" s="5">
        <v>6103.943000466402</v>
      </c>
      <c r="E1169" s="5">
        <v>5.33734558124801</v>
      </c>
      <c r="F1169" s="5">
        <v>4.866223772518019</v>
      </c>
      <c r="G1169" s="5">
        <v>3.1746454995232316</v>
      </c>
      <c r="H1169" s="5">
        <v>10.66876674555266</v>
      </c>
      <c r="I1169" s="5">
        <v>7.983728863452816</v>
      </c>
      <c r="J1169" s="5">
        <v>3.8643429933624738</v>
      </c>
      <c r="K1169" s="5">
        <v>8.962354325585897</v>
      </c>
      <c r="L1169" s="9" t="b">
        <v>0</v>
      </c>
    </row>
    <row r="1170" ht="15.75" customHeight="1">
      <c r="A1170" s="5">
        <v>15.0</v>
      </c>
      <c r="B1170" s="5">
        <v>20183.0</v>
      </c>
      <c r="C1170" s="5">
        <v>6750.0</v>
      </c>
      <c r="D1170" s="5">
        <v>6293.386473820588</v>
      </c>
      <c r="E1170" s="5">
        <v>4.927716461992859</v>
      </c>
      <c r="F1170" s="5">
        <v>4.998672199927951</v>
      </c>
      <c r="G1170" s="5">
        <v>2.6957005982095383</v>
      </c>
      <c r="H1170" s="5">
        <v>10.69811352078971</v>
      </c>
      <c r="I1170" s="5">
        <v>9.05993219933256</v>
      </c>
      <c r="J1170" s="5">
        <v>3.92224423675368</v>
      </c>
      <c r="K1170" s="5">
        <v>7.255450274329189</v>
      </c>
      <c r="L1170" s="9" t="b">
        <v>0</v>
      </c>
    </row>
    <row r="1171" ht="15.75" customHeight="1">
      <c r="A1171" s="5">
        <v>15.0</v>
      </c>
      <c r="B1171" s="5">
        <v>20184.0</v>
      </c>
      <c r="C1171" s="5">
        <v>6905.0</v>
      </c>
      <c r="D1171" s="5">
        <v>6364.949945067597</v>
      </c>
      <c r="E1171" s="5">
        <v>8.07638128032555</v>
      </c>
      <c r="F1171" s="5">
        <v>6.101006202469178</v>
      </c>
      <c r="G1171" s="5">
        <v>3.1022587145414278</v>
      </c>
      <c r="H1171" s="5">
        <v>9.34554423182481</v>
      </c>
      <c r="I1171" s="5">
        <v>9.821791109698363</v>
      </c>
      <c r="J1171" s="5">
        <v>4.687456104914951</v>
      </c>
      <c r="K1171" s="5">
        <v>8.484749441759632</v>
      </c>
      <c r="L1171" s="9" t="b">
        <v>0</v>
      </c>
    </row>
    <row r="1172" ht="15.75" customHeight="1">
      <c r="A1172" s="5">
        <v>15.0</v>
      </c>
      <c r="B1172" s="5">
        <v>20191.0</v>
      </c>
      <c r="C1172" s="5">
        <v>7032.0</v>
      </c>
      <c r="D1172" s="5">
        <v>6376.427263250384</v>
      </c>
      <c r="E1172" s="5">
        <v>8.051628764597417</v>
      </c>
      <c r="F1172" s="5">
        <v>6.59826802204096</v>
      </c>
      <c r="G1172" s="5">
        <v>2.6804044467004964</v>
      </c>
      <c r="H1172" s="5">
        <v>8.529100057312466</v>
      </c>
      <c r="I1172" s="5">
        <v>9.81038113886991</v>
      </c>
      <c r="J1172" s="5">
        <v>3.2713771442711694</v>
      </c>
      <c r="K1172" s="5">
        <v>10.28119211094769</v>
      </c>
      <c r="L1172" s="9" t="b">
        <v>0</v>
      </c>
    </row>
    <row r="1173" ht="15.75" customHeight="1">
      <c r="A1173" s="5">
        <v>15.0</v>
      </c>
      <c r="B1173" s="5">
        <v>20192.0</v>
      </c>
      <c r="C1173" s="5">
        <v>7435.0</v>
      </c>
      <c r="D1173" s="5">
        <v>6512.060516650602</v>
      </c>
      <c r="E1173" s="5">
        <v>11.787701097579317</v>
      </c>
      <c r="F1173" s="5">
        <v>8.210856901123787</v>
      </c>
      <c r="G1173" s="5">
        <v>3.344633128605768</v>
      </c>
      <c r="H1173" s="5">
        <v>6.686129214394954</v>
      </c>
      <c r="I1173" s="5">
        <v>8.814721756080484</v>
      </c>
      <c r="J1173" s="5">
        <v>0.830992892627668</v>
      </c>
      <c r="K1173" s="5">
        <v>14.172771905137349</v>
      </c>
      <c r="L1173" s="9" t="b">
        <v>0</v>
      </c>
    </row>
    <row r="1174" ht="15.75" customHeight="1">
      <c r="A1174" s="5">
        <v>15.0</v>
      </c>
      <c r="B1174" s="5">
        <v>20193.0</v>
      </c>
      <c r="C1174" s="5">
        <v>7661.0</v>
      </c>
      <c r="D1174" s="5">
        <v>6865.42707264482</v>
      </c>
      <c r="E1174" s="5">
        <v>13.496296296296295</v>
      </c>
      <c r="F1174" s="5">
        <v>10.353001859699646</v>
      </c>
      <c r="G1174" s="5">
        <v>5.354329659771695</v>
      </c>
      <c r="H1174" s="5">
        <v>9.08955140771701</v>
      </c>
      <c r="I1174" s="5">
        <v>8.41258122781231</v>
      </c>
      <c r="J1174" s="5">
        <v>-0.6473509715202486</v>
      </c>
      <c r="K1174" s="5">
        <v>11.588105429378558</v>
      </c>
      <c r="L1174" s="9" t="b">
        <v>0</v>
      </c>
    </row>
    <row r="1175" ht="15.75" customHeight="1">
      <c r="A1175" s="5">
        <v>15.0</v>
      </c>
      <c r="B1175" s="5">
        <v>20194.0</v>
      </c>
      <c r="C1175" s="5">
        <v>7634.070064099633</v>
      </c>
      <c r="D1175" s="5">
        <v>7327.015691696569</v>
      </c>
      <c r="E1175" s="5">
        <v>10.558581666902711</v>
      </c>
      <c r="F1175" s="5">
        <v>10.973551956343936</v>
      </c>
      <c r="G1175" s="5">
        <v>4.872545753874758</v>
      </c>
      <c r="H1175" s="5">
        <v>15.11505596952114</v>
      </c>
      <c r="I1175" s="5">
        <v>9.854959162236392</v>
      </c>
      <c r="J1175" s="5">
        <v>0.0331680525380289</v>
      </c>
      <c r="K1175" s="5">
        <v>4.190715365207098</v>
      </c>
      <c r="L1175" s="9" t="b">
        <v>0</v>
      </c>
    </row>
    <row r="1176" ht="15.75" customHeight="1">
      <c r="A1176" s="5">
        <v>15.0</v>
      </c>
      <c r="B1176" s="5">
        <v>20201.0</v>
      </c>
      <c r="C1176" s="5">
        <v>8354.078188761916</v>
      </c>
      <c r="D1176" s="5">
        <v>7821.851428627197</v>
      </c>
      <c r="E1176" s="5">
        <v>18.80088436805909</v>
      </c>
      <c r="F1176" s="5">
        <v>13.660865857209355</v>
      </c>
      <c r="G1176" s="5">
        <v>7.062597835168395</v>
      </c>
      <c r="H1176" s="5">
        <v>22.668245174022527</v>
      </c>
      <c r="I1176" s="5">
        <v>13.389745441413908</v>
      </c>
      <c r="J1176" s="5">
        <v>3.579364302543997</v>
      </c>
      <c r="K1176" s="5">
        <v>6.804357829999463</v>
      </c>
      <c r="L1176" s="9" t="b">
        <v>0</v>
      </c>
    </row>
    <row r="1177" ht="15.75" customHeight="1">
      <c r="A1177" s="5">
        <v>15.0</v>
      </c>
      <c r="B1177" s="5">
        <v>20202.0</v>
      </c>
      <c r="C1177" s="5">
        <v>8040.593185995784</v>
      </c>
      <c r="D1177" s="5">
        <v>7844.34</v>
      </c>
      <c r="E1177" s="5">
        <v>8.145167262888808</v>
      </c>
      <c r="F1177" s="5">
        <v>12.750232398536728</v>
      </c>
      <c r="G1177" s="5">
        <v>4.539375497412941</v>
      </c>
      <c r="H1177" s="5">
        <v>20.458647150819775</v>
      </c>
      <c r="I1177" s="5">
        <v>16.832874925520116</v>
      </c>
      <c r="J1177" s="5">
        <v>8.018153169439632</v>
      </c>
      <c r="K1177" s="5">
        <v>2.5018444635977577</v>
      </c>
      <c r="L1177" s="9" t="b">
        <v>0</v>
      </c>
    </row>
    <row r="1178" ht="15.75" customHeight="1">
      <c r="A1178" s="5">
        <v>15.0</v>
      </c>
      <c r="B1178" s="5">
        <v>20203.0</v>
      </c>
      <c r="C1178" s="5">
        <v>8108.9977991418045</v>
      </c>
      <c r="D1178" s="5">
        <v>7870.02</v>
      </c>
      <c r="E1178" s="5">
        <v>5.847771820151482</v>
      </c>
      <c r="F1178" s="5">
        <v>10.838101279500522</v>
      </c>
      <c r="G1178" s="5">
        <v>0.4850994198008767</v>
      </c>
      <c r="H1178" s="5">
        <v>14.632635620848177</v>
      </c>
      <c r="I1178" s="5">
        <v>18.218645978802904</v>
      </c>
      <c r="J1178" s="5">
        <v>9.806064750990593</v>
      </c>
      <c r="K1178" s="5">
        <v>3.03655898132158</v>
      </c>
      <c r="L1178" s="9" t="b">
        <v>0</v>
      </c>
    </row>
    <row r="1179" ht="15.75" customHeight="1">
      <c r="A1179" s="5">
        <v>15.0</v>
      </c>
      <c r="B1179" s="5">
        <v>20204.0</v>
      </c>
      <c r="C1179" s="5">
        <v>8232.809641263313</v>
      </c>
      <c r="D1179" s="5">
        <v>8071.04</v>
      </c>
      <c r="E1179" s="5">
        <v>7.842992953121342</v>
      </c>
      <c r="F1179" s="5">
        <v>10.159204101055181</v>
      </c>
      <c r="G1179" s="5">
        <v>-0.8143478552887551</v>
      </c>
      <c r="H1179" s="5">
        <v>10.154534118803738</v>
      </c>
      <c r="I1179" s="5">
        <v>16.978515516123554</v>
      </c>
      <c r="J1179" s="5">
        <v>7.123556353887162</v>
      </c>
      <c r="K1179" s="5">
        <v>2.004322135230563</v>
      </c>
      <c r="L1179" s="9" t="b">
        <v>0</v>
      </c>
    </row>
    <row r="1180" ht="15.75" customHeight="1">
      <c r="A1180" s="5">
        <v>15.0</v>
      </c>
      <c r="B1180" s="5">
        <v>20211.0</v>
      </c>
      <c r="C1180" s="5">
        <v>8423.430648940894</v>
      </c>
      <c r="D1180" s="5">
        <v>8305.29957325968</v>
      </c>
      <c r="E1180" s="5">
        <v>0.8301629289545254</v>
      </c>
      <c r="F1180" s="5">
        <v>5.66652374127904</v>
      </c>
      <c r="G1180" s="5">
        <v>-7.994342115930316</v>
      </c>
      <c r="H1180" s="5">
        <v>6.180738013804632</v>
      </c>
      <c r="I1180" s="5">
        <v>12.856638726069079</v>
      </c>
      <c r="J1180" s="5">
        <v>-0.5331067153448288</v>
      </c>
      <c r="K1180" s="5">
        <v>1.4223577926262498</v>
      </c>
      <c r="L1180" s="9" t="b">
        <v>0</v>
      </c>
    </row>
    <row r="1181" ht="15.75" customHeight="1">
      <c r="A1181" s="5">
        <v>15.0</v>
      </c>
      <c r="B1181" s="5">
        <v>20212.0</v>
      </c>
      <c r="C1181" s="5">
        <v>8577.596311834412</v>
      </c>
      <c r="D1181" s="5">
        <v>8518.271200963</v>
      </c>
      <c r="E1181" s="5">
        <v>6.67865060968289</v>
      </c>
      <c r="F1181" s="5">
        <v>5.299894577977561</v>
      </c>
      <c r="G1181" s="5">
        <v>-7.450337820559167</v>
      </c>
      <c r="H1181" s="5">
        <v>8.591305335605037</v>
      </c>
      <c r="I1181" s="5">
        <v>9.889803272265397</v>
      </c>
      <c r="J1181" s="5">
        <v>-6.943071653254719</v>
      </c>
      <c r="K1181" s="5">
        <v>0.6964454344292825</v>
      </c>
      <c r="L1181" s="9" t="b">
        <v>0</v>
      </c>
    </row>
    <row r="1182" ht="15.75" customHeight="1">
      <c r="A1182" s="5">
        <v>15.0</v>
      </c>
      <c r="B1182" s="5">
        <v>20213.0</v>
      </c>
      <c r="C1182" s="5">
        <v>8890.989707683131</v>
      </c>
      <c r="D1182" s="5">
        <v>8706.05045702318</v>
      </c>
      <c r="E1182" s="5">
        <v>9.64350870367836</v>
      </c>
      <c r="F1182" s="5">
        <v>6.2488287988592806</v>
      </c>
      <c r="G1182" s="5">
        <v>-4.589272480641242</v>
      </c>
      <c r="H1182" s="5">
        <v>10.622977540377022</v>
      </c>
      <c r="I1182" s="5">
        <v>8.887388752147608</v>
      </c>
      <c r="J1182" s="5">
        <v>-9.331257226655296</v>
      </c>
      <c r="K1182" s="5">
        <v>2.124261185630516</v>
      </c>
      <c r="L1182" s="9" t="b">
        <v>0</v>
      </c>
    </row>
    <row r="1183" ht="15.75" customHeight="1">
      <c r="A1183" s="5">
        <v>15.0</v>
      </c>
      <c r="B1183" s="5">
        <v>20214.0</v>
      </c>
      <c r="C1183" s="5">
        <v>9506.858141519631</v>
      </c>
      <c r="D1183" s="5">
        <v>9215.61250563012</v>
      </c>
      <c r="E1183" s="5">
        <v>15.47525760671926</v>
      </c>
      <c r="F1183" s="5">
        <v>8.156894962258761</v>
      </c>
      <c r="G1183" s="5">
        <v>-2.00230913879642</v>
      </c>
      <c r="H1183" s="5">
        <v>14.181227024399835</v>
      </c>
      <c r="I1183" s="5">
        <v>9.894061978546631</v>
      </c>
      <c r="J1183" s="5">
        <v>-7.084453537576923</v>
      </c>
      <c r="K1183" s="5">
        <v>3.1603502828659424</v>
      </c>
      <c r="L1183" s="9" t="b">
        <v>0</v>
      </c>
    </row>
    <row r="1184" ht="15.75" customHeight="1">
      <c r="A1184" s="5">
        <v>15.0</v>
      </c>
      <c r="B1184" s="5">
        <v>20221.0</v>
      </c>
      <c r="C1184" s="5">
        <v>10029.287546565776</v>
      </c>
      <c r="D1184" s="5">
        <v>9476.37670777903</v>
      </c>
      <c r="E1184" s="5">
        <v>19.06416713749275</v>
      </c>
      <c r="F1184" s="5">
        <v>12.715396014393315</v>
      </c>
      <c r="G1184" s="5">
        <v>7.048872273114275</v>
      </c>
      <c r="H1184" s="5">
        <v>14.100359947157504</v>
      </c>
      <c r="I1184" s="5">
        <v>11.87396746188485</v>
      </c>
      <c r="J1184" s="5">
        <v>-0.9826712641842281</v>
      </c>
      <c r="K1184" s="5">
        <v>5.834622829344349</v>
      </c>
      <c r="L1184" s="9" t="b">
        <v>0</v>
      </c>
    </row>
    <row r="1185" ht="15.75" customHeight="1">
      <c r="A1185" s="5">
        <v>15.0</v>
      </c>
      <c r="B1185" s="5">
        <v>20222.0</v>
      </c>
      <c r="C1185" s="5">
        <v>10337.631206091748</v>
      </c>
      <c r="D1185" s="5">
        <v>9941.55367220931</v>
      </c>
      <c r="E1185" s="5">
        <v>20.51897559959819</v>
      </c>
      <c r="F1185" s="5">
        <v>16.17547726187214</v>
      </c>
      <c r="G1185" s="5">
        <v>10.875582683894578</v>
      </c>
      <c r="H1185" s="5">
        <v>16.70858367464758</v>
      </c>
      <c r="I1185" s="5">
        <v>13.903287046645485</v>
      </c>
      <c r="J1185" s="5">
        <v>4.013483774380088</v>
      </c>
      <c r="K1185" s="5">
        <v>3.98406071064763</v>
      </c>
      <c r="L1185" s="9" t="b">
        <v>0</v>
      </c>
    </row>
    <row r="1186" ht="15.75" customHeight="1">
      <c r="A1186" s="5">
        <v>15.0</v>
      </c>
      <c r="B1186" s="5">
        <v>20223.0</v>
      </c>
      <c r="C1186" s="5">
        <v>10519.515024997032</v>
      </c>
      <c r="D1186" s="5">
        <v>10301.2422190375</v>
      </c>
      <c r="E1186" s="5">
        <v>18.31658084033787</v>
      </c>
      <c r="F1186" s="5">
        <v>18.343745296037017</v>
      </c>
      <c r="G1186" s="5">
        <v>12.094916497177737</v>
      </c>
      <c r="H1186" s="5">
        <v>18.322794818257428</v>
      </c>
      <c r="I1186" s="5">
        <v>15.828241366115586</v>
      </c>
      <c r="J1186" s="5">
        <v>6.940852613967978</v>
      </c>
      <c r="K1186" s="5">
        <v>2.1188979087992665</v>
      </c>
      <c r="L1186" s="9" t="b">
        <v>0</v>
      </c>
    </row>
    <row r="1187" ht="15.75" customHeight="1">
      <c r="A1187" s="5">
        <v>15.0</v>
      </c>
      <c r="B1187" s="5">
        <v>20224.0</v>
      </c>
      <c r="C1187" s="5">
        <v>10453.2801779499</v>
      </c>
      <c r="D1187" s="5">
        <v>10405.513275356978</v>
      </c>
      <c r="E1187" s="5">
        <v>9.955150506526733</v>
      </c>
      <c r="F1187" s="5">
        <v>16.963718520988888</v>
      </c>
      <c r="G1187" s="5">
        <v>8.806823558730127</v>
      </c>
      <c r="H1187" s="5">
        <v>12.911792558551127</v>
      </c>
      <c r="I1187" s="5">
        <v>15.51088274965341</v>
      </c>
      <c r="J1187" s="5">
        <v>5.616820771106779</v>
      </c>
      <c r="K1187" s="5">
        <v>0.4590537855162502</v>
      </c>
      <c r="L1187" s="9" t="b">
        <v>0</v>
      </c>
    </row>
    <row r="1188" ht="15.75" customHeight="1">
      <c r="A1188" s="5">
        <v>15.0</v>
      </c>
      <c r="B1188" s="5">
        <v>20231.0</v>
      </c>
      <c r="C1188" s="5">
        <v>11111.78819725096</v>
      </c>
      <c r="D1188" s="5">
        <v>9992.32468970246</v>
      </c>
      <c r="E1188" s="5">
        <v>10.793395300106368</v>
      </c>
      <c r="F1188" s="5">
        <v>14.89602556164229</v>
      </c>
      <c r="G1188" s="5">
        <v>2.1806295472489747</v>
      </c>
      <c r="H1188" s="5">
        <v>5.444570196327203</v>
      </c>
      <c r="I1188" s="5">
        <v>13.346935311945835</v>
      </c>
      <c r="J1188" s="5">
        <v>1.472967850060984</v>
      </c>
      <c r="K1188" s="5">
        <v>11.203233905140797</v>
      </c>
      <c r="L1188" s="9" t="b">
        <v>0</v>
      </c>
    </row>
    <row r="1189" ht="15.75" customHeight="1">
      <c r="A1189" s="5">
        <v>15.0</v>
      </c>
      <c r="B1189" s="5">
        <v>20232.0</v>
      </c>
      <c r="C1189" s="5">
        <v>11396.559746116664</v>
      </c>
      <c r="D1189" s="5">
        <v>10304.9446979337</v>
      </c>
      <c r="E1189" s="5">
        <v>10.24343506664187</v>
      </c>
      <c r="F1189" s="5">
        <v>12.32714042840321</v>
      </c>
      <c r="G1189" s="5">
        <v>-3.848336833468929</v>
      </c>
      <c r="H1189" s="5">
        <v>3.6552739914307075</v>
      </c>
      <c r="I1189" s="5">
        <v>10.083607891141616</v>
      </c>
      <c r="J1189" s="5">
        <v>-3.8196791555038683</v>
      </c>
      <c r="K1189" s="5">
        <v>10.593118936405821</v>
      </c>
      <c r="L1189" s="9" t="b">
        <v>0</v>
      </c>
    </row>
    <row r="1190" ht="15.75" customHeight="1">
      <c r="A1190" s="5">
        <v>15.0</v>
      </c>
      <c r="B1190" s="5">
        <v>20233.0</v>
      </c>
      <c r="C1190" s="5">
        <v>11713.324742368844</v>
      </c>
      <c r="D1190" s="5">
        <v>10933.2574930219</v>
      </c>
      <c r="E1190" s="5">
        <v>11.348524285910688</v>
      </c>
      <c r="F1190" s="5">
        <v>10.585126289796415</v>
      </c>
      <c r="G1190" s="5">
        <v>-7.758619006240602</v>
      </c>
      <c r="H1190" s="5">
        <v>6.135330677074902</v>
      </c>
      <c r="I1190" s="5">
        <v>7.036741855845985</v>
      </c>
      <c r="J1190" s="5">
        <v>-8.7914995102696</v>
      </c>
      <c r="K1190" s="5">
        <v>7.134810918381995</v>
      </c>
      <c r="L1190" s="9" t="b">
        <v>0</v>
      </c>
    </row>
    <row r="1191" ht="15.75" customHeight="1">
      <c r="A1191" s="5">
        <v>15.0</v>
      </c>
      <c r="B1191" s="5">
        <v>20234.0</v>
      </c>
      <c r="C1191" s="5">
        <v>12498.112127463888</v>
      </c>
      <c r="D1191" s="5">
        <v>11387.411395999625</v>
      </c>
      <c r="E1191" s="5">
        <v>19.561629600509</v>
      </c>
      <c r="F1191" s="5">
        <v>12.986746063291982</v>
      </c>
      <c r="G1191" s="5">
        <v>-3.976972457696906</v>
      </c>
      <c r="H1191" s="5">
        <v>9.436325673314382</v>
      </c>
      <c r="I1191" s="5">
        <v>6.167875134536798</v>
      </c>
      <c r="J1191" s="5">
        <v>-9.343007615116612</v>
      </c>
      <c r="K1191" s="5">
        <v>9.753759593286059</v>
      </c>
      <c r="L1191" s="9" t="b">
        <v>0</v>
      </c>
    </row>
    <row r="1192" ht="15.75" customHeight="1">
      <c r="A1192" s="5">
        <v>15.0</v>
      </c>
      <c r="B1192" s="5">
        <v>20241.0</v>
      </c>
      <c r="C1192" s="5">
        <v>12837.613691947758</v>
      </c>
      <c r="D1192" s="5">
        <v>11800.151853827872</v>
      </c>
      <c r="E1192" s="5">
        <v>15.531482998602897</v>
      </c>
      <c r="F1192" s="5">
        <v>14.171267987916114</v>
      </c>
      <c r="G1192" s="5">
        <v>-0.7247575737261762</v>
      </c>
      <c r="H1192" s="5">
        <v>18.092157933863582</v>
      </c>
      <c r="I1192" s="5">
        <v>9.329772068920892</v>
      </c>
      <c r="J1192" s="5">
        <v>-4.017163243024942</v>
      </c>
      <c r="K1192" s="5">
        <v>8.79193633244084</v>
      </c>
      <c r="L1192" s="9" t="b">
        <v>0</v>
      </c>
    </row>
    <row r="1193" ht="15.75" customHeight="1">
      <c r="A1193" s="5">
        <v>15.0</v>
      </c>
      <c r="B1193" s="5">
        <v>20242.0</v>
      </c>
      <c r="C1193" s="5">
        <v>13536.565198991217</v>
      </c>
      <c r="D1193" s="5">
        <v>12504.26609841213</v>
      </c>
      <c r="E1193" s="5">
        <v>18.777644311510343</v>
      </c>
      <c r="F1193" s="5">
        <v>16.304820299133233</v>
      </c>
      <c r="G1193" s="5">
        <v>3.9776798707300234</v>
      </c>
      <c r="H1193" s="5">
        <v>21.342389163130846</v>
      </c>
      <c r="I1193" s="5">
        <v>13.751550861845928</v>
      </c>
      <c r="J1193" s="5">
        <v>3.6679429707043116</v>
      </c>
      <c r="K1193" s="5">
        <v>8.25557527690628</v>
      </c>
      <c r="L1193" s="9" t="b">
        <v>0</v>
      </c>
    </row>
    <row r="1194" ht="15.75" customHeight="1">
      <c r="A1194" s="5">
        <v>15.0</v>
      </c>
      <c r="B1194" s="5">
        <v>20243.0</v>
      </c>
      <c r="C1194" s="5">
        <v>14724.5750503466</v>
      </c>
      <c r="D1194" s="5">
        <v>12806.650295783144</v>
      </c>
      <c r="E1194" s="5">
        <v>25.707904239055313</v>
      </c>
      <c r="F1194" s="5">
        <v>19.89466528741939</v>
      </c>
      <c r="G1194" s="5">
        <v>9.309538997622974</v>
      </c>
      <c r="H1194" s="5">
        <v>17.134809126712035</v>
      </c>
      <c r="I1194" s="5">
        <v>16.501420474255212</v>
      </c>
      <c r="J1194" s="5">
        <v>9.464678618409227</v>
      </c>
      <c r="K1194" s="5">
        <v>14.976006295689782</v>
      </c>
      <c r="L1194" s="9" t="b">
        <v>0</v>
      </c>
    </row>
    <row r="1195" ht="15.75" customHeight="1">
      <c r="A1195" s="5">
        <v>15.0</v>
      </c>
      <c r="B1195" s="5">
        <v>20244.0</v>
      </c>
      <c r="C1195" s="5">
        <v>14141.709213794946</v>
      </c>
      <c r="D1195" s="5">
        <v>12914.4787347101</v>
      </c>
      <c r="E1195" s="5">
        <v>13.150762847769194</v>
      </c>
      <c r="F1195" s="5">
        <v>18.291948599234438</v>
      </c>
      <c r="G1195" s="5">
        <v>5.305202535942456</v>
      </c>
      <c r="H1195" s="5">
        <v>13.410135856222173</v>
      </c>
      <c r="I1195" s="5">
        <v>17.49487301998216</v>
      </c>
      <c r="J1195" s="5">
        <v>11.32699788544536</v>
      </c>
      <c r="K1195" s="5">
        <v>9.50274884720228</v>
      </c>
      <c r="L1195" s="9" t="b">
        <v>0</v>
      </c>
    </row>
    <row r="1196" ht="15.75" customHeight="1">
      <c r="A1196" s="5">
        <v>15.0</v>
      </c>
      <c r="B1196" s="5">
        <v>20251.0</v>
      </c>
      <c r="C1196" s="5">
        <v>14256.92747253414</v>
      </c>
      <c r="D1196" s="5">
        <v>12674.842518746058</v>
      </c>
      <c r="E1196" s="5">
        <v>11.055900377159888</v>
      </c>
      <c r="F1196" s="5">
        <v>17.173052943873685</v>
      </c>
      <c r="G1196" s="5">
        <v>3.0017849559575716</v>
      </c>
      <c r="H1196" s="5">
        <v>7.412537361834404</v>
      </c>
      <c r="I1196" s="5">
        <v>14.824967876974863</v>
      </c>
      <c r="J1196" s="5">
        <v>5.495195808053971</v>
      </c>
      <c r="K1196" s="5">
        <v>12.482087658668606</v>
      </c>
      <c r="L1196" s="9" t="b">
        <v>0</v>
      </c>
    </row>
    <row r="1197" ht="15.75" customHeight="1">
      <c r="A1197" s="5">
        <v>15.0</v>
      </c>
      <c r="B1197" s="5">
        <v>20252.0</v>
      </c>
      <c r="C1197" s="5">
        <v>15019.995769029292</v>
      </c>
      <c r="D1197" s="5">
        <v>12625.005105844168</v>
      </c>
      <c r="E1197" s="5">
        <v>10.958692609471022</v>
      </c>
      <c r="F1197" s="5">
        <v>15.218315018363855</v>
      </c>
      <c r="G1197" s="5">
        <v>-1.0865052807693782</v>
      </c>
      <c r="H1197" s="5">
        <v>0.9655825178526145</v>
      </c>
      <c r="I1197" s="5">
        <v>9.730766215655306</v>
      </c>
      <c r="J1197" s="5">
        <v>-4.020784646190622</v>
      </c>
      <c r="K1197" s="5">
        <v>18.970215402736535</v>
      </c>
      <c r="L1197" s="9" t="b">
        <v>0</v>
      </c>
    </row>
    <row r="1198" ht="15.75" customHeight="1">
      <c r="A1198" s="5">
        <v>15.0</v>
      </c>
      <c r="B1198" s="5">
        <v>20253.0</v>
      </c>
      <c r="C1198" s="5">
        <v>14528.864688001217</v>
      </c>
      <c r="D1198" s="5">
        <v>12553.485734405042</v>
      </c>
      <c r="E1198" s="5">
        <v>-1.3291409882879912</v>
      </c>
      <c r="F1198" s="5">
        <v>8.459053711528027</v>
      </c>
      <c r="G1198" s="5">
        <v>-11.435611575891363</v>
      </c>
      <c r="H1198" s="5">
        <v>-1.9768210697645228</v>
      </c>
      <c r="I1198" s="5">
        <v>4.952858666536166</v>
      </c>
      <c r="J1198" s="5">
        <v>-11.548561807719047</v>
      </c>
      <c r="K1198" s="5">
        <v>15.735700787728636</v>
      </c>
      <c r="L1198" s="9" t="b">
        <v>0</v>
      </c>
    </row>
    <row r="1199" ht="15.75" customHeight="1">
      <c r="A1199" s="5">
        <v>15.0</v>
      </c>
      <c r="B1199" s="5">
        <v>20254.0</v>
      </c>
      <c r="C1199" s="5">
        <v>14061.53381099778</v>
      </c>
      <c r="D1199" s="5">
        <v>12546.255183279172</v>
      </c>
      <c r="E1199" s="5">
        <v>-0.5669428043319935</v>
      </c>
      <c r="F1199" s="5">
        <v>5.0296272985027315</v>
      </c>
      <c r="G1199" s="5">
        <v>-13.262321300731706</v>
      </c>
      <c r="H1199" s="5">
        <v>-2.8512459464682616</v>
      </c>
      <c r="I1199" s="5">
        <v>0.8875132158635576</v>
      </c>
      <c r="J1199" s="5">
        <v>-16.6073598041186</v>
      </c>
      <c r="K1199" s="5">
        <v>12.077537126281879</v>
      </c>
      <c r="L1199" s="9" t="b">
        <v>0</v>
      </c>
    </row>
    <row r="1200" ht="15.75" customHeight="1">
      <c r="A1200" s="5">
        <v>15.0</v>
      </c>
      <c r="B1200" s="5">
        <v>20261.0</v>
      </c>
      <c r="C1200" s="5">
        <v>13902.721427163542</v>
      </c>
      <c r="D1200" s="5">
        <v>12632.07034065969</v>
      </c>
      <c r="E1200" s="5">
        <v>-2.484448672780115</v>
      </c>
      <c r="F1200" s="5">
        <v>1.6445400360177307</v>
      </c>
      <c r="G1200" s="5">
        <v>-15.528512907855955</v>
      </c>
      <c r="H1200" s="5">
        <v>-0.33745727430624095</v>
      </c>
      <c r="I1200" s="5">
        <v>-1.0499854431716036</v>
      </c>
      <c r="J1200" s="5">
        <v>-15.874953320146467</v>
      </c>
      <c r="K1200" s="5">
        <v>10.058929789315085</v>
      </c>
      <c r="L1200" s="9" t="b">
        <v>0</v>
      </c>
    </row>
    <row r="1201" ht="15.75" customHeight="1">
      <c r="A1201" s="5">
        <v>15.0</v>
      </c>
      <c r="B1201" s="5">
        <v>20262.0</v>
      </c>
      <c r="C1201" s="5">
        <v>14312.25383255804</v>
      </c>
      <c r="D1201" s="5">
        <v>12589.78262918211</v>
      </c>
      <c r="E1201" s="5">
        <v>-4.711998241241789</v>
      </c>
      <c r="F1201" s="5">
        <v>-2.273132676660472</v>
      </c>
      <c r="G1201" s="5">
        <v>-17.491447695024327</v>
      </c>
      <c r="H1201" s="5">
        <v>-0.278989801324947</v>
      </c>
      <c r="I1201" s="5">
        <v>-1.361128522965994</v>
      </c>
      <c r="J1201" s="5">
        <v>-11.0918947386213</v>
      </c>
      <c r="K1201" s="5">
        <v>13.681500738411323</v>
      </c>
      <c r="L1201" s="9" t="b">
        <v>0</v>
      </c>
    </row>
    <row r="1202" ht="15.75" customHeight="1">
      <c r="A1202" s="5">
        <v>16.0</v>
      </c>
      <c r="B1202" s="5">
        <v>20063.0</v>
      </c>
      <c r="C1202" s="5">
        <v>2499.0089302648444</v>
      </c>
      <c r="D1202" s="5">
        <v>2043.8269174883983</v>
      </c>
      <c r="K1202" s="5">
        <v>22.27106458387418</v>
      </c>
      <c r="L1202" s="9" t="b">
        <v>0</v>
      </c>
    </row>
    <row r="1203" ht="15.75" customHeight="1">
      <c r="A1203" s="5">
        <v>16.0</v>
      </c>
      <c r="B1203" s="5">
        <v>20064.0</v>
      </c>
      <c r="C1203" s="5">
        <v>2768.751404455477</v>
      </c>
      <c r="D1203" s="5">
        <v>2543.456446825679</v>
      </c>
      <c r="K1203" s="5">
        <v>8.857826439724326</v>
      </c>
      <c r="L1203" s="9" t="b">
        <v>0</v>
      </c>
    </row>
    <row r="1204" ht="15.75" customHeight="1">
      <c r="A1204" s="5">
        <v>16.0</v>
      </c>
      <c r="B1204" s="5">
        <v>20071.0</v>
      </c>
      <c r="C1204" s="5">
        <v>2499.814669439068</v>
      </c>
      <c r="D1204" s="5">
        <v>2419.633446156296</v>
      </c>
      <c r="K1204" s="5">
        <v>3.3137756220944725</v>
      </c>
      <c r="L1204" s="9" t="b">
        <v>0</v>
      </c>
    </row>
    <row r="1205" ht="15.75" customHeight="1">
      <c r="A1205" s="5">
        <v>16.0</v>
      </c>
      <c r="B1205" s="5">
        <v>20072.0</v>
      </c>
      <c r="C1205" s="5">
        <v>3258.0908026063094</v>
      </c>
      <c r="D1205" s="5">
        <v>2979.092407900493</v>
      </c>
      <c r="K1205" s="5">
        <v>9.3652145185533</v>
      </c>
      <c r="L1205" s="9" t="b">
        <v>0</v>
      </c>
    </row>
    <row r="1206" ht="15.75" customHeight="1">
      <c r="A1206" s="5">
        <v>16.0</v>
      </c>
      <c r="B1206" s="5">
        <v>20073.0</v>
      </c>
      <c r="C1206" s="5">
        <v>4015.4138644710392</v>
      </c>
      <c r="D1206" s="5">
        <v>3457.3182185973224</v>
      </c>
      <c r="E1206" s="5">
        <v>60.68025271304198</v>
      </c>
      <c r="H1206" s="5">
        <v>69.159051043614</v>
      </c>
      <c r="K1206" s="5">
        <v>16.142443668380157</v>
      </c>
      <c r="L1206" s="9" t="b">
        <v>0</v>
      </c>
    </row>
    <row r="1207" ht="15.75" customHeight="1">
      <c r="A1207" s="5">
        <v>16.0</v>
      </c>
      <c r="B1207" s="5">
        <v>20074.0</v>
      </c>
      <c r="C1207" s="5">
        <v>3822.867290661065</v>
      </c>
      <c r="D1207" s="5">
        <v>3117.0105731695794</v>
      </c>
      <c r="E1207" s="5">
        <v>38.07188628452898</v>
      </c>
      <c r="H1207" s="5">
        <v>22.550184692948672</v>
      </c>
      <c r="K1207" s="5">
        <v>22.645310335720946</v>
      </c>
      <c r="L1207" s="9" t="b">
        <v>0</v>
      </c>
    </row>
    <row r="1208" ht="15.75" customHeight="1">
      <c r="A1208" s="5">
        <v>16.0</v>
      </c>
      <c r="B1208" s="5">
        <v>20081.0</v>
      </c>
      <c r="C1208" s="5">
        <v>4108.0</v>
      </c>
      <c r="D1208" s="5">
        <v>3484.483184568065</v>
      </c>
      <c r="E1208" s="5">
        <v>64.3321823102107</v>
      </c>
      <c r="H1208" s="5">
        <v>44.00872124260533</v>
      </c>
      <c r="K1208" s="5">
        <v>17.894097414312114</v>
      </c>
      <c r="L1208" s="9" t="b">
        <v>0</v>
      </c>
    </row>
    <row r="1209" ht="15.75" customHeight="1">
      <c r="A1209" s="5">
        <v>16.0</v>
      </c>
      <c r="B1209" s="5">
        <v>20082.0</v>
      </c>
      <c r="C1209" s="5">
        <v>3842.157640079908</v>
      </c>
      <c r="D1209" s="5">
        <v>3418.0895393989026</v>
      </c>
      <c r="E1209" s="5">
        <v>17.926659287898737</v>
      </c>
      <c r="F1209" s="5">
        <v>45.2527451489201</v>
      </c>
      <c r="H1209" s="5">
        <v>14.735935358507103</v>
      </c>
      <c r="I1209" s="5">
        <v>37.61347308441878</v>
      </c>
      <c r="K1209" s="5">
        <v>12.406582560022139</v>
      </c>
      <c r="L1209" s="9" t="b">
        <v>0</v>
      </c>
    </row>
    <row r="1210" ht="15.75" customHeight="1">
      <c r="A1210" s="5">
        <v>16.0</v>
      </c>
      <c r="B1210" s="5">
        <v>20083.0</v>
      </c>
      <c r="C1210" s="5">
        <v>3892.24437608656</v>
      </c>
      <c r="D1210" s="5">
        <v>3105.529647215517</v>
      </c>
      <c r="E1210" s="5">
        <v>-3.0674170220484798</v>
      </c>
      <c r="F1210" s="5">
        <v>29.315827715147485</v>
      </c>
      <c r="H1210" s="5">
        <v>-10.175186347889332</v>
      </c>
      <c r="I1210" s="5">
        <v>17.779913736542944</v>
      </c>
      <c r="K1210" s="5">
        <v>25.33270708191204</v>
      </c>
      <c r="L1210" s="9" t="b">
        <v>0</v>
      </c>
    </row>
    <row r="1211" ht="15.75" customHeight="1">
      <c r="A1211" s="5">
        <v>16.0</v>
      </c>
      <c r="B1211" s="5">
        <v>20084.0</v>
      </c>
      <c r="C1211" s="5">
        <v>3770.753075099373</v>
      </c>
      <c r="D1211" s="5">
        <v>3234.561025234537</v>
      </c>
      <c r="E1211" s="5">
        <v>-1.363223245782108</v>
      </c>
      <c r="F1211" s="5">
        <v>19.457050332569715</v>
      </c>
      <c r="H1211" s="5">
        <v>3.771256122029265</v>
      </c>
      <c r="I1211" s="5">
        <v>13.085181593813092</v>
      </c>
      <c r="K1211" s="5">
        <v>16.576965024982226</v>
      </c>
      <c r="L1211" s="9" t="b">
        <v>0</v>
      </c>
    </row>
    <row r="1212" ht="15.75" customHeight="1">
      <c r="A1212" s="5">
        <v>16.0</v>
      </c>
      <c r="B1212" s="5">
        <v>20091.0</v>
      </c>
      <c r="C1212" s="5">
        <v>3646.170595668304</v>
      </c>
      <c r="D1212" s="5">
        <v>3153.138196988371</v>
      </c>
      <c r="E1212" s="5">
        <v>-11.242195821122102</v>
      </c>
      <c r="F1212" s="5">
        <v>0.563455799736515</v>
      </c>
      <c r="H1212" s="5">
        <v>-9.509157313404215</v>
      </c>
      <c r="I1212" s="5">
        <v>-0.29428804518929486</v>
      </c>
      <c r="K1212" s="5">
        <v>15.6362445246085</v>
      </c>
      <c r="L1212" s="9" t="b">
        <v>0</v>
      </c>
    </row>
    <row r="1213" ht="15.75" customHeight="1">
      <c r="A1213" s="5">
        <v>16.0</v>
      </c>
      <c r="B1213" s="5">
        <v>20092.0</v>
      </c>
      <c r="C1213" s="5">
        <v>3366.4236246574924</v>
      </c>
      <c r="D1213" s="5">
        <v>2970.9552674306983</v>
      </c>
      <c r="E1213" s="5">
        <v>-12.381949414561799</v>
      </c>
      <c r="F1213" s="5">
        <v>-7.013696375878618</v>
      </c>
      <c r="G1213" s="5">
        <v>-52.266441524798715</v>
      </c>
      <c r="H1213" s="5">
        <v>-13.081408980492547</v>
      </c>
      <c r="I1213" s="5">
        <v>-7.248624129939207</v>
      </c>
      <c r="J1213" s="5">
        <v>-44.86209721435799</v>
      </c>
      <c r="K1213" s="5">
        <v>13.311151519585064</v>
      </c>
      <c r="L1213" s="9" t="b">
        <v>0</v>
      </c>
    </row>
    <row r="1214" ht="15.75" customHeight="1">
      <c r="A1214" s="5">
        <v>16.0</v>
      </c>
      <c r="B1214" s="5">
        <v>20093.0</v>
      </c>
      <c r="C1214" s="5">
        <v>3500.0</v>
      </c>
      <c r="D1214" s="5">
        <v>2968.8171438589925</v>
      </c>
      <c r="E1214" s="5">
        <v>-10.077588614334132</v>
      </c>
      <c r="F1214" s="5">
        <v>-8.766239273950031</v>
      </c>
      <c r="G1214" s="5">
        <v>-38.08206698909751</v>
      </c>
      <c r="H1214" s="5">
        <v>-4.40222824725256</v>
      </c>
      <c r="I1214" s="5">
        <v>-5.805384604780015</v>
      </c>
      <c r="J1214" s="5">
        <v>-23.58529834132296</v>
      </c>
      <c r="K1214" s="5">
        <v>17.892070491433287</v>
      </c>
      <c r="L1214" s="9" t="b">
        <v>0</v>
      </c>
    </row>
    <row r="1215" ht="15.75" customHeight="1">
      <c r="A1215" s="5">
        <v>16.0</v>
      </c>
      <c r="B1215" s="5">
        <v>20094.0</v>
      </c>
      <c r="C1215" s="5">
        <v>3459.0</v>
      </c>
      <c r="D1215" s="5">
        <v>3069.164622807056</v>
      </c>
      <c r="E1215" s="5">
        <v>-8.26766083300634</v>
      </c>
      <c r="F1215" s="5">
        <v>-10.49234867075609</v>
      </c>
      <c r="G1215" s="5">
        <v>-29.949399003325805</v>
      </c>
      <c r="H1215" s="5">
        <v>-5.113411097738929</v>
      </c>
      <c r="I1215" s="5">
        <v>-8.026551409722064</v>
      </c>
      <c r="J1215" s="5">
        <v>-21.111733003535157</v>
      </c>
      <c r="K1215" s="5">
        <v>12.701677006702926</v>
      </c>
      <c r="L1215" s="9" t="b">
        <v>0</v>
      </c>
    </row>
    <row r="1216" ht="15.75" customHeight="1">
      <c r="A1216" s="5">
        <v>16.0</v>
      </c>
      <c r="B1216" s="5">
        <v>20101.0</v>
      </c>
      <c r="C1216" s="5">
        <v>3511.0</v>
      </c>
      <c r="D1216" s="5">
        <v>2951.9474203502023</v>
      </c>
      <c r="E1216" s="5">
        <v>-3.7071933998065965</v>
      </c>
      <c r="F1216" s="5">
        <v>-8.608598065427213</v>
      </c>
      <c r="G1216" s="5">
        <v>-9.172053865163727</v>
      </c>
      <c r="H1216" s="5">
        <v>-6.380652038351197</v>
      </c>
      <c r="I1216" s="5">
        <v>-7.244425090958808</v>
      </c>
      <c r="J1216" s="5">
        <v>-6.950137045769513</v>
      </c>
      <c r="K1216" s="5">
        <v>18.93843283914165</v>
      </c>
      <c r="L1216" s="9" t="b">
        <v>0</v>
      </c>
    </row>
    <row r="1217" ht="15.75" customHeight="1">
      <c r="A1217" s="5">
        <v>16.0</v>
      </c>
      <c r="B1217" s="5">
        <v>20102.0</v>
      </c>
      <c r="C1217" s="5">
        <v>3538.0</v>
      </c>
      <c r="D1217" s="5">
        <v>3053.48145553344</v>
      </c>
      <c r="E1217" s="5">
        <v>5.096695914494842</v>
      </c>
      <c r="F1217" s="5">
        <v>-4.238936733163054</v>
      </c>
      <c r="G1217" s="5">
        <v>2.7747596427155647</v>
      </c>
      <c r="H1217" s="5">
        <v>2.7777660945434324</v>
      </c>
      <c r="I1217" s="5">
        <v>-3.2796313221998137</v>
      </c>
      <c r="J1217" s="5">
        <v>3.9689928077393937</v>
      </c>
      <c r="K1217" s="5">
        <v>15.867741511530319</v>
      </c>
      <c r="L1217" s="9" t="b">
        <v>0</v>
      </c>
    </row>
    <row r="1218" ht="15.75" customHeight="1">
      <c r="A1218" s="5">
        <v>16.0</v>
      </c>
      <c r="B1218" s="5">
        <v>20103.0</v>
      </c>
      <c r="C1218" s="5">
        <v>3563.0</v>
      </c>
      <c r="D1218" s="5">
        <v>3013.497731066199</v>
      </c>
      <c r="E1218" s="5">
        <v>1.8000000000000016</v>
      </c>
      <c r="F1218" s="5">
        <v>-1.2695395795795197</v>
      </c>
      <c r="G1218" s="5">
        <v>7.496699694370512</v>
      </c>
      <c r="H1218" s="5">
        <v>1.504996267608738</v>
      </c>
      <c r="I1218" s="5">
        <v>-1.8028251934844892</v>
      </c>
      <c r="J1218" s="5">
        <v>4.002559411295525</v>
      </c>
      <c r="K1218" s="5">
        <v>18.234699939176103</v>
      </c>
      <c r="L1218" s="9" t="b">
        <v>0</v>
      </c>
    </row>
    <row r="1219" ht="15.75" customHeight="1">
      <c r="A1219" s="5">
        <v>16.0</v>
      </c>
      <c r="B1219" s="5">
        <v>20104.0</v>
      </c>
      <c r="C1219" s="5">
        <v>3663.0</v>
      </c>
      <c r="D1219" s="5">
        <v>3106.4168084213197</v>
      </c>
      <c r="E1219" s="5">
        <v>5.89765828274067</v>
      </c>
      <c r="F1219" s="5">
        <v>2.271790199357233</v>
      </c>
      <c r="G1219" s="5">
        <v>12.764138870113324</v>
      </c>
      <c r="H1219" s="5">
        <v>1.2137565165922348</v>
      </c>
      <c r="I1219" s="5">
        <v>-0.22103328990169802</v>
      </c>
      <c r="J1219" s="5">
        <v>7.805518119820366</v>
      </c>
      <c r="K1219" s="5">
        <v>17.91720898721043</v>
      </c>
      <c r="L1219" s="9" t="b">
        <v>0</v>
      </c>
    </row>
    <row r="1220" ht="15.75" customHeight="1">
      <c r="A1220" s="5">
        <v>16.0</v>
      </c>
      <c r="B1220" s="5">
        <v>20111.0</v>
      </c>
      <c r="C1220" s="5">
        <v>3651.0</v>
      </c>
      <c r="D1220" s="5">
        <v>3135.83012546742</v>
      </c>
      <c r="E1220" s="5">
        <v>3.9874679578467687</v>
      </c>
      <c r="F1220" s="5">
        <v>4.195455538770574</v>
      </c>
      <c r="G1220" s="5">
        <v>12.804053604197787</v>
      </c>
      <c r="H1220" s="5">
        <v>6.229199878343472</v>
      </c>
      <c r="I1220" s="5">
        <v>2.9314296892719693</v>
      </c>
      <c r="J1220" s="5">
        <v>10.175854780230777</v>
      </c>
      <c r="K1220" s="5">
        <v>16.428500713372983</v>
      </c>
      <c r="L1220" s="9" t="b">
        <v>0</v>
      </c>
    </row>
    <row r="1221" ht="15.75" customHeight="1">
      <c r="A1221" s="5">
        <v>16.0</v>
      </c>
      <c r="B1221" s="5">
        <v>20112.0</v>
      </c>
      <c r="C1221" s="5">
        <v>3671.0</v>
      </c>
      <c r="D1221" s="5">
        <v>3150.9824099944685</v>
      </c>
      <c r="E1221" s="5">
        <v>3.759185980780111</v>
      </c>
      <c r="F1221" s="5">
        <v>3.861078055341891</v>
      </c>
      <c r="G1221" s="5">
        <v>8.100014788504945</v>
      </c>
      <c r="H1221" s="5">
        <v>3.193107797800443</v>
      </c>
      <c r="I1221" s="5">
        <v>3.035265115086222</v>
      </c>
      <c r="J1221" s="5">
        <v>6.314896437286036</v>
      </c>
      <c r="K1221" s="5">
        <v>16.50334791956025</v>
      </c>
      <c r="L1221" s="9" t="b">
        <v>0</v>
      </c>
    </row>
    <row r="1222" ht="15.75" customHeight="1">
      <c r="A1222" s="5">
        <v>16.0</v>
      </c>
      <c r="B1222" s="5">
        <v>20113.0</v>
      </c>
      <c r="C1222" s="5">
        <v>3679.0</v>
      </c>
      <c r="D1222" s="5">
        <v>3067.244025188489</v>
      </c>
      <c r="E1222" s="5">
        <v>3.2556834128543377</v>
      </c>
      <c r="F1222" s="5">
        <v>4.2249989085554756</v>
      </c>
      <c r="G1222" s="5">
        <v>5.494538488134995</v>
      </c>
      <c r="H1222" s="5">
        <v>1.7835186523692537</v>
      </c>
      <c r="I1222" s="5">
        <v>3.1048957112763507</v>
      </c>
      <c r="J1222" s="5">
        <v>4.90772090476084</v>
      </c>
      <c r="K1222" s="5">
        <v>19.944809405046193</v>
      </c>
      <c r="L1222" s="9" t="b">
        <v>0</v>
      </c>
    </row>
    <row r="1223" ht="15.75" customHeight="1">
      <c r="A1223" s="5">
        <v>16.0</v>
      </c>
      <c r="B1223" s="5">
        <v>20114.0</v>
      </c>
      <c r="C1223" s="5">
        <v>3747.0</v>
      </c>
      <c r="D1223" s="5">
        <v>3092.2602190193147</v>
      </c>
      <c r="E1223" s="5">
        <v>2.29320229320229</v>
      </c>
      <c r="F1223" s="5">
        <v>3.32388491117088</v>
      </c>
      <c r="G1223" s="5">
        <v>1.052094711813647</v>
      </c>
      <c r="H1223" s="5">
        <v>-0.45572086024088243</v>
      </c>
      <c r="I1223" s="5">
        <v>2.6875263670680716</v>
      </c>
      <c r="J1223" s="5">
        <v>2.9085596569697696</v>
      </c>
      <c r="K1223" s="5">
        <v>21.173502053728544</v>
      </c>
      <c r="L1223" s="9" t="b">
        <v>0</v>
      </c>
    </row>
    <row r="1224" ht="15.75" customHeight="1">
      <c r="A1224" s="5">
        <v>16.0</v>
      </c>
      <c r="B1224" s="5">
        <v>20121.0</v>
      </c>
      <c r="C1224" s="5">
        <v>3750.0</v>
      </c>
      <c r="D1224" s="5">
        <v>3060.981527958761</v>
      </c>
      <c r="E1224" s="5">
        <v>2.7115858668857795</v>
      </c>
      <c r="F1224" s="5">
        <v>3.004914388430633</v>
      </c>
      <c r="G1224" s="5">
        <v>-1.190541150339941</v>
      </c>
      <c r="H1224" s="5">
        <v>-2.3868830425724186</v>
      </c>
      <c r="I1224" s="5">
        <v>0.5335056368390989</v>
      </c>
      <c r="J1224" s="5">
        <v>-2.39792405243287</v>
      </c>
      <c r="K1224" s="5">
        <v>22.509723294564154</v>
      </c>
      <c r="L1224" s="9" t="b">
        <v>0</v>
      </c>
    </row>
    <row r="1225" ht="15.75" customHeight="1">
      <c r="A1225" s="5">
        <v>16.0</v>
      </c>
      <c r="B1225" s="5">
        <v>20122.0</v>
      </c>
      <c r="C1225" s="5">
        <v>3602.0</v>
      </c>
      <c r="D1225" s="5">
        <v>3050.9557399563028</v>
      </c>
      <c r="E1225" s="5">
        <v>-1.8795968400980634</v>
      </c>
      <c r="F1225" s="5">
        <v>1.5952186832110897</v>
      </c>
      <c r="G1225" s="5">
        <v>-2.2658593721308016</v>
      </c>
      <c r="H1225" s="5">
        <v>-3.1744598040565175</v>
      </c>
      <c r="I1225" s="5">
        <v>-1.0583862636251413</v>
      </c>
      <c r="J1225" s="5">
        <v>-4.093651378711364</v>
      </c>
      <c r="K1225" s="5">
        <v>18.06136525768118</v>
      </c>
      <c r="L1225" s="9" t="b">
        <v>0</v>
      </c>
    </row>
    <row r="1226" ht="15.75" customHeight="1">
      <c r="A1226" s="5">
        <v>16.0</v>
      </c>
      <c r="B1226" s="5">
        <v>20123.0</v>
      </c>
      <c r="C1226" s="5">
        <v>3673.0</v>
      </c>
      <c r="D1226" s="5">
        <v>2928.203543218857</v>
      </c>
      <c r="E1226" s="5">
        <v>-0.16308779559662812</v>
      </c>
      <c r="F1226" s="5">
        <v>0.740525881098348</v>
      </c>
      <c r="G1226" s="5">
        <v>-3.4844730274571276</v>
      </c>
      <c r="H1226" s="5">
        <v>-4.533075321944358</v>
      </c>
      <c r="I1226" s="5">
        <v>-2.637534757203544</v>
      </c>
      <c r="J1226" s="5">
        <v>-5.742430468479895</v>
      </c>
      <c r="K1226" s="5">
        <v>25.435269296970333</v>
      </c>
      <c r="L1226" s="9" t="b">
        <v>0</v>
      </c>
    </row>
    <row r="1227" ht="15.75" customHeight="1">
      <c r="A1227" s="5">
        <v>16.0</v>
      </c>
      <c r="B1227" s="5">
        <v>20124.0</v>
      </c>
      <c r="C1227" s="5">
        <v>3691.0</v>
      </c>
      <c r="D1227" s="5">
        <v>2904.635138145165</v>
      </c>
      <c r="E1227" s="5">
        <v>-1.494528956498531</v>
      </c>
      <c r="F1227" s="5">
        <v>-0.20640693132685717</v>
      </c>
      <c r="G1227" s="5">
        <v>-3.5302918424977374</v>
      </c>
      <c r="H1227" s="5">
        <v>-6.067570889414132</v>
      </c>
      <c r="I1227" s="5">
        <v>-4.040497264496857</v>
      </c>
      <c r="J1227" s="5">
        <v>-6.728023631564929</v>
      </c>
      <c r="K1227" s="5">
        <v>27.07275869274892</v>
      </c>
      <c r="L1227" s="9" t="b">
        <v>0</v>
      </c>
    </row>
    <row r="1228" ht="15.75" customHeight="1">
      <c r="A1228" s="5">
        <v>16.0</v>
      </c>
      <c r="B1228" s="5">
        <v>20131.0</v>
      </c>
      <c r="C1228" s="5">
        <v>3655.0</v>
      </c>
      <c r="D1228" s="5">
        <v>2856.5670184647056</v>
      </c>
      <c r="E1228" s="5">
        <v>-2.533333333333332</v>
      </c>
      <c r="F1228" s="5">
        <v>-1.517636731381635</v>
      </c>
      <c r="G1228" s="5">
        <v>-4.522551119812268</v>
      </c>
      <c r="H1228" s="5">
        <v>-6.678070665469549</v>
      </c>
      <c r="I1228" s="5">
        <v>-5.113294170221139</v>
      </c>
      <c r="J1228" s="5">
        <v>-5.646799807060238</v>
      </c>
      <c r="K1228" s="5">
        <v>27.95078765435097</v>
      </c>
      <c r="L1228" s="9" t="b">
        <v>0</v>
      </c>
    </row>
    <row r="1229" ht="15.75" customHeight="1">
      <c r="A1229" s="5">
        <v>16.0</v>
      </c>
      <c r="B1229" s="5">
        <v>20132.0</v>
      </c>
      <c r="C1229" s="5">
        <v>3623.0</v>
      </c>
      <c r="D1229" s="5">
        <v>3074.909300536451</v>
      </c>
      <c r="E1229" s="5">
        <v>0.5830094392004437</v>
      </c>
      <c r="F1229" s="5">
        <v>-0.9019851615570083</v>
      </c>
      <c r="G1229" s="5">
        <v>-2.497203844768098</v>
      </c>
      <c r="H1229" s="5">
        <v>0.7851166198986403</v>
      </c>
      <c r="I1229" s="5">
        <v>-4.123400064232349</v>
      </c>
      <c r="J1229" s="5">
        <v>-3.065013800607208</v>
      </c>
      <c r="K1229" s="5">
        <v>17.824613537964474</v>
      </c>
      <c r="L1229" s="9" t="b">
        <v>0</v>
      </c>
    </row>
    <row r="1230" ht="15.75" customHeight="1">
      <c r="A1230" s="5">
        <v>16.0</v>
      </c>
      <c r="B1230" s="5">
        <v>20133.0</v>
      </c>
      <c r="C1230" s="5">
        <v>3606.0</v>
      </c>
      <c r="D1230" s="5">
        <v>2919.718701698057</v>
      </c>
      <c r="E1230" s="5">
        <v>-1.8241219711407575</v>
      </c>
      <c r="F1230" s="5">
        <v>-1.3172437054430406</v>
      </c>
      <c r="G1230" s="5">
        <v>-2.0577695865413888</v>
      </c>
      <c r="H1230" s="5">
        <v>-0.28976269564487955</v>
      </c>
      <c r="I1230" s="5">
        <v>-3.06257190765748</v>
      </c>
      <c r="J1230" s="5">
        <v>-0.4250371504539361</v>
      </c>
      <c r="K1230" s="5">
        <v>23.505048548095186</v>
      </c>
      <c r="L1230" s="9" t="b">
        <v>0</v>
      </c>
    </row>
    <row r="1231" ht="15.75" customHeight="1">
      <c r="A1231" s="5">
        <v>16.0</v>
      </c>
      <c r="B1231" s="5">
        <v>20134.0</v>
      </c>
      <c r="C1231" s="5">
        <v>3625.0</v>
      </c>
      <c r="D1231" s="5">
        <v>3098.2306648410768</v>
      </c>
      <c r="E1231" s="5">
        <v>-1.7881332972094266</v>
      </c>
      <c r="F1231" s="5">
        <v>-1.3906447906207644</v>
      </c>
      <c r="G1231" s="5">
        <v>-1.1842378592939071</v>
      </c>
      <c r="H1231" s="5">
        <v>6.665054903230883</v>
      </c>
      <c r="I1231" s="5">
        <v>0.12058454050377332</v>
      </c>
      <c r="J1231" s="5">
        <v>4.16108180500063</v>
      </c>
      <c r="K1231" s="5">
        <v>17.002263296168874</v>
      </c>
      <c r="L1231" s="9" t="b">
        <v>0</v>
      </c>
    </row>
    <row r="1232" ht="15.75" customHeight="1">
      <c r="A1232" s="5">
        <v>16.0</v>
      </c>
      <c r="B1232" s="5">
        <v>20141.0</v>
      </c>
      <c r="C1232" s="5">
        <v>3620.0</v>
      </c>
      <c r="D1232" s="5">
        <v>2950.257834503852</v>
      </c>
      <c r="E1232" s="5">
        <v>-0.9575923392612817</v>
      </c>
      <c r="F1232" s="5">
        <v>-0.996709542102752</v>
      </c>
      <c r="G1232" s="5">
        <v>0.520927189278883</v>
      </c>
      <c r="H1232" s="5">
        <v>3.2798395918434142</v>
      </c>
      <c r="I1232" s="5">
        <v>2.6100621048320143</v>
      </c>
      <c r="J1232" s="5">
        <v>7.7233562750531535</v>
      </c>
      <c r="K1232" s="5">
        <v>22.701140139800003</v>
      </c>
      <c r="L1232" s="9" t="b">
        <v>0</v>
      </c>
    </row>
    <row r="1233" ht="15.75" customHeight="1">
      <c r="A1233" s="5">
        <v>16.0</v>
      </c>
      <c r="B1233" s="5">
        <v>20142.0</v>
      </c>
      <c r="C1233" s="5">
        <v>3688.0</v>
      </c>
      <c r="D1233" s="5">
        <v>3011.479063591604</v>
      </c>
      <c r="E1233" s="5">
        <v>1.7940932928512288</v>
      </c>
      <c r="F1233" s="5">
        <v>-0.6939385786900558</v>
      </c>
      <c r="G1233" s="5">
        <v>0.20804658286695243</v>
      </c>
      <c r="H1233" s="5">
        <v>-2.0628327779873445</v>
      </c>
      <c r="I1233" s="5">
        <v>1.8980747553605175</v>
      </c>
      <c r="J1233" s="5">
        <v>6.021474819592867</v>
      </c>
      <c r="K1233" s="5">
        <v>22.464739821287406</v>
      </c>
      <c r="L1233" s="9" t="b">
        <v>0</v>
      </c>
    </row>
    <row r="1234" ht="15.75" customHeight="1">
      <c r="A1234" s="5">
        <v>16.0</v>
      </c>
      <c r="B1234" s="5">
        <v>20143.0</v>
      </c>
      <c r="C1234" s="5">
        <v>3736.0</v>
      </c>
      <c r="D1234" s="5">
        <v>3169.2823169642083</v>
      </c>
      <c r="E1234" s="5">
        <v>3.605102606766497</v>
      </c>
      <c r="F1234" s="5">
        <v>0.6633675657867579</v>
      </c>
      <c r="G1234" s="5">
        <v>1.9806112712297985</v>
      </c>
      <c r="H1234" s="5">
        <v>8.547522578836443</v>
      </c>
      <c r="I1234" s="5">
        <v>4.107396073980848</v>
      </c>
      <c r="J1234" s="5">
        <v>7.169967981638328</v>
      </c>
      <c r="K1234" s="5">
        <v>17.881577794515913</v>
      </c>
      <c r="L1234" s="9" t="b">
        <v>0</v>
      </c>
    </row>
    <row r="1235" ht="15.75" customHeight="1">
      <c r="A1235" s="5">
        <v>16.0</v>
      </c>
      <c r="B1235" s="5">
        <v>20144.0</v>
      </c>
      <c r="C1235" s="5">
        <v>3750.0</v>
      </c>
      <c r="D1235" s="5">
        <v>2994.304065298844</v>
      </c>
      <c r="E1235" s="5">
        <v>3.4482758620689724</v>
      </c>
      <c r="F1235" s="5">
        <v>1.9724698556063578</v>
      </c>
      <c r="G1235" s="5">
        <v>3.363114646227122</v>
      </c>
      <c r="H1235" s="5">
        <v>-3.3543854794802264</v>
      </c>
      <c r="I1235" s="5">
        <v>1.602535978303071</v>
      </c>
      <c r="J1235" s="5">
        <v>1.4819514377992977</v>
      </c>
      <c r="K1235" s="5">
        <v>25.237782076274694</v>
      </c>
      <c r="L1235" s="9" t="b">
        <v>0</v>
      </c>
    </row>
    <row r="1236" ht="15.75" customHeight="1">
      <c r="A1236" s="5">
        <v>16.0</v>
      </c>
      <c r="B1236" s="5">
        <v>20151.0</v>
      </c>
      <c r="C1236" s="5">
        <v>3647.0</v>
      </c>
      <c r="D1236" s="5">
        <v>2955.3472137847025</v>
      </c>
      <c r="E1236" s="5">
        <v>0.7458563535911678</v>
      </c>
      <c r="F1236" s="5">
        <v>2.3983320288194703</v>
      </c>
      <c r="G1236" s="5">
        <v>3.3950415709222224</v>
      </c>
      <c r="H1236" s="5">
        <v>0.17250625424427568</v>
      </c>
      <c r="I1236" s="5">
        <v>0.8257026439032865</v>
      </c>
      <c r="J1236" s="5">
        <v>-1.7843594609287279</v>
      </c>
      <c r="K1236" s="5">
        <v>23.40343574484931</v>
      </c>
      <c r="L1236" s="9" t="b">
        <v>0</v>
      </c>
    </row>
    <row r="1237" ht="15.75" customHeight="1">
      <c r="A1237" s="5">
        <v>16.0</v>
      </c>
      <c r="B1237" s="5">
        <v>20152.0</v>
      </c>
      <c r="C1237" s="5">
        <v>3743.0</v>
      </c>
      <c r="D1237" s="5">
        <v>2951.3166728143337</v>
      </c>
      <c r="E1237" s="5">
        <v>1.4913232104121432</v>
      </c>
      <c r="F1237" s="5">
        <v>2.322639508209699</v>
      </c>
      <c r="G1237" s="5">
        <v>3.016578086899755</v>
      </c>
      <c r="H1237" s="5">
        <v>-1.9977688540035232</v>
      </c>
      <c r="I1237" s="5">
        <v>0.8419686248992418</v>
      </c>
      <c r="J1237" s="5">
        <v>-1.0561061304612758</v>
      </c>
      <c r="K1237" s="5">
        <v>26.82475027089277</v>
      </c>
      <c r="L1237" s="9" t="b">
        <v>0</v>
      </c>
    </row>
    <row r="1238" ht="15.75" customHeight="1">
      <c r="A1238" s="5">
        <v>16.0</v>
      </c>
      <c r="B1238" s="5">
        <v>20153.0</v>
      </c>
      <c r="C1238" s="5">
        <v>3749.0</v>
      </c>
      <c r="D1238" s="5">
        <v>3064.603764057088</v>
      </c>
      <c r="E1238" s="5">
        <v>0.34796573875803816</v>
      </c>
      <c r="F1238" s="5">
        <v>1.508355291207584</v>
      </c>
      <c r="G1238" s="5">
        <v>0.844987725420826</v>
      </c>
      <c r="H1238" s="5">
        <v>-3.302910326000552</v>
      </c>
      <c r="I1238" s="5">
        <v>-2.120639601310007</v>
      </c>
      <c r="J1238" s="5">
        <v>-6.2280356752908546</v>
      </c>
      <c r="K1238" s="5">
        <v>22.33229117479354</v>
      </c>
      <c r="L1238" s="9" t="b">
        <v>0</v>
      </c>
    </row>
    <row r="1239" ht="15.75" customHeight="1">
      <c r="A1239" s="5">
        <v>16.0</v>
      </c>
      <c r="B1239" s="5">
        <v>20154.0</v>
      </c>
      <c r="C1239" s="5">
        <v>3785.0</v>
      </c>
      <c r="D1239" s="5">
        <v>3056.3041605186845</v>
      </c>
      <c r="E1239" s="5">
        <v>0.9333333333333416</v>
      </c>
      <c r="F1239" s="5">
        <v>0.8796196590236762</v>
      </c>
      <c r="G1239" s="5">
        <v>-1.0928501965826816</v>
      </c>
      <c r="H1239" s="5">
        <v>2.070601177026843</v>
      </c>
      <c r="I1239" s="5">
        <v>-0.7643929371832395</v>
      </c>
      <c r="J1239" s="5">
        <v>-2.3669289154863105</v>
      </c>
      <c r="K1239" s="5">
        <v>23.842386137302807</v>
      </c>
      <c r="L1239" s="9" t="b">
        <v>0</v>
      </c>
    </row>
    <row r="1240" ht="15.75" customHeight="1">
      <c r="A1240" s="5">
        <v>16.0</v>
      </c>
      <c r="B1240" s="5">
        <v>20161.0</v>
      </c>
      <c r="C1240" s="5">
        <v>3777.0</v>
      </c>
      <c r="D1240" s="5">
        <v>2951.1094964483573</v>
      </c>
      <c r="E1240" s="5">
        <v>3.564573622155187</v>
      </c>
      <c r="F1240" s="5">
        <v>1.584298976164681</v>
      </c>
      <c r="G1240" s="5">
        <v>-0.8140330526547892</v>
      </c>
      <c r="H1240" s="5">
        <v>-0.14339152153016732</v>
      </c>
      <c r="I1240" s="5">
        <v>-0.8433673811268504</v>
      </c>
      <c r="J1240" s="5">
        <v>-1.669070025030137</v>
      </c>
      <c r="K1240" s="5">
        <v>27.98576279685987</v>
      </c>
      <c r="L1240" s="9" t="b">
        <v>0</v>
      </c>
    </row>
    <row r="1241" ht="15.75" customHeight="1">
      <c r="A1241" s="5">
        <v>16.0</v>
      </c>
      <c r="B1241" s="5">
        <v>20162.0</v>
      </c>
      <c r="C1241" s="5">
        <v>3781.0</v>
      </c>
      <c r="D1241" s="5">
        <v>3095.268330841848</v>
      </c>
      <c r="E1241" s="5">
        <v>1.0152284263959421</v>
      </c>
      <c r="F1241" s="5">
        <v>1.4652752801606308</v>
      </c>
      <c r="G1241" s="5">
        <v>-0.8573642280490681</v>
      </c>
      <c r="H1241" s="5">
        <v>4.877540229874566</v>
      </c>
      <c r="I1241" s="5">
        <v>0.875459889842672</v>
      </c>
      <c r="J1241" s="5">
        <v>0.03349126494343013</v>
      </c>
      <c r="K1241" s="5">
        <v>22.154191361226736</v>
      </c>
      <c r="L1241" s="9" t="b">
        <v>0</v>
      </c>
    </row>
    <row r="1242" ht="15.75" customHeight="1">
      <c r="A1242" s="5">
        <v>16.0</v>
      </c>
      <c r="B1242" s="5">
        <v>20163.0</v>
      </c>
      <c r="C1242" s="5">
        <v>3836.0</v>
      </c>
      <c r="D1242" s="5">
        <v>3202.340800768731</v>
      </c>
      <c r="E1242" s="5">
        <v>2.320618831688459</v>
      </c>
      <c r="F1242" s="5">
        <v>1.958438553393236</v>
      </c>
      <c r="G1242" s="5">
        <v>0.4500832621856521</v>
      </c>
      <c r="H1242" s="5">
        <v>4.494448461072786</v>
      </c>
      <c r="I1242" s="5">
        <v>2.8247995866110065</v>
      </c>
      <c r="J1242" s="5">
        <v>4.945439187921013</v>
      </c>
      <c r="K1242" s="5">
        <v>19.787375506040995</v>
      </c>
      <c r="L1242" s="9" t="b">
        <v>0</v>
      </c>
    </row>
    <row r="1243" ht="15.75" customHeight="1">
      <c r="A1243" s="5">
        <v>16.0</v>
      </c>
      <c r="B1243" s="5">
        <v>20164.0</v>
      </c>
      <c r="C1243" s="5">
        <v>3858.0</v>
      </c>
      <c r="D1243" s="5">
        <v>3135.342326985115</v>
      </c>
      <c r="E1243" s="5">
        <v>1.9286657859973522</v>
      </c>
      <c r="F1243" s="5">
        <v>2.2072716665592385</v>
      </c>
      <c r="G1243" s="5">
        <v>1.3276520075355622</v>
      </c>
      <c r="H1243" s="5">
        <v>2.5860700478520737</v>
      </c>
      <c r="I1243" s="5">
        <v>2.953666804317314</v>
      </c>
      <c r="J1243" s="5">
        <v>3.7180597415005536</v>
      </c>
      <c r="K1243" s="5">
        <v>23.048764621175465</v>
      </c>
      <c r="L1243" s="9" t="b">
        <v>0</v>
      </c>
    </row>
    <row r="1244" ht="15.75" customHeight="1">
      <c r="A1244" s="5">
        <v>16.0</v>
      </c>
      <c r="B1244" s="5">
        <v>20171.0</v>
      </c>
      <c r="C1244" s="5">
        <v>3851.0</v>
      </c>
      <c r="D1244" s="5">
        <v>3046.051949452975</v>
      </c>
      <c r="E1244" s="5">
        <v>1.9592268996558193</v>
      </c>
      <c r="F1244" s="5">
        <v>1.8059349859343967</v>
      </c>
      <c r="G1244" s="5">
        <v>0.22163600976971565</v>
      </c>
      <c r="H1244" s="5">
        <v>3.2171782551233763</v>
      </c>
      <c r="I1244" s="5">
        <v>3.7938092484807</v>
      </c>
      <c r="J1244" s="5">
        <v>4.63717662960755</v>
      </c>
      <c r="K1244" s="5">
        <v>26.425946238099506</v>
      </c>
      <c r="L1244" s="9" t="b">
        <v>0</v>
      </c>
    </row>
    <row r="1245" ht="15.75" customHeight="1">
      <c r="A1245" s="5">
        <v>16.0</v>
      </c>
      <c r="B1245" s="5">
        <v>20172.0</v>
      </c>
      <c r="C1245" s="5">
        <v>3861.0</v>
      </c>
      <c r="D1245" s="5">
        <v>3265.075982439908</v>
      </c>
      <c r="E1245" s="5">
        <v>2.115842369743448</v>
      </c>
      <c r="F1245" s="5">
        <v>2.081088471771273</v>
      </c>
      <c r="G1245" s="5">
        <v>0.6158131916106422</v>
      </c>
      <c r="H1245" s="5">
        <v>5.48603976934936</v>
      </c>
      <c r="I1245" s="5">
        <v>3.9459341333493985</v>
      </c>
      <c r="J1245" s="5">
        <v>3.0704742435067267</v>
      </c>
      <c r="K1245" s="5">
        <v>18.25145940753188</v>
      </c>
      <c r="L1245" s="9" t="b">
        <v>0</v>
      </c>
    </row>
    <row r="1246" ht="15.75" customHeight="1">
      <c r="A1246" s="5">
        <v>16.0</v>
      </c>
      <c r="B1246" s="5">
        <v>20173.0</v>
      </c>
      <c r="C1246" s="5">
        <v>3861.0</v>
      </c>
      <c r="D1246" s="5">
        <v>3283.8877584565867</v>
      </c>
      <c r="E1246" s="5">
        <v>0.651720542231482</v>
      </c>
      <c r="F1246" s="5">
        <v>1.663863899407029</v>
      </c>
      <c r="G1246" s="5">
        <v>-0.2945746539862071</v>
      </c>
      <c r="H1246" s="5">
        <v>2.5464796772498577</v>
      </c>
      <c r="I1246" s="5">
        <v>3.458941937393667</v>
      </c>
      <c r="J1246" s="5">
        <v>0.6341423507826605</v>
      </c>
      <c r="K1246" s="5">
        <v>17.57405502235112</v>
      </c>
      <c r="L1246" s="9" t="b">
        <v>0</v>
      </c>
    </row>
    <row r="1247" ht="15.75" customHeight="1">
      <c r="A1247" s="5">
        <v>16.0</v>
      </c>
      <c r="B1247" s="5">
        <v>20174.0</v>
      </c>
      <c r="C1247" s="5">
        <v>3873.0</v>
      </c>
      <c r="D1247" s="5">
        <v>3376.8161630564605</v>
      </c>
      <c r="E1247" s="5">
        <v>0.38880248833592645</v>
      </c>
      <c r="F1247" s="5">
        <v>1.2788980749916725</v>
      </c>
      <c r="G1247" s="5">
        <v>-0.9283735915675659</v>
      </c>
      <c r="H1247" s="5">
        <v>7.701673721336255</v>
      </c>
      <c r="I1247" s="5">
        <v>4.737842855764711</v>
      </c>
      <c r="J1247" s="5">
        <v>1.784176051447397</v>
      </c>
      <c r="K1247" s="5">
        <v>14.693836234615398</v>
      </c>
      <c r="L1247" s="9" t="b">
        <v>0</v>
      </c>
    </row>
    <row r="1248" ht="15.75" customHeight="1">
      <c r="A1248" s="5">
        <v>16.0</v>
      </c>
      <c r="B1248" s="5">
        <v>20181.0</v>
      </c>
      <c r="C1248" s="5">
        <v>3863.0</v>
      </c>
      <c r="D1248" s="5">
        <v>3360.0295268674977</v>
      </c>
      <c r="E1248" s="5">
        <v>0.31160737470787847</v>
      </c>
      <c r="F1248" s="5">
        <v>0.8669931937546873</v>
      </c>
      <c r="G1248" s="5">
        <v>-0.9389417921797094</v>
      </c>
      <c r="H1248" s="5">
        <v>10.307689514977202</v>
      </c>
      <c r="I1248" s="5">
        <v>6.510470670728168</v>
      </c>
      <c r="J1248" s="5">
        <v>2.716661422247468</v>
      </c>
      <c r="K1248" s="5">
        <v>14.969227773465832</v>
      </c>
      <c r="L1248" s="9" t="b">
        <v>0</v>
      </c>
    </row>
    <row r="1249" ht="15.75" customHeight="1">
      <c r="A1249" s="5">
        <v>16.0</v>
      </c>
      <c r="B1249" s="5">
        <v>20182.0</v>
      </c>
      <c r="C1249" s="5">
        <v>3899.0</v>
      </c>
      <c r="D1249" s="5">
        <v>3571.2521727235344</v>
      </c>
      <c r="E1249" s="5">
        <v>0.984200984200978</v>
      </c>
      <c r="F1249" s="5">
        <v>0.5840828473690698</v>
      </c>
      <c r="G1249" s="5">
        <v>-1.4970056244022032</v>
      </c>
      <c r="H1249" s="5">
        <v>9.3773067435579</v>
      </c>
      <c r="I1249" s="5">
        <v>7.483287414280303</v>
      </c>
      <c r="J1249" s="5">
        <v>3.5373532809309047</v>
      </c>
      <c r="K1249" s="5">
        <v>9.177392450181298</v>
      </c>
      <c r="L1249" s="9" t="b">
        <v>0</v>
      </c>
    </row>
    <row r="1250" ht="15.75" customHeight="1">
      <c r="A1250" s="5">
        <v>16.0</v>
      </c>
      <c r="B1250" s="5">
        <v>20183.0</v>
      </c>
      <c r="C1250" s="5">
        <v>3909.0</v>
      </c>
      <c r="D1250" s="5">
        <v>3460.158426218403</v>
      </c>
      <c r="E1250" s="5">
        <v>1.243201243201253</v>
      </c>
      <c r="F1250" s="5">
        <v>0.7319530226115125</v>
      </c>
      <c r="G1250" s="5">
        <v>-0.9319108767955164</v>
      </c>
      <c r="H1250" s="5">
        <v>5.367743380019263</v>
      </c>
      <c r="I1250" s="5">
        <v>8.188603339972655</v>
      </c>
      <c r="J1250" s="5">
        <v>4.729661402578988</v>
      </c>
      <c r="K1250" s="5">
        <v>12.971705872789618</v>
      </c>
      <c r="L1250" s="9" t="b">
        <v>0</v>
      </c>
    </row>
    <row r="1251" ht="15.75" customHeight="1">
      <c r="A1251" s="5">
        <v>16.0</v>
      </c>
      <c r="B1251" s="5">
        <v>20184.0</v>
      </c>
      <c r="C1251" s="5">
        <v>3994.0</v>
      </c>
      <c r="D1251" s="5">
        <v>3783.693430499543</v>
      </c>
      <c r="E1251" s="5">
        <v>3.124193131939057</v>
      </c>
      <c r="F1251" s="5">
        <v>1.4158006835122952</v>
      </c>
      <c r="G1251" s="5">
        <v>0.13690260852062264</v>
      </c>
      <c r="H1251" s="5">
        <v>12.04913882770584</v>
      </c>
      <c r="I1251" s="5">
        <v>9.27546961656505</v>
      </c>
      <c r="J1251" s="5">
        <v>4.5376267608003396</v>
      </c>
      <c r="K1251" s="5">
        <v>5.558234919489524</v>
      </c>
      <c r="L1251" s="9" t="b">
        <v>0</v>
      </c>
    </row>
    <row r="1252" ht="15.75" customHeight="1">
      <c r="A1252" s="5">
        <v>16.0</v>
      </c>
      <c r="B1252" s="5">
        <v>20191.0</v>
      </c>
      <c r="C1252" s="5">
        <v>4243.0</v>
      </c>
      <c r="D1252" s="5">
        <v>3843.652394834028</v>
      </c>
      <c r="E1252" s="5">
        <v>9.836914315298984</v>
      </c>
      <c r="F1252" s="5">
        <v>3.7971274186600716</v>
      </c>
      <c r="G1252" s="5">
        <v>2.9301342249053843</v>
      </c>
      <c r="H1252" s="5">
        <v>14.393411251281595</v>
      </c>
      <c r="I1252" s="5">
        <v>10.296900050641149</v>
      </c>
      <c r="J1252" s="5">
        <v>3.786429379912981</v>
      </c>
      <c r="K1252" s="5">
        <v>10.389795021597315</v>
      </c>
      <c r="L1252" s="9" t="b">
        <v>0</v>
      </c>
    </row>
    <row r="1253" ht="15.75" customHeight="1">
      <c r="A1253" s="5">
        <v>16.0</v>
      </c>
      <c r="B1253" s="5">
        <v>20192.0</v>
      </c>
      <c r="C1253" s="5">
        <v>4496.0</v>
      </c>
      <c r="D1253" s="5">
        <v>4154.84461713761</v>
      </c>
      <c r="E1253" s="5">
        <v>15.311618363683</v>
      </c>
      <c r="F1253" s="5">
        <v>7.378981763530577</v>
      </c>
      <c r="G1253" s="5">
        <v>6.794898916161507</v>
      </c>
      <c r="H1253" s="5">
        <v>16.34139557187899</v>
      </c>
      <c r="I1253" s="5">
        <v>12.037922257721421</v>
      </c>
      <c r="J1253" s="5">
        <v>4.554634843441118</v>
      </c>
      <c r="K1253" s="5">
        <v>8.211026266908195</v>
      </c>
      <c r="L1253" s="9" t="b">
        <v>0</v>
      </c>
    </row>
    <row r="1254" ht="15.75" customHeight="1">
      <c r="A1254" s="5">
        <v>16.0</v>
      </c>
      <c r="B1254" s="5">
        <v>20193.0</v>
      </c>
      <c r="C1254" s="5">
        <v>4539.0</v>
      </c>
      <c r="D1254" s="5">
        <v>4317.52878620637</v>
      </c>
      <c r="E1254" s="5">
        <v>16.11665387567154</v>
      </c>
      <c r="F1254" s="5">
        <v>11.097344921648148</v>
      </c>
      <c r="G1254" s="5">
        <v>10.365391899036634</v>
      </c>
      <c r="H1254" s="5">
        <v>24.778355623588723</v>
      </c>
      <c r="I1254" s="5">
        <v>16.890575318613784</v>
      </c>
      <c r="J1254" s="5">
        <v>8.70197197864113</v>
      </c>
      <c r="K1254" s="5">
        <v>5.129582795167131</v>
      </c>
      <c r="L1254" s="9" t="b">
        <v>0</v>
      </c>
    </row>
    <row r="1255" ht="15.75" customHeight="1">
      <c r="A1255" s="5">
        <v>16.0</v>
      </c>
      <c r="B1255" s="5">
        <v>20194.0</v>
      </c>
      <c r="C1255" s="5">
        <v>4688.0</v>
      </c>
      <c r="D1255" s="5">
        <v>4369.241766018286</v>
      </c>
      <c r="E1255" s="5">
        <v>17.376064096144205</v>
      </c>
      <c r="F1255" s="5">
        <v>14.660312662699436</v>
      </c>
      <c r="G1255" s="5">
        <v>13.244511979187141</v>
      </c>
      <c r="H1255" s="5">
        <v>15.47557555267991</v>
      </c>
      <c r="I1255" s="5">
        <v>17.747184499857305</v>
      </c>
      <c r="J1255" s="5">
        <v>8.471714883292254</v>
      </c>
      <c r="K1255" s="5">
        <v>7.295504599009628</v>
      </c>
      <c r="L1255" s="9" t="b">
        <v>0</v>
      </c>
    </row>
    <row r="1256" ht="15.75" customHeight="1">
      <c r="A1256" s="5">
        <v>16.0</v>
      </c>
      <c r="B1256" s="5">
        <v>20201.0</v>
      </c>
      <c r="C1256" s="5">
        <v>4850.545708861504</v>
      </c>
      <c r="D1256" s="5">
        <v>4600.566987764206</v>
      </c>
      <c r="E1256" s="5">
        <v>14.318777017711625</v>
      </c>
      <c r="F1256" s="5">
        <v>15.780778338302596</v>
      </c>
      <c r="G1256" s="5">
        <v>11.983650919642525</v>
      </c>
      <c r="H1256" s="5">
        <v>19.692587028616092</v>
      </c>
      <c r="I1256" s="5">
        <v>19.07197844419093</v>
      </c>
      <c r="J1256" s="5">
        <v>8.77507839354978</v>
      </c>
      <c r="K1256" s="5">
        <v>5.433650281848923</v>
      </c>
      <c r="L1256" s="9" t="b">
        <v>0</v>
      </c>
    </row>
    <row r="1257" ht="15.75" customHeight="1">
      <c r="A1257" s="5">
        <v>16.0</v>
      </c>
      <c r="B1257" s="5">
        <v>20202.0</v>
      </c>
      <c r="C1257" s="5">
        <v>4885.602845312577</v>
      </c>
      <c r="D1257" s="5">
        <v>4685.1783422591525</v>
      </c>
      <c r="E1257" s="5">
        <v>8.665543712468349</v>
      </c>
      <c r="F1257" s="5">
        <v>14.119259675498935</v>
      </c>
      <c r="G1257" s="5">
        <v>6.740277911968358</v>
      </c>
      <c r="H1257" s="5">
        <v>12.764225235621552</v>
      </c>
      <c r="I1257" s="5">
        <v>18.17768586012657</v>
      </c>
      <c r="J1257" s="5">
        <v>6.139763602405148</v>
      </c>
      <c r="K1257" s="5">
        <v>4.277841491019574</v>
      </c>
      <c r="L1257" s="9" t="b">
        <v>0</v>
      </c>
    </row>
    <row r="1258" ht="15.75" customHeight="1">
      <c r="A1258" s="5">
        <v>16.0</v>
      </c>
      <c r="B1258" s="5">
        <v>20203.0</v>
      </c>
      <c r="C1258" s="5">
        <v>5112.931791515176</v>
      </c>
      <c r="D1258" s="5">
        <v>4539.4044176076495</v>
      </c>
      <c r="E1258" s="5">
        <v>12.644454538778938</v>
      </c>
      <c r="F1258" s="5">
        <v>13.25120984127578</v>
      </c>
      <c r="G1258" s="5">
        <v>2.153864919627633</v>
      </c>
      <c r="H1258" s="5">
        <v>5.138949672093163</v>
      </c>
      <c r="I1258" s="5">
        <v>13.267834372252679</v>
      </c>
      <c r="J1258" s="5">
        <v>-3.6227409463611053</v>
      </c>
      <c r="K1258" s="5">
        <v>12.634418993004948</v>
      </c>
      <c r="L1258" s="9" t="b">
        <v>0</v>
      </c>
    </row>
    <row r="1259" ht="15.75" customHeight="1">
      <c r="A1259" s="5">
        <v>16.0</v>
      </c>
      <c r="B1259" s="5">
        <v>20204.0</v>
      </c>
      <c r="C1259" s="5">
        <v>5350.012250977429</v>
      </c>
      <c r="D1259" s="5">
        <v>4746.729097969169</v>
      </c>
      <c r="E1259" s="5">
        <v>14.121421735866658</v>
      </c>
      <c r="F1259" s="5">
        <v>12.437549251206395</v>
      </c>
      <c r="G1259" s="5">
        <v>-2.222763411493041</v>
      </c>
      <c r="H1259" s="5">
        <v>8.639653106101486</v>
      </c>
      <c r="I1259" s="5">
        <v>11.558853760608073</v>
      </c>
      <c r="J1259" s="5">
        <v>-6.188330739249231</v>
      </c>
      <c r="K1259" s="5">
        <v>12.709449824435271</v>
      </c>
      <c r="L1259" s="9" t="b">
        <v>0</v>
      </c>
    </row>
    <row r="1260" ht="15.75" customHeight="1">
      <c r="A1260" s="5">
        <v>16.0</v>
      </c>
      <c r="B1260" s="5">
        <v>20211.0</v>
      </c>
      <c r="C1260" s="5">
        <v>5315.944843016614</v>
      </c>
      <c r="D1260" s="5">
        <v>4726.996344715452</v>
      </c>
      <c r="E1260" s="5">
        <v>9.59477885766271</v>
      </c>
      <c r="F1260" s="5">
        <v>11.256549711194166</v>
      </c>
      <c r="G1260" s="5">
        <v>-4.52422862710843</v>
      </c>
      <c r="H1260" s="5">
        <v>2.7481255525134474</v>
      </c>
      <c r="I1260" s="5">
        <v>7.322738391582411</v>
      </c>
      <c r="J1260" s="5">
        <v>-11.749240052608517</v>
      </c>
      <c r="K1260" s="5">
        <v>12.459254362647787</v>
      </c>
      <c r="L1260" s="9" t="b">
        <v>0</v>
      </c>
    </row>
    <row r="1261" ht="15.75" customHeight="1">
      <c r="A1261" s="5">
        <v>16.0</v>
      </c>
      <c r="B1261" s="5">
        <v>20212.0</v>
      </c>
      <c r="C1261" s="5">
        <v>5683.830146687897</v>
      </c>
      <c r="D1261" s="5">
        <v>5069.574490175876</v>
      </c>
      <c r="E1261" s="5">
        <v>16.338358369452145</v>
      </c>
      <c r="F1261" s="5">
        <v>13.174753375440117</v>
      </c>
      <c r="G1261" s="5">
        <v>-0.9445063000588174</v>
      </c>
      <c r="H1261" s="5">
        <v>8.204514744925827</v>
      </c>
      <c r="I1261" s="5">
        <v>6.18281076890848</v>
      </c>
      <c r="J1261" s="5">
        <v>-11.99487509121809</v>
      </c>
      <c r="K1261" s="5">
        <v>12.116513086105375</v>
      </c>
      <c r="L1261" s="9" t="b">
        <v>0</v>
      </c>
    </row>
    <row r="1262" ht="15.75" customHeight="1">
      <c r="A1262" s="5">
        <v>16.0</v>
      </c>
      <c r="B1262" s="5">
        <v>20213.0</v>
      </c>
      <c r="C1262" s="5">
        <v>6047.19727555356</v>
      </c>
      <c r="D1262" s="5">
        <v>5275.104464690857</v>
      </c>
      <c r="E1262" s="5">
        <v>18.272598230017103</v>
      </c>
      <c r="F1262" s="5">
        <v>14.581789298249658</v>
      </c>
      <c r="G1262" s="5">
        <v>1.3305794569738776</v>
      </c>
      <c r="H1262" s="5">
        <v>16.206972972699685</v>
      </c>
      <c r="I1262" s="5">
        <v>8.94981659406011</v>
      </c>
      <c r="J1262" s="5">
        <v>-4.318017778192569</v>
      </c>
      <c r="K1262" s="5">
        <v>14.6365406795399</v>
      </c>
      <c r="L1262" s="9" t="b">
        <v>0</v>
      </c>
    </row>
    <row r="1263" ht="15.75" customHeight="1">
      <c r="A1263" s="5">
        <v>16.0</v>
      </c>
      <c r="B1263" s="5">
        <v>20214.0</v>
      </c>
      <c r="C1263" s="5">
        <v>6437.952474266431</v>
      </c>
      <c r="D1263" s="5">
        <v>5457.352502431822</v>
      </c>
      <c r="E1263" s="5">
        <v>20.335284710614232</v>
      </c>
      <c r="F1263" s="5">
        <v>16.135255041936553</v>
      </c>
      <c r="G1263" s="5">
        <v>3.697705790730158</v>
      </c>
      <c r="H1263" s="5">
        <v>14.970801783625799</v>
      </c>
      <c r="I1263" s="5">
        <v>10.532603763441188</v>
      </c>
      <c r="J1263" s="5">
        <v>-1.026249997166886</v>
      </c>
      <c r="K1263" s="5">
        <v>17.968419144587934</v>
      </c>
      <c r="L1263" s="9" t="b">
        <v>0</v>
      </c>
    </row>
    <row r="1264" ht="15.75" customHeight="1">
      <c r="A1264" s="5">
        <v>16.0</v>
      </c>
      <c r="B1264" s="5">
        <v>20221.0</v>
      </c>
      <c r="C1264" s="5">
        <v>6884.962013515116</v>
      </c>
      <c r="D1264" s="5">
        <v>5698.985220598077</v>
      </c>
      <c r="E1264" s="5">
        <v>29.51530192341385</v>
      </c>
      <c r="F1264" s="5">
        <v>21.115385808374334</v>
      </c>
      <c r="G1264" s="5">
        <v>9.858836097180168</v>
      </c>
      <c r="H1264" s="5">
        <v>20.562505341669237</v>
      </c>
      <c r="I1264" s="5">
        <v>14.986198710730136</v>
      </c>
      <c r="J1264" s="5">
        <v>7.663460319147725</v>
      </c>
      <c r="K1264" s="5">
        <v>20.81031529315982</v>
      </c>
      <c r="L1264" s="9" t="b">
        <v>0</v>
      </c>
    </row>
    <row r="1265" ht="15.75" customHeight="1">
      <c r="A1265" s="5">
        <v>16.0</v>
      </c>
      <c r="B1265" s="5">
        <v>20222.0</v>
      </c>
      <c r="C1265" s="5">
        <v>7203.402137327123</v>
      </c>
      <c r="D1265" s="5">
        <v>6147.828973141308</v>
      </c>
      <c r="E1265" s="5">
        <v>26.735000016225264</v>
      </c>
      <c r="F1265" s="5">
        <v>23.714546220067614</v>
      </c>
      <c r="G1265" s="5">
        <v>10.539792844627497</v>
      </c>
      <c r="H1265" s="5">
        <v>21.269131858205004</v>
      </c>
      <c r="I1265" s="5">
        <v>18.252352989049932</v>
      </c>
      <c r="J1265" s="5">
        <v>12.069542220141452</v>
      </c>
      <c r="K1265" s="5">
        <v>17.169852460070256</v>
      </c>
      <c r="L1265" s="9" t="b">
        <v>0</v>
      </c>
    </row>
    <row r="1266" ht="15.75" customHeight="1">
      <c r="A1266" s="5">
        <v>16.0</v>
      </c>
      <c r="B1266" s="5">
        <v>20223.0</v>
      </c>
      <c r="C1266" s="5">
        <v>7457.668968996836</v>
      </c>
      <c r="D1266" s="5">
        <v>6394.448208145987</v>
      </c>
      <c r="E1266" s="5">
        <v>23.324386970890764</v>
      </c>
      <c r="F1266" s="5">
        <v>24.977493405286033</v>
      </c>
      <c r="G1266" s="5">
        <v>10.395704107036375</v>
      </c>
      <c r="H1266" s="5">
        <v>21.219366383121073</v>
      </c>
      <c r="I1266" s="5">
        <v>19.505451341655277</v>
      </c>
      <c r="J1266" s="5">
        <v>10.555634747595168</v>
      </c>
      <c r="K1266" s="5">
        <v>16.6272479851568</v>
      </c>
      <c r="L1266" s="9" t="b">
        <v>0</v>
      </c>
    </row>
    <row r="1267" ht="15.75" customHeight="1">
      <c r="A1267" s="5">
        <v>16.0</v>
      </c>
      <c r="B1267" s="5">
        <v>20224.0</v>
      </c>
      <c r="C1267" s="5">
        <v>7468.296042367977</v>
      </c>
      <c r="D1267" s="5">
        <v>6205.553378516272</v>
      </c>
      <c r="E1267" s="5">
        <v>16.004212087927037</v>
      </c>
      <c r="F1267" s="5">
        <v>23.894725249614233</v>
      </c>
      <c r="G1267" s="5">
        <v>7.75947020767768</v>
      </c>
      <c r="H1267" s="5">
        <v>13.709960566979085</v>
      </c>
      <c r="I1267" s="5">
        <v>19.1902410374936</v>
      </c>
      <c r="J1267" s="5">
        <v>8.657637274052412</v>
      </c>
      <c r="K1267" s="5">
        <v>20.348590799707587</v>
      </c>
      <c r="L1267" s="9" t="b">
        <v>0</v>
      </c>
    </row>
    <row r="1268" ht="15.75" customHeight="1">
      <c r="A1268" s="5">
        <v>16.0</v>
      </c>
      <c r="B1268" s="5">
        <v>20231.0</v>
      </c>
      <c r="C1268" s="5">
        <v>7565.667946850626</v>
      </c>
      <c r="D1268" s="5">
        <v>6375.522759128992</v>
      </c>
      <c r="E1268" s="5">
        <v>9.886850965906424</v>
      </c>
      <c r="F1268" s="5">
        <v>18.987612510237373</v>
      </c>
      <c r="G1268" s="5">
        <v>-2.1277732981369617</v>
      </c>
      <c r="H1268" s="5">
        <v>11.871193069349918</v>
      </c>
      <c r="I1268" s="5">
        <v>17.01741296941377</v>
      </c>
      <c r="J1268" s="5">
        <v>2.031214258683633</v>
      </c>
      <c r="K1268" s="5">
        <v>18.66741336649591</v>
      </c>
      <c r="L1268" s="9" t="b">
        <v>0</v>
      </c>
    </row>
    <row r="1269" ht="15.75" customHeight="1">
      <c r="A1269" s="5">
        <v>16.0</v>
      </c>
      <c r="B1269" s="5">
        <v>20232.0</v>
      </c>
      <c r="C1269" s="5">
        <v>7473.005806874411</v>
      </c>
      <c r="D1269" s="5">
        <v>6459.2200627465245</v>
      </c>
      <c r="E1269" s="5">
        <v>3.742726900532678</v>
      </c>
      <c r="F1269" s="5">
        <v>13.239544231314229</v>
      </c>
      <c r="G1269" s="5">
        <v>-10.475001988753386</v>
      </c>
      <c r="H1269" s="5">
        <v>5.0650577783738715</v>
      </c>
      <c r="I1269" s="5">
        <v>12.966394449455986</v>
      </c>
      <c r="J1269" s="5">
        <v>-5.2859585395939455</v>
      </c>
      <c r="K1269" s="5">
        <v>15.695172703201177</v>
      </c>
      <c r="L1269" s="9" t="b">
        <v>0</v>
      </c>
    </row>
    <row r="1270" ht="15.75" customHeight="1">
      <c r="A1270" s="5">
        <v>16.0</v>
      </c>
      <c r="B1270" s="5">
        <v>20233.0</v>
      </c>
      <c r="C1270" s="5">
        <v>7614.862415614641</v>
      </c>
      <c r="D1270" s="5">
        <v>6698.253598042214</v>
      </c>
      <c r="E1270" s="5">
        <v>2.1078093875082526</v>
      </c>
      <c r="F1270" s="5">
        <v>7.935399835468601</v>
      </c>
      <c r="G1270" s="5">
        <v>-17.042093569817432</v>
      </c>
      <c r="H1270" s="5">
        <v>4.751080625052295</v>
      </c>
      <c r="I1270" s="5">
        <v>8.849323009938791</v>
      </c>
      <c r="J1270" s="5">
        <v>-10.656128331716486</v>
      </c>
      <c r="K1270" s="5">
        <v>13.68429552802144</v>
      </c>
      <c r="L1270" s="9" t="b">
        <v>0</v>
      </c>
    </row>
    <row r="1271" ht="15.75" customHeight="1">
      <c r="A1271" s="5">
        <v>16.0</v>
      </c>
      <c r="B1271" s="5">
        <v>20234.0</v>
      </c>
      <c r="C1271" s="5">
        <v>7655.291105616113</v>
      </c>
      <c r="D1271" s="5">
        <v>7028.515141783659</v>
      </c>
      <c r="E1271" s="5">
        <v>2.503851778066979</v>
      </c>
      <c r="F1271" s="5">
        <v>4.560309758003587</v>
      </c>
      <c r="G1271" s="5">
        <v>-19.334415491610645</v>
      </c>
      <c r="H1271" s="5">
        <v>13.26169824139285</v>
      </c>
      <c r="I1271" s="5">
        <v>8.737257428542232</v>
      </c>
      <c r="J1271" s="5">
        <v>-10.452983608951367</v>
      </c>
      <c r="K1271" s="5">
        <v>8.917615615656116</v>
      </c>
      <c r="L1271" s="9" t="b">
        <v>0</v>
      </c>
    </row>
    <row r="1272" ht="15.75" customHeight="1">
      <c r="A1272" s="5">
        <v>16.0</v>
      </c>
      <c r="B1272" s="5">
        <v>20241.0</v>
      </c>
      <c r="C1272" s="5">
        <v>7730.233832419432</v>
      </c>
      <c r="D1272" s="5">
        <v>7214.910502541246</v>
      </c>
      <c r="E1272" s="5">
        <v>2.1751666439089323</v>
      </c>
      <c r="F1272" s="5">
        <v>2.6323886775042142</v>
      </c>
      <c r="G1272" s="5">
        <v>-16.35522383273316</v>
      </c>
      <c r="H1272" s="5">
        <v>13.16578694994619</v>
      </c>
      <c r="I1272" s="5">
        <v>9.060905898691301</v>
      </c>
      <c r="J1272" s="5">
        <v>-7.956507070722468</v>
      </c>
      <c r="K1272" s="5">
        <v>7.142477092358623</v>
      </c>
      <c r="L1272" s="9" t="b">
        <v>0</v>
      </c>
    </row>
    <row r="1273" ht="15.75" customHeight="1">
      <c r="A1273" s="5">
        <v>16.0</v>
      </c>
      <c r="B1273" s="5">
        <v>20242.0</v>
      </c>
      <c r="C1273" s="5">
        <v>8299.1726164312</v>
      </c>
      <c r="D1273" s="5">
        <v>7614.204362271264</v>
      </c>
      <c r="E1273" s="5">
        <v>11.055348154510991</v>
      </c>
      <c r="F1273" s="5">
        <v>4.460543990998793</v>
      </c>
      <c r="G1273" s="5">
        <v>-8.779000240315437</v>
      </c>
      <c r="H1273" s="5">
        <v>17.88117277790391</v>
      </c>
      <c r="I1273" s="5">
        <v>12.26493464857381</v>
      </c>
      <c r="J1273" s="5">
        <v>-0.7014598008821764</v>
      </c>
      <c r="K1273" s="5">
        <v>8.995926843702629</v>
      </c>
      <c r="L1273" s="9" t="b">
        <v>0</v>
      </c>
    </row>
    <row r="1274" ht="15.75" customHeight="1">
      <c r="A1274" s="5">
        <v>16.0</v>
      </c>
      <c r="B1274" s="5">
        <v>20243.0</v>
      </c>
      <c r="C1274" s="5">
        <v>8460.029018456848</v>
      </c>
      <c r="D1274" s="5">
        <v>8030.057052560532</v>
      </c>
      <c r="E1274" s="5">
        <v>11.098908380920335</v>
      </c>
      <c r="F1274" s="5">
        <v>6.708318739351814</v>
      </c>
      <c r="G1274" s="5">
        <v>-1.2270810961167875</v>
      </c>
      <c r="H1274" s="5">
        <v>19.88284610346167</v>
      </c>
      <c r="I1274" s="5">
        <v>16.047876018176154</v>
      </c>
      <c r="J1274" s="5">
        <v>7.198553008237363</v>
      </c>
      <c r="K1274" s="5">
        <v>5.354531892886261</v>
      </c>
      <c r="L1274" s="9" t="b">
        <v>0</v>
      </c>
    </row>
    <row r="1275" ht="15.75" customHeight="1">
      <c r="A1275" s="5">
        <v>16.0</v>
      </c>
      <c r="B1275" s="5">
        <v>20244.0</v>
      </c>
      <c r="C1275" s="5">
        <v>8734.791416251546</v>
      </c>
      <c r="D1275" s="5">
        <v>8133.758734575519</v>
      </c>
      <c r="E1275" s="5">
        <v>14.101361995802941</v>
      </c>
      <c r="F1275" s="5">
        <v>9.607696293785803</v>
      </c>
      <c r="G1275" s="5">
        <v>5.047386535782216</v>
      </c>
      <c r="H1275" s="5">
        <v>15.725136397890394</v>
      </c>
      <c r="I1275" s="5">
        <v>16.66373555730054</v>
      </c>
      <c r="J1275" s="5">
        <v>7.926478128758308</v>
      </c>
      <c r="K1275" s="5">
        <v>7.389359597317746</v>
      </c>
      <c r="L1275" s="9" t="b">
        <v>0</v>
      </c>
    </row>
    <row r="1276" ht="15.75" customHeight="1">
      <c r="A1276" s="5">
        <v>16.0</v>
      </c>
      <c r="B1276" s="5">
        <v>20251.0</v>
      </c>
      <c r="C1276" s="5">
        <v>9505.60267497224</v>
      </c>
      <c r="D1276" s="5">
        <v>7888.290967236624</v>
      </c>
      <c r="E1276" s="5">
        <v>22.966560663497404</v>
      </c>
      <c r="F1276" s="5">
        <v>14.805544798682922</v>
      </c>
      <c r="G1276" s="5">
        <v>12.173156121178707</v>
      </c>
      <c r="H1276" s="5">
        <v>9.333178345846417</v>
      </c>
      <c r="I1276" s="5">
        <v>15.705583406275597</v>
      </c>
      <c r="J1276" s="5">
        <v>6.644677507584296</v>
      </c>
      <c r="K1276" s="5">
        <v>20.50268828131454</v>
      </c>
      <c r="L1276" s="9" t="b">
        <v>0</v>
      </c>
    </row>
    <row r="1277" ht="15.75" customHeight="1">
      <c r="A1277" s="5">
        <v>16.0</v>
      </c>
      <c r="B1277" s="5">
        <v>20252.0</v>
      </c>
      <c r="C1277" s="5">
        <v>9536.016294127312</v>
      </c>
      <c r="D1277" s="5">
        <v>8075.312652495966</v>
      </c>
      <c r="E1277" s="5">
        <v>14.903216680266818</v>
      </c>
      <c r="F1277" s="5">
        <v>15.767511930121879</v>
      </c>
      <c r="G1277" s="5">
        <v>11.306967939123087</v>
      </c>
      <c r="H1277" s="5">
        <v>6.0558959056775</v>
      </c>
      <c r="I1277" s="5">
        <v>12.749264188218993</v>
      </c>
      <c r="J1277" s="5">
        <v>0.48432953964518255</v>
      </c>
      <c r="K1277" s="5">
        <v>18.08850882299724</v>
      </c>
      <c r="L1277" s="9" t="b">
        <v>0</v>
      </c>
    </row>
    <row r="1278" ht="15.75" customHeight="1">
      <c r="A1278" s="5">
        <v>16.0</v>
      </c>
      <c r="B1278" s="5">
        <v>20253.0</v>
      </c>
      <c r="C1278" s="5">
        <v>9375.981822597552</v>
      </c>
      <c r="D1278" s="5">
        <v>8641.58633564598</v>
      </c>
      <c r="E1278" s="5">
        <v>10.826828160310242</v>
      </c>
      <c r="F1278" s="5">
        <v>15.699491874969354</v>
      </c>
      <c r="G1278" s="5">
        <v>8.99117313561754</v>
      </c>
      <c r="H1278" s="5">
        <v>7.615503589609629</v>
      </c>
      <c r="I1278" s="5">
        <v>9.682428559755984</v>
      </c>
      <c r="J1278" s="5">
        <v>-6.365447458420171</v>
      </c>
      <c r="K1278" s="5">
        <v>8.498387430583666</v>
      </c>
      <c r="L1278" s="9" t="b">
        <v>0</v>
      </c>
    </row>
    <row r="1279" ht="15.75" customHeight="1">
      <c r="A1279" s="5">
        <v>16.0</v>
      </c>
      <c r="B1279" s="5">
        <v>20254.0</v>
      </c>
      <c r="C1279" s="5">
        <v>8985.413882506984</v>
      </c>
      <c r="D1279" s="5">
        <v>8787.374370560889</v>
      </c>
      <c r="E1279" s="5">
        <v>2.869243858406745</v>
      </c>
      <c r="F1279" s="5">
        <v>12.891462340620306</v>
      </c>
      <c r="G1279" s="5">
        <v>3.2837660468345025</v>
      </c>
      <c r="H1279" s="5">
        <v>8.035837517615763</v>
      </c>
      <c r="I1279" s="5">
        <v>7.760103839687325</v>
      </c>
      <c r="J1279" s="5">
        <v>-8.903631717613216</v>
      </c>
      <c r="K1279" s="5">
        <v>2.253682426568271</v>
      </c>
      <c r="L1279" s="9" t="b">
        <v>0</v>
      </c>
    </row>
    <row r="1280" ht="15.75" customHeight="1">
      <c r="A1280" s="5">
        <v>16.0</v>
      </c>
      <c r="B1280" s="5">
        <v>20261.0</v>
      </c>
      <c r="C1280" s="5">
        <v>9504.331349847664</v>
      </c>
      <c r="D1280" s="5">
        <v>8553.68187391266</v>
      </c>
      <c r="E1280" s="5">
        <v>-0.013374482061234705</v>
      </c>
      <c r="F1280" s="5">
        <v>7.146478554230646</v>
      </c>
      <c r="G1280" s="5">
        <v>-7.6590662444522755</v>
      </c>
      <c r="H1280" s="5">
        <v>8.43517194585852</v>
      </c>
      <c r="I1280" s="5">
        <v>7.535602239690352</v>
      </c>
      <c r="J1280" s="5">
        <v>-8.169981166585245</v>
      </c>
      <c r="K1280" s="5">
        <v>11.113921349288546</v>
      </c>
      <c r="L1280" s="9" t="b">
        <v>0</v>
      </c>
    </row>
    <row r="1281" ht="15.75" customHeight="1">
      <c r="A1281" s="5">
        <v>16.0</v>
      </c>
      <c r="B1281" s="5">
        <v>20262.0</v>
      </c>
      <c r="C1281" s="5">
        <v>9457.851066538282</v>
      </c>
      <c r="D1281" s="5">
        <v>8633.38404450276</v>
      </c>
      <c r="E1281" s="5">
        <v>-0.8196842914075964</v>
      </c>
      <c r="F1281" s="5">
        <v>3.2157533113120427</v>
      </c>
      <c r="G1281" s="5">
        <v>-12.551758618809837</v>
      </c>
      <c r="H1281" s="5">
        <v>6.910833252187487</v>
      </c>
      <c r="I1281" s="5">
        <v>7.749336576317848</v>
      </c>
      <c r="J1281" s="5">
        <v>-4.999927611901144</v>
      </c>
      <c r="K1281" s="5">
        <v>9.549754971927783</v>
      </c>
      <c r="L1281" s="9" t="b">
        <v>0</v>
      </c>
    </row>
    <row r="1282" ht="15.75" customHeight="1">
      <c r="A1282" s="5">
        <v>17.0</v>
      </c>
      <c r="B1282" s="5">
        <v>20063.0</v>
      </c>
      <c r="C1282" s="5">
        <v>2860.0</v>
      </c>
      <c r="D1282" s="5">
        <v>1871.9673874113803</v>
      </c>
      <c r="K1282" s="5">
        <v>52.780439404711245</v>
      </c>
      <c r="L1282" s="9" t="b">
        <v>0</v>
      </c>
    </row>
    <row r="1283" ht="15.75" customHeight="1">
      <c r="A1283" s="5">
        <v>17.0</v>
      </c>
      <c r="B1283" s="5">
        <v>20064.0</v>
      </c>
      <c r="C1283" s="5">
        <v>3642.0</v>
      </c>
      <c r="D1283" s="5">
        <v>2236.271408745921</v>
      </c>
      <c r="K1283" s="5">
        <v>62.860374897088114</v>
      </c>
      <c r="L1283" s="9" t="b">
        <v>0</v>
      </c>
    </row>
    <row r="1284" ht="15.75" customHeight="1">
      <c r="A1284" s="5">
        <v>17.0</v>
      </c>
      <c r="B1284" s="5">
        <v>20071.0</v>
      </c>
      <c r="C1284" s="5">
        <v>4209.0</v>
      </c>
      <c r="D1284" s="5">
        <v>3087.223934928209</v>
      </c>
      <c r="K1284" s="5">
        <v>36.33607696481782</v>
      </c>
      <c r="L1284" s="9" t="b">
        <v>0</v>
      </c>
    </row>
    <row r="1285" ht="15.75" customHeight="1">
      <c r="A1285" s="5">
        <v>17.0</v>
      </c>
      <c r="B1285" s="5">
        <v>20072.0</v>
      </c>
      <c r="C1285" s="5">
        <v>5403.0</v>
      </c>
      <c r="D1285" s="5">
        <v>3721.0792095778456</v>
      </c>
      <c r="K1285" s="5">
        <v>45.19981155179353</v>
      </c>
      <c r="L1285" s="9" t="b">
        <v>0</v>
      </c>
    </row>
    <row r="1286" ht="15.75" customHeight="1">
      <c r="A1286" s="5">
        <v>17.0</v>
      </c>
      <c r="B1286" s="5">
        <v>20073.0</v>
      </c>
      <c r="C1286" s="5">
        <v>5212.0</v>
      </c>
      <c r="D1286" s="5">
        <v>3951.582956789538</v>
      </c>
      <c r="E1286" s="5">
        <v>82.23776223776224</v>
      </c>
      <c r="H1286" s="5">
        <v>111.0925106582076</v>
      </c>
      <c r="K1286" s="5">
        <v>31.896509753005088</v>
      </c>
      <c r="L1286" s="9" t="b">
        <v>0</v>
      </c>
    </row>
    <row r="1287" ht="15.75" customHeight="1">
      <c r="A1287" s="5">
        <v>17.0</v>
      </c>
      <c r="B1287" s="5">
        <v>20074.0</v>
      </c>
      <c r="C1287" s="5">
        <v>5076.0</v>
      </c>
      <c r="D1287" s="5">
        <v>4014.7906158696087</v>
      </c>
      <c r="E1287" s="5">
        <v>39.37397034596375</v>
      </c>
      <c r="H1287" s="5">
        <v>79.5305614590433</v>
      </c>
      <c r="K1287" s="5">
        <v>26.432496378158742</v>
      </c>
      <c r="L1287" s="9" t="b">
        <v>0</v>
      </c>
    </row>
    <row r="1288" ht="15.75" customHeight="1">
      <c r="A1288" s="5">
        <v>17.0</v>
      </c>
      <c r="B1288" s="5">
        <v>20081.0</v>
      </c>
      <c r="C1288" s="5">
        <v>5103.0</v>
      </c>
      <c r="D1288" s="5">
        <v>3963.416171939793</v>
      </c>
      <c r="E1288" s="5">
        <v>21.240199572344977</v>
      </c>
      <c r="H1288" s="5">
        <v>28.381233609215293</v>
      </c>
      <c r="K1288" s="5">
        <v>28.752565428991183</v>
      </c>
      <c r="L1288" s="9" t="b">
        <v>0</v>
      </c>
    </row>
    <row r="1289" ht="15.75" customHeight="1">
      <c r="A1289" s="5">
        <v>17.0</v>
      </c>
      <c r="B1289" s="5">
        <v>20082.0</v>
      </c>
      <c r="C1289" s="5">
        <v>5041.0</v>
      </c>
      <c r="D1289" s="5">
        <v>3957.2128246950633</v>
      </c>
      <c r="E1289" s="5">
        <v>-6.69998149176384</v>
      </c>
      <c r="F1289" s="5">
        <v>34.03798766607678</v>
      </c>
      <c r="H1289" s="5">
        <v>6.345836834363094</v>
      </c>
      <c r="I1289" s="5">
        <v>56.33753564020732</v>
      </c>
      <c r="K1289" s="5">
        <v>27.387639313749858</v>
      </c>
      <c r="L1289" s="9" t="b">
        <v>0</v>
      </c>
    </row>
    <row r="1290" ht="15.75" customHeight="1">
      <c r="A1290" s="5">
        <v>17.0</v>
      </c>
      <c r="B1290" s="5">
        <v>20083.0</v>
      </c>
      <c r="C1290" s="5">
        <v>5214.0</v>
      </c>
      <c r="D1290" s="5">
        <v>3897.301267869999</v>
      </c>
      <c r="E1290" s="5">
        <v>0.038372985418266836</v>
      </c>
      <c r="F1290" s="5">
        <v>13.488140352990788</v>
      </c>
      <c r="H1290" s="5">
        <v>-1.3736694765897117</v>
      </c>
      <c r="I1290" s="5">
        <v>28.220990606507993</v>
      </c>
      <c r="K1290" s="5">
        <v>33.784884504184596</v>
      </c>
      <c r="L1290" s="9" t="b">
        <v>0</v>
      </c>
    </row>
    <row r="1291" ht="15.75" customHeight="1">
      <c r="A1291" s="5">
        <v>17.0</v>
      </c>
      <c r="B1291" s="5">
        <v>20084.0</v>
      </c>
      <c r="C1291" s="5">
        <v>5542.0</v>
      </c>
      <c r="D1291" s="5">
        <v>4013.656303188661</v>
      </c>
      <c r="E1291" s="5">
        <v>9.180457052797486</v>
      </c>
      <c r="F1291" s="5">
        <v>5.939762029699223</v>
      </c>
      <c r="H1291" s="5">
        <v>-0.028253345927042872</v>
      </c>
      <c r="I1291" s="5">
        <v>8.331286905265408</v>
      </c>
      <c r="K1291" s="5">
        <v>38.078589230401775</v>
      </c>
      <c r="L1291" s="9" t="b">
        <v>0</v>
      </c>
    </row>
    <row r="1292" ht="15.75" customHeight="1">
      <c r="A1292" s="5">
        <v>17.0</v>
      </c>
      <c r="B1292" s="5">
        <v>20091.0</v>
      </c>
      <c r="C1292" s="5">
        <v>4746.0</v>
      </c>
      <c r="D1292" s="5">
        <v>3835.347105785</v>
      </c>
      <c r="E1292" s="5">
        <v>-6.995884773662553</v>
      </c>
      <c r="F1292" s="5">
        <v>-1.11925905680266</v>
      </c>
      <c r="H1292" s="5">
        <v>-3.2312798000244447</v>
      </c>
      <c r="I1292" s="5">
        <v>0.4281585529554738</v>
      </c>
      <c r="K1292" s="5">
        <v>23.743689139411337</v>
      </c>
      <c r="L1292" s="9" t="b">
        <v>0</v>
      </c>
    </row>
    <row r="1293" ht="15.75" customHeight="1">
      <c r="A1293" s="5">
        <v>17.0</v>
      </c>
      <c r="B1293" s="5">
        <v>20092.0</v>
      </c>
      <c r="C1293" s="5">
        <v>5101.0</v>
      </c>
      <c r="D1293" s="5">
        <v>3800.075515840812</v>
      </c>
      <c r="E1293" s="5">
        <v>1.190240031739731</v>
      </c>
      <c r="F1293" s="5">
        <v>0.8532963240732327</v>
      </c>
      <c r="G1293" s="5">
        <v>-33.184691342003546</v>
      </c>
      <c r="H1293" s="5">
        <v>-3.97090871316379</v>
      </c>
      <c r="I1293" s="5">
        <v>-2.151027833926247</v>
      </c>
      <c r="J1293" s="5">
        <v>-58.48856347413357</v>
      </c>
      <c r="K1293" s="5">
        <v>34.23417452459081</v>
      </c>
      <c r="L1293" s="9" t="b">
        <v>0</v>
      </c>
    </row>
    <row r="1294" ht="15.75" customHeight="1">
      <c r="A1294" s="5">
        <v>17.0</v>
      </c>
      <c r="B1294" s="5">
        <v>20093.0</v>
      </c>
      <c r="C1294" s="5">
        <v>4755.0</v>
      </c>
      <c r="D1294" s="5">
        <v>3711.03742603341</v>
      </c>
      <c r="E1294" s="5">
        <v>-8.80322209436134</v>
      </c>
      <c r="F1294" s="5">
        <v>-1.357102445871669</v>
      </c>
      <c r="G1294" s="5">
        <v>-14.845242798862458</v>
      </c>
      <c r="H1294" s="5">
        <v>-4.779303139128066</v>
      </c>
      <c r="I1294" s="5">
        <v>-3.0024362495608363</v>
      </c>
      <c r="J1294" s="5">
        <v>-31.22342685606883</v>
      </c>
      <c r="K1294" s="5">
        <v>28.131286595038276</v>
      </c>
      <c r="L1294" s="9" t="b">
        <v>0</v>
      </c>
    </row>
    <row r="1295" ht="15.75" customHeight="1">
      <c r="A1295" s="5">
        <v>17.0</v>
      </c>
      <c r="B1295" s="5">
        <v>20094.0</v>
      </c>
      <c r="C1295" s="5">
        <v>5275.0</v>
      </c>
      <c r="D1295" s="5">
        <v>3778.5326161068415</v>
      </c>
      <c r="E1295" s="5">
        <v>-4.817755322988093</v>
      </c>
      <c r="F1295" s="5">
        <v>-4.856655539818064</v>
      </c>
      <c r="G1295" s="5">
        <v>-10.796417569517287</v>
      </c>
      <c r="H1295" s="5">
        <v>-5.858092206226639</v>
      </c>
      <c r="I1295" s="5">
        <v>-4.459895964635735</v>
      </c>
      <c r="J1295" s="5">
        <v>-12.791182869901142</v>
      </c>
      <c r="K1295" s="5">
        <v>39.604458553940525</v>
      </c>
      <c r="L1295" s="9" t="b">
        <v>0</v>
      </c>
    </row>
    <row r="1296" ht="15.75" customHeight="1">
      <c r="A1296" s="5">
        <v>17.0</v>
      </c>
      <c r="B1296" s="5">
        <v>20101.0</v>
      </c>
      <c r="C1296" s="5">
        <v>5020.0</v>
      </c>
      <c r="D1296" s="5">
        <v>3911.283098161242</v>
      </c>
      <c r="E1296" s="5">
        <v>5.773282764433207</v>
      </c>
      <c r="F1296" s="5">
        <v>-1.6643636552941234</v>
      </c>
      <c r="G1296" s="5">
        <v>-0.5451045984914635</v>
      </c>
      <c r="H1296" s="5">
        <v>1.9798988274543516</v>
      </c>
      <c r="I1296" s="5">
        <v>-3.1571013077660357</v>
      </c>
      <c r="J1296" s="5">
        <v>-3.5852598607215094</v>
      </c>
      <c r="K1296" s="5">
        <v>28.3466288175352</v>
      </c>
      <c r="L1296" s="9" t="b">
        <v>0</v>
      </c>
    </row>
    <row r="1297" ht="15.75" customHeight="1">
      <c r="A1297" s="5">
        <v>17.0</v>
      </c>
      <c r="B1297" s="5">
        <v>20102.0</v>
      </c>
      <c r="C1297" s="5">
        <v>4846.0</v>
      </c>
      <c r="D1297" s="5">
        <v>3928.99178997732</v>
      </c>
      <c r="E1297" s="5">
        <v>-4.999019800039206</v>
      </c>
      <c r="F1297" s="5">
        <v>-3.211678613238858</v>
      </c>
      <c r="G1297" s="5">
        <v>-4.0649749373120905</v>
      </c>
      <c r="H1297" s="5">
        <v>3.3924661128210243</v>
      </c>
      <c r="I1297" s="5">
        <v>-1.3162576012698326</v>
      </c>
      <c r="J1297" s="5">
        <v>0.8347702326564146</v>
      </c>
      <c r="K1297" s="5">
        <v>23.339529809197536</v>
      </c>
      <c r="L1297" s="9" t="b">
        <v>0</v>
      </c>
    </row>
    <row r="1298" ht="15.75" customHeight="1">
      <c r="A1298" s="5">
        <v>17.0</v>
      </c>
      <c r="B1298" s="5">
        <v>20103.0</v>
      </c>
      <c r="C1298" s="5">
        <v>4936.0</v>
      </c>
      <c r="D1298" s="5">
        <v>3972.028782271597</v>
      </c>
      <c r="E1298" s="5">
        <v>3.806519453207158</v>
      </c>
      <c r="F1298" s="5">
        <v>-0.05924322634673329</v>
      </c>
      <c r="G1298" s="5">
        <v>1.2978592195249357</v>
      </c>
      <c r="H1298" s="5">
        <v>7.03284085488598</v>
      </c>
      <c r="I1298" s="5">
        <v>1.636778397233679</v>
      </c>
      <c r="J1298" s="5">
        <v>4.639214646794516</v>
      </c>
      <c r="K1298" s="5">
        <v>24.268988735200182</v>
      </c>
      <c r="L1298" s="9" t="b">
        <v>0</v>
      </c>
    </row>
    <row r="1299" ht="15.75" customHeight="1">
      <c r="A1299" s="5">
        <v>17.0</v>
      </c>
      <c r="B1299" s="5">
        <v>20104.0</v>
      </c>
      <c r="C1299" s="5">
        <v>4905.0</v>
      </c>
      <c r="D1299" s="5">
        <v>3964.459366746617</v>
      </c>
      <c r="E1299" s="5">
        <v>-7.014218009478668</v>
      </c>
      <c r="F1299" s="5">
        <v>-0.608358897969377</v>
      </c>
      <c r="G1299" s="5">
        <v>4.248296641848687</v>
      </c>
      <c r="H1299" s="5">
        <v>4.92060727085486</v>
      </c>
      <c r="I1299" s="5">
        <v>4.331453266504053</v>
      </c>
      <c r="J1299" s="5">
        <v>8.791349231139789</v>
      </c>
      <c r="K1299" s="5">
        <v>23.724310082290636</v>
      </c>
      <c r="L1299" s="9" t="b">
        <v>0</v>
      </c>
    </row>
    <row r="1300" ht="15.75" customHeight="1">
      <c r="A1300" s="5">
        <v>17.0</v>
      </c>
      <c r="B1300" s="5">
        <v>20111.0</v>
      </c>
      <c r="C1300" s="5">
        <v>5066.0</v>
      </c>
      <c r="D1300" s="5">
        <v>3860.820402291629</v>
      </c>
      <c r="E1300" s="5">
        <v>0.9163346613545897</v>
      </c>
      <c r="F1300" s="5">
        <v>-1.8225959237390317</v>
      </c>
      <c r="G1300" s="5">
        <v>-0.15823226844490823</v>
      </c>
      <c r="H1300" s="5">
        <v>-1.2901826485875345</v>
      </c>
      <c r="I1300" s="5">
        <v>3.513932897493582</v>
      </c>
      <c r="J1300" s="5">
        <v>6.671034205259618</v>
      </c>
      <c r="K1300" s="5">
        <v>31.215634816709546</v>
      </c>
      <c r="L1300" s="9" t="b">
        <v>0</v>
      </c>
    </row>
    <row r="1301" ht="15.75" customHeight="1">
      <c r="A1301" s="5">
        <v>17.0</v>
      </c>
      <c r="B1301" s="5">
        <v>20112.0</v>
      </c>
      <c r="C1301" s="5">
        <v>5123.0</v>
      </c>
      <c r="D1301" s="5">
        <v>3971.214078977576</v>
      </c>
      <c r="E1301" s="5">
        <v>5.716054477919941</v>
      </c>
      <c r="F1301" s="5">
        <v>0.8561726457507552</v>
      </c>
      <c r="G1301" s="5">
        <v>4.067851258989613</v>
      </c>
      <c r="H1301" s="5">
        <v>1.0746341875277787</v>
      </c>
      <c r="I1301" s="5">
        <v>2.934474916170271</v>
      </c>
      <c r="J1301" s="5">
        <v>4.250732517440103</v>
      </c>
      <c r="K1301" s="5">
        <v>29.003370206598422</v>
      </c>
      <c r="L1301" s="9" t="b">
        <v>0</v>
      </c>
    </row>
    <row r="1302" ht="15.75" customHeight="1">
      <c r="A1302" s="5">
        <v>17.0</v>
      </c>
      <c r="B1302" s="5">
        <v>20113.0</v>
      </c>
      <c r="C1302" s="5">
        <v>4907.0</v>
      </c>
      <c r="D1302" s="5">
        <v>3911.232581086431</v>
      </c>
      <c r="E1302" s="5">
        <v>-0.5875202593192852</v>
      </c>
      <c r="F1302" s="5">
        <v>-0.2423372823808555</v>
      </c>
      <c r="G1302" s="5">
        <v>-0.1830940560341222</v>
      </c>
      <c r="H1302" s="5">
        <v>-1.5306082739510396</v>
      </c>
      <c r="I1302" s="5">
        <v>0.7936126339610159</v>
      </c>
      <c r="J1302" s="5">
        <v>-0.843165763272663</v>
      </c>
      <c r="K1302" s="5">
        <v>25.459171712999296</v>
      </c>
      <c r="L1302" s="9" t="b">
        <v>0</v>
      </c>
    </row>
    <row r="1303" ht="15.75" customHeight="1">
      <c r="A1303" s="5">
        <v>17.0</v>
      </c>
      <c r="B1303" s="5">
        <v>20114.0</v>
      </c>
      <c r="C1303" s="5">
        <v>4793.0</v>
      </c>
      <c r="D1303" s="5">
        <v>3873.240684004247</v>
      </c>
      <c r="E1303" s="5">
        <v>-2.283384301732927</v>
      </c>
      <c r="F1303" s="5">
        <v>0.9403711445555797</v>
      </c>
      <c r="G1303" s="5">
        <v>1.5487300425249568</v>
      </c>
      <c r="H1303" s="5">
        <v>-2.300911027301744</v>
      </c>
      <c r="I1303" s="5">
        <v>-1.011766940578135</v>
      </c>
      <c r="J1303" s="5">
        <v>-5.343220207082188</v>
      </c>
      <c r="K1303" s="5">
        <v>23.746505601735123</v>
      </c>
      <c r="L1303" s="9" t="b">
        <v>0</v>
      </c>
    </row>
    <row r="1304" ht="15.75" customHeight="1">
      <c r="A1304" s="5">
        <v>17.0</v>
      </c>
      <c r="B1304" s="5">
        <v>20121.0</v>
      </c>
      <c r="C1304" s="5">
        <v>4610.0</v>
      </c>
      <c r="D1304" s="5">
        <v>3613.7774196696514</v>
      </c>
      <c r="E1304" s="5">
        <v>-9.00118436636399</v>
      </c>
      <c r="F1304" s="5">
        <v>-1.5390086123740652</v>
      </c>
      <c r="G1304" s="5">
        <v>0.2835873113649665</v>
      </c>
      <c r="H1304" s="5">
        <v>-6.398717290121613</v>
      </c>
      <c r="I1304" s="5">
        <v>-2.2889006009616546</v>
      </c>
      <c r="J1304" s="5">
        <v>-5.802833498455237</v>
      </c>
      <c r="K1304" s="5">
        <v>27.567347532472454</v>
      </c>
      <c r="L1304" s="9" t="b">
        <v>0</v>
      </c>
    </row>
    <row r="1305" ht="15.75" customHeight="1">
      <c r="A1305" s="5">
        <v>17.0</v>
      </c>
      <c r="B1305" s="5">
        <v>20122.0</v>
      </c>
      <c r="C1305" s="5">
        <v>4668.0</v>
      </c>
      <c r="D1305" s="5">
        <v>3675.939014502989</v>
      </c>
      <c r="E1305" s="5">
        <v>-8.881514737458518</v>
      </c>
      <c r="F1305" s="5">
        <v>-5.188400916218679</v>
      </c>
      <c r="G1305" s="5">
        <v>-6.044573561969434</v>
      </c>
      <c r="H1305" s="5">
        <v>-7.4353852147554855</v>
      </c>
      <c r="I1305" s="5">
        <v>-4.416405451532471</v>
      </c>
      <c r="J1305" s="5">
        <v>-7.350880367702742</v>
      </c>
      <c r="K1305" s="5">
        <v>26.987960942304824</v>
      </c>
      <c r="L1305" s="9" t="b">
        <v>0</v>
      </c>
    </row>
    <row r="1306" ht="15.75" customHeight="1">
      <c r="A1306" s="5">
        <v>17.0</v>
      </c>
      <c r="B1306" s="5">
        <v>20123.0</v>
      </c>
      <c r="C1306" s="5">
        <v>4473.0</v>
      </c>
      <c r="D1306" s="5">
        <v>3636.470726264717</v>
      </c>
      <c r="E1306" s="5">
        <v>-8.84450784593438</v>
      </c>
      <c r="F1306" s="5">
        <v>-7.252647812872453</v>
      </c>
      <c r="G1306" s="5">
        <v>-7.010310530491598</v>
      </c>
      <c r="H1306" s="5">
        <v>-7.024942882465779</v>
      </c>
      <c r="I1306" s="5">
        <v>-5.7899891036611555</v>
      </c>
      <c r="J1306" s="5">
        <v>-6.583601737622171</v>
      </c>
      <c r="K1306" s="5">
        <v>23.003877569902585</v>
      </c>
      <c r="L1306" s="9" t="b">
        <v>0</v>
      </c>
    </row>
    <row r="1307" ht="15.75" customHeight="1">
      <c r="A1307" s="5">
        <v>17.0</v>
      </c>
      <c r="B1307" s="5">
        <v>20124.0</v>
      </c>
      <c r="C1307" s="5">
        <v>4536.0</v>
      </c>
      <c r="D1307" s="5">
        <v>3549.92571414454</v>
      </c>
      <c r="E1307" s="5">
        <v>-5.361986229918636</v>
      </c>
      <c r="F1307" s="5">
        <v>-8.022298294918881</v>
      </c>
      <c r="G1307" s="5">
        <v>-8.96266943947446</v>
      </c>
      <c r="H1307" s="5">
        <v>-8.347401988080339</v>
      </c>
      <c r="I1307" s="5">
        <v>-7.301611843855804</v>
      </c>
      <c r="J1307" s="5">
        <v>-6.289844903277669</v>
      </c>
      <c r="K1307" s="5">
        <v>27.777321703563707</v>
      </c>
      <c r="L1307" s="9" t="b">
        <v>0</v>
      </c>
    </row>
    <row r="1308" ht="15.75" customHeight="1">
      <c r="A1308" s="5">
        <v>17.0</v>
      </c>
      <c r="B1308" s="5">
        <v>20131.0</v>
      </c>
      <c r="C1308" s="5">
        <v>4629.0</v>
      </c>
      <c r="D1308" s="5">
        <v>3431.0981845693213</v>
      </c>
      <c r="E1308" s="5">
        <v>0.4121475054229995</v>
      </c>
      <c r="F1308" s="5">
        <v>-5.668965326972134</v>
      </c>
      <c r="G1308" s="5">
        <v>-4.129956714598069</v>
      </c>
      <c r="H1308" s="5">
        <v>-5.055077108678974</v>
      </c>
      <c r="I1308" s="5">
        <v>-6.965701798495145</v>
      </c>
      <c r="J1308" s="5">
        <v>-4.67680119753349</v>
      </c>
      <c r="K1308" s="5">
        <v>34.91307304518428</v>
      </c>
      <c r="L1308" s="9" t="b">
        <v>0</v>
      </c>
    </row>
    <row r="1309" ht="15.75" customHeight="1">
      <c r="A1309" s="5">
        <v>17.0</v>
      </c>
      <c r="B1309" s="5">
        <v>20132.0</v>
      </c>
      <c r="C1309" s="5">
        <v>4531.0</v>
      </c>
      <c r="D1309" s="5">
        <v>3460.206522303263</v>
      </c>
      <c r="E1309" s="5">
        <v>-2.9348757497857703</v>
      </c>
      <c r="F1309" s="5">
        <v>-4.182305580053947</v>
      </c>
      <c r="G1309" s="5">
        <v>1.0060953361647327</v>
      </c>
      <c r="H1309" s="5">
        <v>-5.868772342211848</v>
      </c>
      <c r="I1309" s="5">
        <v>-6.574048580359236</v>
      </c>
      <c r="J1309" s="5">
        <v>-2.1576431288267646</v>
      </c>
      <c r="K1309" s="5">
        <v>30.945941255089338</v>
      </c>
      <c r="L1309" s="9" t="b">
        <v>0</v>
      </c>
    </row>
    <row r="1310" ht="15.75" customHeight="1">
      <c r="A1310" s="5">
        <v>17.0</v>
      </c>
      <c r="B1310" s="5">
        <v>20133.0</v>
      </c>
      <c r="C1310" s="5">
        <v>4388.0</v>
      </c>
      <c r="D1310" s="5">
        <v>3488.616574219829</v>
      </c>
      <c r="E1310" s="5">
        <v>-1.9002906326849978</v>
      </c>
      <c r="F1310" s="5">
        <v>-2.4462512767416014</v>
      </c>
      <c r="G1310" s="5">
        <v>4.806396536130852</v>
      </c>
      <c r="H1310" s="5">
        <v>-4.0658694425064095</v>
      </c>
      <c r="I1310" s="5">
        <v>-5.834280220369393</v>
      </c>
      <c r="J1310" s="5">
        <v>-0.044291116708237155</v>
      </c>
      <c r="K1310" s="5">
        <v>25.780518054819556</v>
      </c>
      <c r="L1310" s="9" t="b">
        <v>0</v>
      </c>
    </row>
    <row r="1311" ht="15.75" customHeight="1">
      <c r="A1311" s="5">
        <v>17.0</v>
      </c>
      <c r="B1311" s="5">
        <v>20134.0</v>
      </c>
      <c r="C1311" s="5">
        <v>4423.0</v>
      </c>
      <c r="D1311" s="5">
        <v>3383.64964978807</v>
      </c>
      <c r="E1311" s="5">
        <v>-2.4911816578483292</v>
      </c>
      <c r="F1311" s="5">
        <v>-1.7285501337240246</v>
      </c>
      <c r="G1311" s="5">
        <v>6.293748161194857</v>
      </c>
      <c r="H1311" s="5">
        <v>-4.683930812804049</v>
      </c>
      <c r="I1311" s="5">
        <v>-4.91841242655032</v>
      </c>
      <c r="J1311" s="5">
        <v>2.383199417305484</v>
      </c>
      <c r="K1311" s="5">
        <v>30.716842988665462</v>
      </c>
      <c r="L1311" s="9" t="b">
        <v>0</v>
      </c>
    </row>
    <row r="1312" ht="15.75" customHeight="1">
      <c r="A1312" s="5">
        <v>17.0</v>
      </c>
      <c r="B1312" s="5">
        <v>20141.0</v>
      </c>
      <c r="C1312" s="5">
        <v>4433.0</v>
      </c>
      <c r="D1312" s="5">
        <v>3568.29023806602</v>
      </c>
      <c r="E1312" s="5">
        <v>-4.234175847915312</v>
      </c>
      <c r="F1312" s="5">
        <v>-2.8901309720586026</v>
      </c>
      <c r="G1312" s="5">
        <v>2.7788343549135313</v>
      </c>
      <c r="H1312" s="5">
        <v>3.998488125862809</v>
      </c>
      <c r="I1312" s="5">
        <v>-2.6550211179148744</v>
      </c>
      <c r="J1312" s="5">
        <v>4.310680680580271</v>
      </c>
      <c r="K1312" s="5">
        <v>24.233167826691272</v>
      </c>
      <c r="L1312" s="9" t="b">
        <v>0</v>
      </c>
    </row>
    <row r="1313" ht="15.75" customHeight="1">
      <c r="A1313" s="5">
        <v>17.0</v>
      </c>
      <c r="B1313" s="5">
        <v>20142.0</v>
      </c>
      <c r="C1313" s="5">
        <v>4533.0</v>
      </c>
      <c r="D1313" s="5">
        <v>3406.3637181774816</v>
      </c>
      <c r="E1313" s="5">
        <v>0.04414036636504193</v>
      </c>
      <c r="F1313" s="5">
        <v>-2.1453769430208993</v>
      </c>
      <c r="G1313" s="5">
        <v>2.0369286370330473</v>
      </c>
      <c r="H1313" s="5">
        <v>-1.5560575294777834</v>
      </c>
      <c r="I1313" s="5">
        <v>-1.5768424147313582</v>
      </c>
      <c r="J1313" s="5">
        <v>4.997206165627878</v>
      </c>
      <c r="K1313" s="5">
        <v>33.07445637147952</v>
      </c>
      <c r="L1313" s="9" t="b">
        <v>0</v>
      </c>
    </row>
    <row r="1314" ht="15.75" customHeight="1">
      <c r="A1314" s="5">
        <v>17.0</v>
      </c>
      <c r="B1314" s="5">
        <v>20143.0</v>
      </c>
      <c r="C1314" s="5">
        <v>4661.0</v>
      </c>
      <c r="D1314" s="5">
        <v>3461.8049401944995</v>
      </c>
      <c r="E1314" s="5">
        <v>6.221513217866903</v>
      </c>
      <c r="F1314" s="5">
        <v>-0.11492598038292412</v>
      </c>
      <c r="G1314" s="5">
        <v>2.3313252963586772</v>
      </c>
      <c r="H1314" s="5">
        <v>-0.768546312124474</v>
      </c>
      <c r="I1314" s="5">
        <v>-0.7525116321358744</v>
      </c>
      <c r="J1314" s="5">
        <v>5.081768588233518</v>
      </c>
      <c r="K1314" s="5">
        <v>34.64074609986907</v>
      </c>
      <c r="L1314" s="9" t="b">
        <v>0</v>
      </c>
    </row>
    <row r="1315" ht="15.75" customHeight="1">
      <c r="A1315" s="5">
        <v>17.0</v>
      </c>
      <c r="B1315" s="5">
        <v>20144.0</v>
      </c>
      <c r="C1315" s="5">
        <v>4656.0</v>
      </c>
      <c r="D1315" s="5">
        <v>3410.9373148934</v>
      </c>
      <c r="E1315" s="5">
        <v>5.267917702916569</v>
      </c>
      <c r="F1315" s="5">
        <v>1.8248488598083004</v>
      </c>
      <c r="G1315" s="5">
        <v>3.553398993532325</v>
      </c>
      <c r="H1315" s="5">
        <v>0.8064565758762798</v>
      </c>
      <c r="I1315" s="5">
        <v>0.6200852150342079</v>
      </c>
      <c r="J1315" s="5">
        <v>5.538497641584528</v>
      </c>
      <c r="K1315" s="5">
        <v>36.50206879118536</v>
      </c>
      <c r="L1315" s="9" t="b">
        <v>0</v>
      </c>
    </row>
    <row r="1316" ht="15.75" customHeight="1">
      <c r="A1316" s="5">
        <v>17.0</v>
      </c>
      <c r="B1316" s="5">
        <v>20151.0</v>
      </c>
      <c r="C1316" s="5">
        <v>4578.0</v>
      </c>
      <c r="D1316" s="5">
        <v>3491.9175244093526</v>
      </c>
      <c r="E1316" s="5">
        <v>3.270922625761341</v>
      </c>
      <c r="F1316" s="5">
        <v>3.701123478227464</v>
      </c>
      <c r="G1316" s="5">
        <v>6.591254450286066</v>
      </c>
      <c r="H1316" s="5">
        <v>-2.1403167500763765</v>
      </c>
      <c r="I1316" s="5">
        <v>-0.9146160039505885</v>
      </c>
      <c r="J1316" s="5">
        <v>1.740405113964286</v>
      </c>
      <c r="K1316" s="5">
        <v>31.102752799820355</v>
      </c>
      <c r="L1316" s="9" t="b">
        <v>0</v>
      </c>
    </row>
    <row r="1317" ht="15.75" customHeight="1">
      <c r="A1317" s="5">
        <v>17.0</v>
      </c>
      <c r="B1317" s="5">
        <v>20152.0</v>
      </c>
      <c r="C1317" s="5">
        <v>4687.0</v>
      </c>
      <c r="D1317" s="5">
        <v>3460.9621040003926</v>
      </c>
      <c r="E1317" s="5">
        <v>3.397308625634232</v>
      </c>
      <c r="F1317" s="5">
        <v>4.539415543044761</v>
      </c>
      <c r="G1317" s="5">
        <v>6.6847924860656605</v>
      </c>
      <c r="H1317" s="5">
        <v>1.6028348802435977</v>
      </c>
      <c r="I1317" s="5">
        <v>-0.12489290152024324</v>
      </c>
      <c r="J1317" s="5">
        <v>1.4519495132111149</v>
      </c>
      <c r="K1317" s="5">
        <v>35.424770891957394</v>
      </c>
      <c r="L1317" s="9" t="b">
        <v>0</v>
      </c>
    </row>
    <row r="1318" ht="15.75" customHeight="1">
      <c r="A1318" s="5">
        <v>17.0</v>
      </c>
      <c r="B1318" s="5">
        <v>20153.0</v>
      </c>
      <c r="C1318" s="5">
        <v>4676.0</v>
      </c>
      <c r="D1318" s="5">
        <v>3479.8718065033454</v>
      </c>
      <c r="E1318" s="5">
        <v>0.3218193520703627</v>
      </c>
      <c r="F1318" s="5">
        <v>3.0644920765956263</v>
      </c>
      <c r="G1318" s="5">
        <v>3.1794180569785504</v>
      </c>
      <c r="H1318" s="5">
        <v>0.5218915167366722</v>
      </c>
      <c r="I1318" s="5">
        <v>0.19771655569504332</v>
      </c>
      <c r="J1318" s="5">
        <v>0.9502281878309177</v>
      </c>
      <c r="K1318" s="5">
        <v>34.37276600997987</v>
      </c>
      <c r="L1318" s="9" t="b">
        <v>0</v>
      </c>
    </row>
    <row r="1319" ht="15.75" customHeight="1">
      <c r="A1319" s="5">
        <v>17.0</v>
      </c>
      <c r="B1319" s="5">
        <v>20154.0</v>
      </c>
      <c r="C1319" s="5">
        <v>4697.0</v>
      </c>
      <c r="D1319" s="5">
        <v>3373.6281449277467</v>
      </c>
      <c r="E1319" s="5">
        <v>0.8805841924398594</v>
      </c>
      <c r="F1319" s="5">
        <v>1.9676586989764489</v>
      </c>
      <c r="G1319" s="5">
        <v>0.1428098391681485</v>
      </c>
      <c r="H1319" s="5">
        <v>-1.0938098980226907</v>
      </c>
      <c r="I1319" s="5">
        <v>-0.2773500627796993</v>
      </c>
      <c r="J1319" s="5">
        <v>-0.8974352778139072</v>
      </c>
      <c r="K1319" s="5">
        <v>39.226962730375135</v>
      </c>
      <c r="L1319" s="9" t="b">
        <v>0</v>
      </c>
    </row>
    <row r="1320" ht="15.75" customHeight="1">
      <c r="A1320" s="5">
        <v>17.0</v>
      </c>
      <c r="B1320" s="5">
        <v>20161.0</v>
      </c>
      <c r="C1320" s="5">
        <v>4738.0</v>
      </c>
      <c r="D1320" s="5">
        <v>3345.274078929263</v>
      </c>
      <c r="E1320" s="5">
        <v>3.494975972040182</v>
      </c>
      <c r="F1320" s="5">
        <v>2.0236720355461593</v>
      </c>
      <c r="G1320" s="5">
        <v>-1.6774514426813045</v>
      </c>
      <c r="H1320" s="5">
        <v>-4.1995105684775265</v>
      </c>
      <c r="I1320" s="5">
        <v>-0.7921485173799868</v>
      </c>
      <c r="J1320" s="5">
        <v>0.12246748657060169</v>
      </c>
      <c r="K1320" s="5">
        <v>41.63264020257835</v>
      </c>
      <c r="L1320" s="9" t="b">
        <v>0</v>
      </c>
    </row>
    <row r="1321" ht="15.75" customHeight="1">
      <c r="A1321" s="5">
        <v>17.0</v>
      </c>
      <c r="B1321" s="5">
        <v>20162.0</v>
      </c>
      <c r="C1321" s="5">
        <v>4646.0</v>
      </c>
      <c r="D1321" s="5">
        <v>3514.9236961011734</v>
      </c>
      <c r="E1321" s="5">
        <v>-0.8747599743972656</v>
      </c>
      <c r="F1321" s="5">
        <v>0.9556548855382846</v>
      </c>
      <c r="G1321" s="5">
        <v>-3.5837606575064767</v>
      </c>
      <c r="H1321" s="5">
        <v>1.5591500420766957</v>
      </c>
      <c r="I1321" s="5">
        <v>-0.8030697269217122</v>
      </c>
      <c r="J1321" s="5">
        <v>-0.678176825401469</v>
      </c>
      <c r="K1321" s="5">
        <v>32.17925627100924</v>
      </c>
      <c r="L1321" s="9" t="b">
        <v>0</v>
      </c>
    </row>
    <row r="1322" ht="15.75" customHeight="1">
      <c r="A1322" s="5">
        <v>17.0</v>
      </c>
      <c r="B1322" s="5">
        <v>20163.0</v>
      </c>
      <c r="C1322" s="5">
        <v>4727.0</v>
      </c>
      <c r="D1322" s="5">
        <v>3592.0747821987466</v>
      </c>
      <c r="E1322" s="5">
        <v>1.090675791274598</v>
      </c>
      <c r="F1322" s="5">
        <v>1.1478689953393433</v>
      </c>
      <c r="G1322" s="5">
        <v>-1.916623081256283</v>
      </c>
      <c r="H1322" s="5">
        <v>3.224342215299747</v>
      </c>
      <c r="I1322" s="5">
        <v>-0.12745705228094362</v>
      </c>
      <c r="J1322" s="5">
        <v>-0.32517360797598693</v>
      </c>
      <c r="K1322" s="5">
        <v>31.59525585117562</v>
      </c>
      <c r="L1322" s="9" t="b">
        <v>0</v>
      </c>
    </row>
    <row r="1323" ht="15.75" customHeight="1">
      <c r="A1323" s="5">
        <v>17.0</v>
      </c>
      <c r="B1323" s="5">
        <v>20164.0</v>
      </c>
      <c r="C1323" s="5">
        <v>4850.0</v>
      </c>
      <c r="D1323" s="5">
        <v>3497.249378143509</v>
      </c>
      <c r="E1323" s="5">
        <v>3.257398339365558</v>
      </c>
      <c r="F1323" s="5">
        <v>1.7420725320707682</v>
      </c>
      <c r="G1323" s="5">
        <v>-0.22558616690568067</v>
      </c>
      <c r="H1323" s="5">
        <v>3.6643408195899507</v>
      </c>
      <c r="I1323" s="5">
        <v>1.0620806271222167</v>
      </c>
      <c r="J1323" s="5">
        <v>1.3394306899019162</v>
      </c>
      <c r="K1323" s="5">
        <v>38.68041639554425</v>
      </c>
      <c r="L1323" s="9" t="b">
        <v>0</v>
      </c>
    </row>
    <row r="1324" ht="15.75" customHeight="1">
      <c r="A1324" s="5">
        <v>17.0</v>
      </c>
      <c r="B1324" s="5">
        <v>20171.0</v>
      </c>
      <c r="C1324" s="5">
        <v>4792.0</v>
      </c>
      <c r="D1324" s="5">
        <v>3552.021712037374</v>
      </c>
      <c r="E1324" s="5">
        <v>1.139721401435212</v>
      </c>
      <c r="F1324" s="5">
        <v>1.1532588894195257</v>
      </c>
      <c r="G1324" s="5">
        <v>-0.8704131461266336</v>
      </c>
      <c r="H1324" s="5">
        <v>6.180289812734441</v>
      </c>
      <c r="I1324" s="5">
        <v>3.6570307224252083</v>
      </c>
      <c r="J1324" s="5">
        <v>4.449179239805195</v>
      </c>
      <c r="K1324" s="5">
        <v>34.909085261514285</v>
      </c>
      <c r="L1324" s="9" t="b">
        <v>0</v>
      </c>
    </row>
    <row r="1325" ht="15.75" customHeight="1">
      <c r="A1325" s="5">
        <v>17.0</v>
      </c>
      <c r="B1325" s="5">
        <v>20172.0</v>
      </c>
      <c r="C1325" s="5">
        <v>4940.0</v>
      </c>
      <c r="D1325" s="5">
        <v>3725.628713570467</v>
      </c>
      <c r="E1325" s="5">
        <v>6.328024106758501</v>
      </c>
      <c r="F1325" s="5">
        <v>2.953954909708467</v>
      </c>
      <c r="G1325" s="5">
        <v>1.9983000241701827</v>
      </c>
      <c r="H1325" s="5">
        <v>5.9945829749593615</v>
      </c>
      <c r="I1325" s="5">
        <v>4.765888955645876</v>
      </c>
      <c r="J1325" s="5">
        <v>5.568958682567588</v>
      </c>
      <c r="K1325" s="5">
        <v>32.59506998124182</v>
      </c>
      <c r="L1325" s="9" t="b">
        <v>0</v>
      </c>
    </row>
    <row r="1326" ht="15.75" customHeight="1">
      <c r="A1326" s="5">
        <v>17.0</v>
      </c>
      <c r="B1326" s="5">
        <v>20173.0</v>
      </c>
      <c r="C1326" s="5">
        <v>4911.0</v>
      </c>
      <c r="D1326" s="5">
        <v>3822.847866959791</v>
      </c>
      <c r="E1326" s="5">
        <v>3.8925322614766333</v>
      </c>
      <c r="F1326" s="5">
        <v>3.654419027258976</v>
      </c>
      <c r="G1326" s="5">
        <v>2.5065500319196325</v>
      </c>
      <c r="H1326" s="5">
        <v>6.424506691917653</v>
      </c>
      <c r="I1326" s="5">
        <v>5.5659300748003515</v>
      </c>
      <c r="J1326" s="5">
        <v>5.693387127081295</v>
      </c>
      <c r="K1326" s="5">
        <v>28.46443727057302</v>
      </c>
      <c r="L1326" s="9" t="b">
        <v>0</v>
      </c>
    </row>
    <row r="1327" ht="15.75" customHeight="1">
      <c r="A1327" s="5">
        <v>17.0</v>
      </c>
      <c r="B1327" s="5">
        <v>20174.0</v>
      </c>
      <c r="C1327" s="5">
        <v>5148.0</v>
      </c>
      <c r="D1327" s="5">
        <v>3909.009674007969</v>
      </c>
      <c r="E1327" s="5">
        <v>6.144329896907208</v>
      </c>
      <c r="F1327" s="5">
        <v>4.376151916644388</v>
      </c>
      <c r="G1327" s="5">
        <v>2.63407938457362</v>
      </c>
      <c r="H1327" s="5">
        <v>11.773832842399123</v>
      </c>
      <c r="I1327" s="5">
        <v>7.593303080502645</v>
      </c>
      <c r="J1327" s="5">
        <v>6.531222453380428</v>
      </c>
      <c r="K1327" s="5">
        <v>31.695760034322838</v>
      </c>
      <c r="L1327" s="9" t="b">
        <v>0</v>
      </c>
    </row>
    <row r="1328" ht="15.75" customHeight="1">
      <c r="A1328" s="5">
        <v>17.0</v>
      </c>
      <c r="B1328" s="5">
        <v>20181.0</v>
      </c>
      <c r="C1328" s="5">
        <v>5211.0</v>
      </c>
      <c r="D1328" s="5">
        <v>4095.359853524325</v>
      </c>
      <c r="E1328" s="5">
        <v>8.743739565943232</v>
      </c>
      <c r="F1328" s="5">
        <v>6.277156457771394</v>
      </c>
      <c r="G1328" s="5">
        <v>5.123897568351868</v>
      </c>
      <c r="H1328" s="5">
        <v>15.29658840895154</v>
      </c>
      <c r="I1328" s="5">
        <v>9.87237772955692</v>
      </c>
      <c r="J1328" s="5">
        <v>6.215347007131712</v>
      </c>
      <c r="K1328" s="5">
        <v>27.24156573238843</v>
      </c>
      <c r="L1328" s="9" t="b">
        <v>0</v>
      </c>
    </row>
    <row r="1329" ht="15.75" customHeight="1">
      <c r="A1329" s="5">
        <v>17.0</v>
      </c>
      <c r="B1329" s="5">
        <v>20182.0</v>
      </c>
      <c r="C1329" s="5">
        <v>5206.0</v>
      </c>
      <c r="D1329" s="5">
        <v>4157.540075347895</v>
      </c>
      <c r="E1329" s="5">
        <v>5.384615384615388</v>
      </c>
      <c r="F1329" s="5">
        <v>6.041304277235615</v>
      </c>
      <c r="G1329" s="5">
        <v>3.087349367527148</v>
      </c>
      <c r="H1329" s="5">
        <v>11.592979198496266</v>
      </c>
      <c r="I1329" s="5">
        <v>11.271976785441147</v>
      </c>
      <c r="J1329" s="5">
        <v>6.506087829795272</v>
      </c>
      <c r="K1329" s="5">
        <v>25.21827584703129</v>
      </c>
      <c r="L1329" s="9" t="b">
        <v>0</v>
      </c>
    </row>
    <row r="1330" ht="15.75" customHeight="1">
      <c r="A1330" s="5">
        <v>17.0</v>
      </c>
      <c r="B1330" s="5">
        <v>20183.0</v>
      </c>
      <c r="C1330" s="5">
        <v>5356.0</v>
      </c>
      <c r="D1330" s="5">
        <v>4306.159396001445</v>
      </c>
      <c r="E1330" s="5">
        <v>9.061290979433934</v>
      </c>
      <c r="F1330" s="5">
        <v>7.33349395672494</v>
      </c>
      <c r="G1330" s="5">
        <v>3.679074929465964</v>
      </c>
      <c r="H1330" s="5">
        <v>12.64270894007662</v>
      </c>
      <c r="I1330" s="5">
        <v>12.826527347480887</v>
      </c>
      <c r="J1330" s="5">
        <v>7.260597272680536</v>
      </c>
      <c r="K1330" s="5">
        <v>24.37997545964976</v>
      </c>
      <c r="L1330" s="9" t="b">
        <v>0</v>
      </c>
    </row>
    <row r="1331" ht="15.75" customHeight="1">
      <c r="A1331" s="5">
        <v>17.0</v>
      </c>
      <c r="B1331" s="5">
        <v>20184.0</v>
      </c>
      <c r="C1331" s="5">
        <v>5507.0</v>
      </c>
      <c r="D1331" s="5">
        <v>4573.58908726702</v>
      </c>
      <c r="E1331" s="5">
        <v>6.973581973581977</v>
      </c>
      <c r="F1331" s="5">
        <v>7.5408069758936325</v>
      </c>
      <c r="G1331" s="5">
        <v>3.1646550592492444</v>
      </c>
      <c r="H1331" s="5">
        <v>17.001222014824215</v>
      </c>
      <c r="I1331" s="5">
        <v>14.13337464058716</v>
      </c>
      <c r="J1331" s="5">
        <v>6.540071560084515</v>
      </c>
      <c r="K1331" s="5">
        <v>20.4087182937273</v>
      </c>
      <c r="L1331" s="9" t="b">
        <v>0</v>
      </c>
    </row>
    <row r="1332" ht="15.75" customHeight="1">
      <c r="A1332" s="5">
        <v>17.0</v>
      </c>
      <c r="B1332" s="5">
        <v>20191.0</v>
      </c>
      <c r="C1332" s="5">
        <v>5631.0</v>
      </c>
      <c r="D1332" s="5">
        <v>4696.130111462709</v>
      </c>
      <c r="E1332" s="5">
        <v>8.059873344847436</v>
      </c>
      <c r="F1332" s="5">
        <v>7.369840420619683</v>
      </c>
      <c r="G1332" s="5">
        <v>1.0926839628482892</v>
      </c>
      <c r="H1332" s="5">
        <v>14.669535264926271</v>
      </c>
      <c r="I1332" s="5">
        <v>13.976611354580843</v>
      </c>
      <c r="J1332" s="5">
        <v>4.104233625023923</v>
      </c>
      <c r="K1332" s="5">
        <v>19.907239926240173</v>
      </c>
      <c r="L1332" s="9" t="b">
        <v>0</v>
      </c>
    </row>
    <row r="1333" ht="15.75" customHeight="1">
      <c r="A1333" s="5">
        <v>17.0</v>
      </c>
      <c r="B1333" s="5">
        <v>20192.0</v>
      </c>
      <c r="C1333" s="5">
        <v>5853.0</v>
      </c>
      <c r="D1333" s="5">
        <v>4623.881907048682</v>
      </c>
      <c r="E1333" s="5">
        <v>12.427967729542843</v>
      </c>
      <c r="F1333" s="5">
        <v>9.130678506851547</v>
      </c>
      <c r="G1333" s="5">
        <v>3.089374229615932</v>
      </c>
      <c r="H1333" s="5">
        <v>11.21677297751036</v>
      </c>
      <c r="I1333" s="5">
        <v>13.882559799334366</v>
      </c>
      <c r="J1333" s="5">
        <v>2.610583013893219</v>
      </c>
      <c r="K1333" s="5">
        <v>26.581952516513052</v>
      </c>
      <c r="L1333" s="9" t="b">
        <v>0</v>
      </c>
    </row>
    <row r="1334" ht="15.75" customHeight="1">
      <c r="A1334" s="5">
        <v>17.0</v>
      </c>
      <c r="B1334" s="5">
        <v>20193.0</v>
      </c>
      <c r="C1334" s="5">
        <v>5881.0</v>
      </c>
      <c r="D1334" s="5">
        <v>4724.424017834377</v>
      </c>
      <c r="E1334" s="5">
        <v>9.802091112770729</v>
      </c>
      <c r="F1334" s="5">
        <v>9.315878540185746</v>
      </c>
      <c r="G1334" s="5">
        <v>1.9823845834608065</v>
      </c>
      <c r="H1334" s="5">
        <v>9.713170910982027</v>
      </c>
      <c r="I1334" s="5">
        <v>13.150175292060718</v>
      </c>
      <c r="J1334" s="5">
        <v>0.3236479445798306</v>
      </c>
      <c r="K1334" s="5">
        <v>24.480782795947786</v>
      </c>
      <c r="L1334" s="9" t="b">
        <v>0</v>
      </c>
    </row>
    <row r="1335" ht="15.75" customHeight="1">
      <c r="A1335" s="5">
        <v>17.0</v>
      </c>
      <c r="B1335" s="5">
        <v>20194.0</v>
      </c>
      <c r="C1335" s="5">
        <v>6026.0</v>
      </c>
      <c r="D1335" s="5">
        <v>5021.983172160572</v>
      </c>
      <c r="E1335" s="5">
        <v>9.424368984928266</v>
      </c>
      <c r="F1335" s="5">
        <v>9.928575293022318</v>
      </c>
      <c r="G1335" s="5">
        <v>2.3877683171286854</v>
      </c>
      <c r="H1335" s="5">
        <v>9.803987116855172</v>
      </c>
      <c r="I1335" s="5">
        <v>11.350866567568458</v>
      </c>
      <c r="J1335" s="5">
        <v>-2.782508073018702</v>
      </c>
      <c r="K1335" s="5">
        <v>19.99243711936767</v>
      </c>
      <c r="L1335" s="9" t="b">
        <v>0</v>
      </c>
    </row>
    <row r="1336" ht="15.75" customHeight="1">
      <c r="A1336" s="5">
        <v>17.0</v>
      </c>
      <c r="B1336" s="5">
        <v>20201.0</v>
      </c>
      <c r="C1336" s="5">
        <v>6249.0</v>
      </c>
      <c r="D1336" s="5">
        <v>5164.461460900749</v>
      </c>
      <c r="E1336" s="5">
        <v>10.974960042621195</v>
      </c>
      <c r="F1336" s="5">
        <v>10.65734696746576</v>
      </c>
      <c r="G1336" s="5">
        <v>3.2875065468460765</v>
      </c>
      <c r="H1336" s="5">
        <v>9.9727081303582</v>
      </c>
      <c r="I1336" s="5">
        <v>10.17665978392644</v>
      </c>
      <c r="J1336" s="5">
        <v>-3.799951570654404</v>
      </c>
      <c r="K1336" s="5">
        <v>21.00003160658872</v>
      </c>
      <c r="L1336" s="9" t="b">
        <v>0</v>
      </c>
    </row>
    <row r="1337" ht="15.75" customHeight="1">
      <c r="A1337" s="5">
        <v>17.0</v>
      </c>
      <c r="B1337" s="5">
        <v>20202.0</v>
      </c>
      <c r="C1337" s="5">
        <v>6080.25601461224</v>
      </c>
      <c r="D1337" s="5">
        <v>5342.69780397586</v>
      </c>
      <c r="E1337" s="5">
        <v>3.8827270564196104</v>
      </c>
      <c r="F1337" s="5">
        <v>8.52103679918495</v>
      </c>
      <c r="G1337" s="5">
        <v>-0.6096417076665972</v>
      </c>
      <c r="H1337" s="5">
        <v>15.54572351494119</v>
      </c>
      <c r="I1337" s="5">
        <v>11.258897418284148</v>
      </c>
      <c r="J1337" s="5">
        <v>-2.6236623810502184</v>
      </c>
      <c r="K1337" s="5">
        <v>13.804977142587283</v>
      </c>
      <c r="L1337" s="9" t="b">
        <v>0</v>
      </c>
    </row>
    <row r="1338" ht="15.75" customHeight="1">
      <c r="A1338" s="5">
        <v>17.0</v>
      </c>
      <c r="B1338" s="5">
        <v>20203.0</v>
      </c>
      <c r="C1338" s="5">
        <v>6406.3246905112</v>
      </c>
      <c r="D1338" s="5">
        <v>5464.2014128939545</v>
      </c>
      <c r="E1338" s="5">
        <v>8.932574230763478</v>
      </c>
      <c r="F1338" s="5">
        <v>8.303657578683136</v>
      </c>
      <c r="G1338" s="5">
        <v>-1.01222096150261</v>
      </c>
      <c r="H1338" s="5">
        <v>15.658573241245243</v>
      </c>
      <c r="I1338" s="5">
        <v>12.745248000849951</v>
      </c>
      <c r="J1338" s="5">
        <v>-0.4049272912107664</v>
      </c>
      <c r="K1338" s="5">
        <v>17.241737747699126</v>
      </c>
      <c r="L1338" s="9" t="b">
        <v>0</v>
      </c>
    </row>
    <row r="1339" ht="15.75" customHeight="1">
      <c r="A1339" s="5">
        <v>17.0</v>
      </c>
      <c r="B1339" s="5">
        <v>20204.0</v>
      </c>
      <c r="C1339" s="5">
        <v>6624.22485816054</v>
      </c>
      <c r="D1339" s="5">
        <v>5527.549298674474</v>
      </c>
      <c r="E1339" s="5">
        <v>9.92739558845901</v>
      </c>
      <c r="F1339" s="5">
        <v>8.429414229565824</v>
      </c>
      <c r="G1339" s="5">
        <v>-1.4991610634564942</v>
      </c>
      <c r="H1339" s="5">
        <v>10.06706134175268</v>
      </c>
      <c r="I1339" s="5">
        <v>12.811016557074328</v>
      </c>
      <c r="J1339" s="5">
        <v>1.4601499895058705</v>
      </c>
      <c r="K1339" s="5">
        <v>19.84017690713411</v>
      </c>
      <c r="L1339" s="9" t="b">
        <v>0</v>
      </c>
    </row>
    <row r="1340" ht="15.75" customHeight="1">
      <c r="A1340" s="5">
        <v>17.0</v>
      </c>
      <c r="B1340" s="5">
        <v>20211.0</v>
      </c>
      <c r="C1340" s="5">
        <v>6500.4181361635</v>
      </c>
      <c r="D1340" s="5">
        <v>5550.343772721518</v>
      </c>
      <c r="E1340" s="5">
        <v>4.0233339120419265</v>
      </c>
      <c r="F1340" s="5">
        <v>6.691507696921007</v>
      </c>
      <c r="G1340" s="5">
        <v>-3.9658392705447527</v>
      </c>
      <c r="H1340" s="5">
        <v>7.471879008919258</v>
      </c>
      <c r="I1340" s="5">
        <v>12.185809276714593</v>
      </c>
      <c r="J1340" s="5">
        <v>2.009149492788154</v>
      </c>
      <c r="K1340" s="5">
        <v>17.11739672975481</v>
      </c>
      <c r="L1340" s="9" t="b">
        <v>0</v>
      </c>
    </row>
    <row r="1341" ht="15.75" customHeight="1">
      <c r="A1341" s="5">
        <v>17.0</v>
      </c>
      <c r="B1341" s="5">
        <v>20212.0</v>
      </c>
      <c r="C1341" s="5">
        <v>6675.50758051547</v>
      </c>
      <c r="D1341" s="5">
        <v>5905.282218539602</v>
      </c>
      <c r="E1341" s="5">
        <v>9.789909577371514</v>
      </c>
      <c r="F1341" s="5">
        <v>8.168303327158982</v>
      </c>
      <c r="G1341" s="5">
        <v>-0.3527334720259674</v>
      </c>
      <c r="H1341" s="5">
        <v>10.529968851037875</v>
      </c>
      <c r="I1341" s="5">
        <v>10.931870610738763</v>
      </c>
      <c r="J1341" s="5">
        <v>-0.32702680754538527</v>
      </c>
      <c r="K1341" s="5">
        <v>13.04298987705872</v>
      </c>
      <c r="L1341" s="9" t="b">
        <v>0</v>
      </c>
    </row>
    <row r="1342" ht="15.75" customHeight="1">
      <c r="A1342" s="5">
        <v>17.0</v>
      </c>
      <c r="B1342" s="5">
        <v>20213.0</v>
      </c>
      <c r="C1342" s="5">
        <v>7450.70159655197</v>
      </c>
      <c r="D1342" s="5">
        <v>5961.803361643185</v>
      </c>
      <c r="E1342" s="5">
        <v>16.302278708846284</v>
      </c>
      <c r="F1342" s="5">
        <v>10.010729446679683</v>
      </c>
      <c r="G1342" s="5">
        <v>1.7070718679965466</v>
      </c>
      <c r="H1342" s="5">
        <v>9.106581385800162</v>
      </c>
      <c r="I1342" s="5">
        <v>9.293872646877492</v>
      </c>
      <c r="J1342" s="5">
        <v>-3.451375353972459</v>
      </c>
      <c r="K1342" s="5">
        <v>24.973957452001862</v>
      </c>
      <c r="L1342" s="9" t="b">
        <v>0</v>
      </c>
    </row>
    <row r="1343" ht="15.75" customHeight="1">
      <c r="A1343" s="5">
        <v>17.0</v>
      </c>
      <c r="B1343" s="5">
        <v>20214.0</v>
      </c>
      <c r="C1343" s="5">
        <v>7527.57698368337</v>
      </c>
      <c r="D1343" s="5">
        <v>6097.519447130686</v>
      </c>
      <c r="E1343" s="5">
        <v>13.63709935676427</v>
      </c>
      <c r="F1343" s="5">
        <v>10.938155388755998</v>
      </c>
      <c r="G1343" s="5">
        <v>2.5087411591901745</v>
      </c>
      <c r="H1343" s="5">
        <v>10.311443962931154</v>
      </c>
      <c r="I1343" s="5">
        <v>9.354968302172113</v>
      </c>
      <c r="J1343" s="5">
        <v>-3.456048254902216</v>
      </c>
      <c r="K1343" s="5">
        <v>23.453103330824575</v>
      </c>
      <c r="L1343" s="9" t="b">
        <v>0</v>
      </c>
    </row>
    <row r="1344" ht="15.75" customHeight="1">
      <c r="A1344" s="5">
        <v>17.0</v>
      </c>
      <c r="B1344" s="5">
        <v>20221.0</v>
      </c>
      <c r="C1344" s="5">
        <v>7717.90966060657</v>
      </c>
      <c r="D1344" s="5">
        <v>6262.296258305198</v>
      </c>
      <c r="E1344" s="5">
        <v>18.72943399855851</v>
      </c>
      <c r="F1344" s="5">
        <v>14.614680410385144</v>
      </c>
      <c r="G1344" s="5">
        <v>7.923172713464138</v>
      </c>
      <c r="H1344" s="5">
        <v>12.827178184579102</v>
      </c>
      <c r="I1344" s="5">
        <v>10.693793096087074</v>
      </c>
      <c r="J1344" s="5">
        <v>-1.4920161806275196</v>
      </c>
      <c r="K1344" s="5">
        <v>23.244083995082555</v>
      </c>
      <c r="L1344" s="9" t="b">
        <v>0</v>
      </c>
    </row>
    <row r="1345" ht="15.75" customHeight="1">
      <c r="A1345" s="5">
        <v>17.0</v>
      </c>
      <c r="B1345" s="5">
        <v>20222.0</v>
      </c>
      <c r="C1345" s="5">
        <v>7928.95582068491</v>
      </c>
      <c r="D1345" s="5">
        <v>6581.307642897852</v>
      </c>
      <c r="E1345" s="5">
        <v>18.776822961418183</v>
      </c>
      <c r="F1345" s="5">
        <v>16.861408756396813</v>
      </c>
      <c r="G1345" s="5">
        <v>8.69310542923783</v>
      </c>
      <c r="H1345" s="5">
        <v>11.44780891649635</v>
      </c>
      <c r="I1345" s="5">
        <v>10.923253112451691</v>
      </c>
      <c r="J1345" s="5">
        <v>-0.008617498287071257</v>
      </c>
      <c r="K1345" s="5">
        <v>20.47690597234666</v>
      </c>
      <c r="L1345" s="9" t="b">
        <v>0</v>
      </c>
    </row>
    <row r="1346" ht="15.75" customHeight="1">
      <c r="A1346" s="5">
        <v>17.0</v>
      </c>
      <c r="B1346" s="5">
        <v>20223.0</v>
      </c>
      <c r="C1346" s="5">
        <v>8475.20576094929</v>
      </c>
      <c r="D1346" s="5">
        <v>6747.279372509268</v>
      </c>
      <c r="E1346" s="5">
        <v>13.750438816009458</v>
      </c>
      <c r="F1346" s="5">
        <v>16.223448783187607</v>
      </c>
      <c r="G1346" s="5">
        <v>6.212719336507924</v>
      </c>
      <c r="H1346" s="5">
        <v>13.175141198377105</v>
      </c>
      <c r="I1346" s="5">
        <v>11.940393065595927</v>
      </c>
      <c r="J1346" s="5">
        <v>2.646520418718435</v>
      </c>
      <c r="K1346" s="5">
        <v>25.60923141081406</v>
      </c>
      <c r="L1346" s="9" t="b">
        <v>0</v>
      </c>
    </row>
    <row r="1347" ht="15.75" customHeight="1">
      <c r="A1347" s="5">
        <v>17.0</v>
      </c>
      <c r="B1347" s="5">
        <v>20224.0</v>
      </c>
      <c r="C1347" s="5">
        <v>8520.31062787716</v>
      </c>
      <c r="D1347" s="5">
        <v>6461.986801826475</v>
      </c>
      <c r="E1347" s="5">
        <v>13.18795737786036</v>
      </c>
      <c r="F1347" s="5">
        <v>16.11116328846163</v>
      </c>
      <c r="G1347" s="5">
        <v>5.173007899705631</v>
      </c>
      <c r="H1347" s="5">
        <v>5.977305326468407</v>
      </c>
      <c r="I1347" s="5">
        <v>10.85685840648024</v>
      </c>
      <c r="J1347" s="5">
        <v>1.5018901043081279</v>
      </c>
      <c r="K1347" s="5">
        <v>31.852801455256774</v>
      </c>
      <c r="L1347" s="9" t="b">
        <v>0</v>
      </c>
    </row>
    <row r="1348" ht="15.75" customHeight="1">
      <c r="A1348" s="5">
        <v>17.0</v>
      </c>
      <c r="B1348" s="5">
        <v>20231.0</v>
      </c>
      <c r="C1348" s="5">
        <v>8450.8058544951</v>
      </c>
      <c r="D1348" s="5">
        <v>6584.929658679987</v>
      </c>
      <c r="E1348" s="5">
        <v>9.496045252114671</v>
      </c>
      <c r="F1348" s="5">
        <v>13.802816101850668</v>
      </c>
      <c r="G1348" s="5">
        <v>-0.8118643085344761</v>
      </c>
      <c r="H1348" s="5">
        <v>5.1519983575818</v>
      </c>
      <c r="I1348" s="5">
        <v>8.938063449730915</v>
      </c>
      <c r="J1348" s="5">
        <v>-1.7557296463561585</v>
      </c>
      <c r="K1348" s="5">
        <v>28.335552428499987</v>
      </c>
      <c r="L1348" s="9" t="b">
        <v>0</v>
      </c>
    </row>
    <row r="1349" ht="15.75" customHeight="1">
      <c r="A1349" s="5">
        <v>17.0</v>
      </c>
      <c r="B1349" s="5">
        <v>20232.0</v>
      </c>
      <c r="C1349" s="5">
        <v>8809.757210536312</v>
      </c>
      <c r="D1349" s="5">
        <v>6365.8865580359015</v>
      </c>
      <c r="E1349" s="5">
        <v>11.108668149639378</v>
      </c>
      <c r="F1349" s="5">
        <v>11.885777398905967</v>
      </c>
      <c r="G1349" s="5">
        <v>-4.975631357490846</v>
      </c>
      <c r="H1349" s="5">
        <v>-3.273226181645217</v>
      </c>
      <c r="I1349" s="5">
        <v>5.257804675195524</v>
      </c>
      <c r="J1349" s="5">
        <v>-5.665448437256168</v>
      </c>
      <c r="K1349" s="5">
        <v>38.39010686446209</v>
      </c>
      <c r="L1349" s="9" t="b">
        <v>0</v>
      </c>
    </row>
    <row r="1350" ht="15.75" customHeight="1">
      <c r="A1350" s="5">
        <v>17.0</v>
      </c>
      <c r="B1350" s="5">
        <v>20233.0</v>
      </c>
      <c r="C1350" s="5">
        <v>8731.24</v>
      </c>
      <c r="D1350" s="5">
        <v>6843.006816534142</v>
      </c>
      <c r="E1350" s="5">
        <v>3.0209796230602937</v>
      </c>
      <c r="F1350" s="5">
        <v>9.203412600668676</v>
      </c>
      <c r="G1350" s="5">
        <v>-7.020036182518931</v>
      </c>
      <c r="H1350" s="5">
        <v>1.4187561940135485</v>
      </c>
      <c r="I1350" s="5">
        <v>2.3187084241046345</v>
      </c>
      <c r="J1350" s="5">
        <v>-9.621684641491292</v>
      </c>
      <c r="K1350" s="5">
        <v>27.593618333149838</v>
      </c>
      <c r="L1350" s="9" t="b">
        <v>0</v>
      </c>
    </row>
    <row r="1351" ht="15.75" customHeight="1">
      <c r="A1351" s="5">
        <v>17.0</v>
      </c>
      <c r="B1351" s="5">
        <v>20234.0</v>
      </c>
      <c r="C1351" s="5">
        <v>9201.5143670012</v>
      </c>
      <c r="D1351" s="5">
        <v>6983.890866565186</v>
      </c>
      <c r="E1351" s="5">
        <v>7.995057561578167</v>
      </c>
      <c r="F1351" s="5">
        <v>7.905187646598127</v>
      </c>
      <c r="G1351" s="5">
        <v>-8.205975641863503</v>
      </c>
      <c r="H1351" s="5">
        <v>8.076526318363797</v>
      </c>
      <c r="I1351" s="5">
        <v>2.843513672078482</v>
      </c>
      <c r="J1351" s="5">
        <v>-8.013344734401759</v>
      </c>
      <c r="K1351" s="5">
        <v>31.753409994602123</v>
      </c>
      <c r="L1351" s="9" t="b">
        <v>0</v>
      </c>
    </row>
    <row r="1352" ht="15.75" customHeight="1">
      <c r="A1352" s="5">
        <v>17.0</v>
      </c>
      <c r="B1352" s="5">
        <v>20241.0</v>
      </c>
      <c r="C1352" s="5">
        <v>9755.25266692758</v>
      </c>
      <c r="D1352" s="5">
        <v>7557.514956269708</v>
      </c>
      <c r="E1352" s="5">
        <v>15.4357683147889</v>
      </c>
      <c r="F1352" s="5">
        <v>9.390118412266684</v>
      </c>
      <c r="G1352" s="5">
        <v>-4.412697689583984</v>
      </c>
      <c r="H1352" s="5">
        <v>14.769866164138868</v>
      </c>
      <c r="I1352" s="5">
        <v>5.2479806237177495</v>
      </c>
      <c r="J1352" s="5">
        <v>-3.6900828260131657</v>
      </c>
      <c r="K1352" s="5">
        <v>29.08016356401162</v>
      </c>
      <c r="L1352" s="9" t="b">
        <v>0</v>
      </c>
    </row>
    <row r="1353" ht="15.75" customHeight="1">
      <c r="A1353" s="5">
        <v>17.0</v>
      </c>
      <c r="B1353" s="5">
        <v>20242.0</v>
      </c>
      <c r="C1353" s="5">
        <v>10320.4580540714</v>
      </c>
      <c r="D1353" s="5">
        <v>7804.954206446583</v>
      </c>
      <c r="E1353" s="5">
        <v>17.148041738634024</v>
      </c>
      <c r="F1353" s="5">
        <v>10.899961809515347</v>
      </c>
      <c r="G1353" s="5">
        <v>-0.9858155893906204</v>
      </c>
      <c r="H1353" s="5">
        <v>22.60592668893999</v>
      </c>
      <c r="I1353" s="5">
        <v>11.717768841364052</v>
      </c>
      <c r="J1353" s="5">
        <v>6.459964166168528</v>
      </c>
      <c r="K1353" s="5">
        <v>32.229578561103025</v>
      </c>
      <c r="L1353" s="9" t="b">
        <v>0</v>
      </c>
    </row>
    <row r="1354" ht="15.75" customHeight="1">
      <c r="A1354" s="5">
        <v>17.0</v>
      </c>
      <c r="B1354" s="5">
        <v>20243.0</v>
      </c>
      <c r="C1354" s="5">
        <v>9953.34889489317</v>
      </c>
      <c r="D1354" s="5">
        <v>8014.60056533942</v>
      </c>
      <c r="E1354" s="5">
        <v>13.99696829881174</v>
      </c>
      <c r="F1354" s="5">
        <v>13.64395897845321</v>
      </c>
      <c r="G1354" s="5">
        <v>4.440546377784534</v>
      </c>
      <c r="H1354" s="5">
        <v>17.121037289842555</v>
      </c>
      <c r="I1354" s="5">
        <v>15.643339115321304</v>
      </c>
      <c r="J1354" s="5">
        <v>13.324630691216669</v>
      </c>
      <c r="K1354" s="5">
        <v>24.19020528531659</v>
      </c>
      <c r="L1354" s="9" t="b">
        <v>0</v>
      </c>
    </row>
    <row r="1355" ht="15.75" customHeight="1">
      <c r="A1355" s="5">
        <v>17.0</v>
      </c>
      <c r="B1355" s="5">
        <v>20244.0</v>
      </c>
      <c r="C1355" s="5">
        <v>9996.0</v>
      </c>
      <c r="D1355" s="5">
        <v>7835.160671269203</v>
      </c>
      <c r="E1355" s="5">
        <v>8.634292153561285</v>
      </c>
      <c r="F1355" s="5">
        <v>13.803767626448987</v>
      </c>
      <c r="G1355" s="5">
        <v>5.898579979850861</v>
      </c>
      <c r="H1355" s="5">
        <v>12.189047924265296</v>
      </c>
      <c r="I1355" s="5">
        <v>16.671469516796677</v>
      </c>
      <c r="J1355" s="5">
        <v>13.827955844718195</v>
      </c>
      <c r="K1355" s="5">
        <v>27.578749426982284</v>
      </c>
      <c r="L1355" s="9" t="b">
        <v>0</v>
      </c>
    </row>
    <row r="1356" ht="15.75" customHeight="1">
      <c r="A1356" s="5">
        <v>17.0</v>
      </c>
      <c r="B1356" s="5">
        <v>20251.0</v>
      </c>
      <c r="C1356" s="5">
        <v>9781.14</v>
      </c>
      <c r="D1356" s="5">
        <v>8048.183154818331</v>
      </c>
      <c r="E1356" s="5">
        <v>0.2653681453088641</v>
      </c>
      <c r="F1356" s="5">
        <v>10.011167584078978</v>
      </c>
      <c r="G1356" s="5">
        <v>0.6210491718122935</v>
      </c>
      <c r="H1356" s="5">
        <v>6.492454217924704</v>
      </c>
      <c r="I1356" s="5">
        <v>14.602116530243137</v>
      </c>
      <c r="J1356" s="5">
        <v>9.354135906525388</v>
      </c>
      <c r="K1356" s="5">
        <v>21.532273953583836</v>
      </c>
      <c r="L1356" s="9" t="b">
        <v>0</v>
      </c>
    </row>
    <row r="1357" ht="15.75" customHeight="1">
      <c r="A1357" s="5">
        <v>17.0</v>
      </c>
      <c r="B1357" s="5">
        <v>20252.0</v>
      </c>
      <c r="C1357" s="5">
        <v>10051.23</v>
      </c>
      <c r="D1357" s="5">
        <v>8154.386907151695</v>
      </c>
      <c r="E1357" s="5">
        <v>-2.6086831869365557</v>
      </c>
      <c r="F1357" s="5">
        <v>5.071986352686333</v>
      </c>
      <c r="G1357" s="5">
        <v>-5.827975456829013</v>
      </c>
      <c r="H1357" s="5">
        <v>4.4770627919443085</v>
      </c>
      <c r="I1357" s="5">
        <v>10.069900555994215</v>
      </c>
      <c r="J1357" s="5">
        <v>-1.647868285369837</v>
      </c>
      <c r="K1357" s="5">
        <v>23.26162732338226</v>
      </c>
      <c r="L1357" s="9" t="b">
        <v>0</v>
      </c>
    </row>
    <row r="1358" ht="15.75" customHeight="1">
      <c r="A1358" s="5">
        <v>17.0</v>
      </c>
      <c r="B1358" s="5">
        <v>20253.0</v>
      </c>
      <c r="C1358" s="5">
        <v>9837.467365342036</v>
      </c>
      <c r="D1358" s="5">
        <v>8243.158184178366</v>
      </c>
      <c r="E1358" s="5">
        <v>-1.16424663472402</v>
      </c>
      <c r="F1358" s="5">
        <v>1.2816826193023934</v>
      </c>
      <c r="G1358" s="5">
        <v>-12.362276359150815</v>
      </c>
      <c r="H1358" s="5">
        <v>2.851765561809594</v>
      </c>
      <c r="I1358" s="5">
        <v>6.502582623985974</v>
      </c>
      <c r="J1358" s="5">
        <v>-9.14075649133533</v>
      </c>
      <c r="K1358" s="5">
        <v>19.34099947546477</v>
      </c>
      <c r="L1358" s="9" t="b">
        <v>0</v>
      </c>
    </row>
    <row r="1359" ht="15.75" customHeight="1">
      <c r="A1359" s="5">
        <v>17.0</v>
      </c>
      <c r="B1359" s="5">
        <v>20254.0</v>
      </c>
      <c r="C1359" s="5">
        <v>9707.981789371124</v>
      </c>
      <c r="D1359" s="5">
        <v>8005.392047649754</v>
      </c>
      <c r="E1359" s="5">
        <v>-2.881334640144817</v>
      </c>
      <c r="F1359" s="5">
        <v>-1.5972240791241321</v>
      </c>
      <c r="G1359" s="5">
        <v>-15.40099170557312</v>
      </c>
      <c r="H1359" s="5">
        <v>2.1726596750564875</v>
      </c>
      <c r="I1359" s="5">
        <v>3.9984855616837724</v>
      </c>
      <c r="J1359" s="5">
        <v>-12.672983955112905</v>
      </c>
      <c r="K1359" s="5">
        <v>21.26803698791018</v>
      </c>
      <c r="L1359" s="9" t="b">
        <v>0</v>
      </c>
    </row>
    <row r="1360" ht="15.75" customHeight="1">
      <c r="A1360" s="5">
        <v>17.0</v>
      </c>
      <c r="B1360" s="5">
        <v>20261.0</v>
      </c>
      <c r="C1360" s="5">
        <v>9757.71128832788</v>
      </c>
      <c r="D1360" s="5">
        <v>8008.832365647981</v>
      </c>
      <c r="E1360" s="5">
        <v>-0.23952945844879503</v>
      </c>
      <c r="F1360" s="5">
        <v>-1.723448480063547</v>
      </c>
      <c r="G1360" s="5">
        <v>-11.734616064142525</v>
      </c>
      <c r="H1360" s="5">
        <v>-0.4889400304811886</v>
      </c>
      <c r="I1360" s="5">
        <v>2.253136999582299</v>
      </c>
      <c r="J1360" s="5">
        <v>-12.348979530660838</v>
      </c>
      <c r="K1360" s="5">
        <v>21.836877622527197</v>
      </c>
      <c r="L1360" s="9" t="b">
        <v>0</v>
      </c>
    </row>
    <row r="1361" ht="15.75" customHeight="1">
      <c r="A1361" s="5">
        <v>17.0</v>
      </c>
      <c r="B1361" s="5">
        <v>20262.0</v>
      </c>
      <c r="C1361" s="5">
        <v>9945.487212511169</v>
      </c>
      <c r="D1361" s="5">
        <v>8019.663004462572</v>
      </c>
      <c r="E1361" s="5">
        <v>-1.0520382827656993</v>
      </c>
      <c r="F1361" s="5">
        <v>-1.3342872540208326</v>
      </c>
      <c r="G1361" s="5">
        <v>-6.406273606707166</v>
      </c>
      <c r="H1361" s="5">
        <v>-1.6521647086792601</v>
      </c>
      <c r="I1361" s="5">
        <v>0.7208301244264073</v>
      </c>
      <c r="J1361" s="5">
        <v>-9.349070431567807</v>
      </c>
      <c r="K1361" s="5">
        <v>24.01377971838674</v>
      </c>
      <c r="L1361" s="9" t="b"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3" width="8.63"/>
    <col customWidth="1" min="4" max="4" width="18.0"/>
    <col customWidth="1" min="5" max="5" width="8.63"/>
    <col customWidth="1" min="6" max="6" width="18.0"/>
    <col customWidth="1" min="7" max="8" width="12.0"/>
  </cols>
  <sheetData>
    <row r="1">
      <c r="A1" s="40" t="s">
        <v>292</v>
      </c>
      <c r="B1" s="40"/>
      <c r="C1" s="40"/>
      <c r="D1" s="40" t="s">
        <v>293</v>
      </c>
      <c r="E1" s="40"/>
      <c r="F1" s="40" t="s">
        <v>58</v>
      </c>
      <c r="G1" s="40" t="str">
        <f>"H1 "&amp;(src_city_snapshot!$AW$2-1)</f>
        <v>H1 2025</v>
      </c>
      <c r="H1" s="40" t="str">
        <f>"H1 "&amp;src_city_snapshot!$AW$2</f>
        <v>H1 2026</v>
      </c>
    </row>
    <row r="2">
      <c r="A2" s="41">
        <v>1.0</v>
      </c>
      <c r="B2" s="41"/>
      <c r="C2" s="41"/>
      <c r="D2" s="41">
        <f>RANK('City Comparison'!I8,'City Comparison'!$I$8:$I$24,0)+COUNTIF('City Comparison'!$I$8:I8,'City Comparison'!I8)-1</f>
        <v>1</v>
      </c>
      <c r="E2" s="41"/>
      <c r="F2" s="41" t="str">
        <f t="array" ref="F2">INDEX('City Comparison'!$A$8:$A$24,MATCH(ROWS($F$2:F2),$D$2:$D$18,0))</f>
        <v>Warszawa</v>
      </c>
      <c r="G2" s="42">
        <f t="array" ref="G2">INDEX('City Comparison'!$H$8:$H$24,MATCH(ROWS($F$2:F2),$D$2:$D$18,0))</f>
        <v>8300</v>
      </c>
      <c r="H2" s="42">
        <f t="array" ref="H2">INDEX('City Comparison'!$I$8:$I$24,MATCH(ROWS($F$2:F2),$D$2:$D$18,0))</f>
        <v>6867</v>
      </c>
    </row>
    <row r="3">
      <c r="A3" s="41">
        <v>2.0</v>
      </c>
      <c r="B3" s="41"/>
      <c r="C3" s="41"/>
      <c r="D3" s="41">
        <f>RANK('City Comparison'!I9,'City Comparison'!$I$8:$I$24,0)+COUNTIF('City Comparison'!$I$8:I9,'City Comparison'!I9)-1</f>
        <v>2</v>
      </c>
      <c r="E3" s="41"/>
      <c r="F3" s="41" t="str">
        <f t="array" ref="F3">INDEX('City Comparison'!$A$8:$A$24,MATCH(ROWS($F$2:F3),$D$2:$D$18,0))</f>
        <v>Kraków</v>
      </c>
      <c r="G3" s="42">
        <f t="array" ref="G3">INDEX('City Comparison'!$H$8:$H$24,MATCH(ROWS($F$2:F3),$D$2:$D$18,0))</f>
        <v>2731</v>
      </c>
      <c r="H3" s="42">
        <f t="array" ref="H3">INDEX('City Comparison'!$I$8:$I$24,MATCH(ROWS($F$2:F3),$D$2:$D$18,0))</f>
        <v>4501</v>
      </c>
    </row>
    <row r="4">
      <c r="A4" s="41">
        <v>3.0</v>
      </c>
      <c r="B4" s="41"/>
      <c r="C4" s="41"/>
      <c r="D4" s="41">
        <f>RANK('City Comparison'!I10,'City Comparison'!$I$8:$I$24,0)+COUNTIF('City Comparison'!$I$8:I10,'City Comparison'!I10)-1</f>
        <v>6</v>
      </c>
      <c r="E4" s="41"/>
      <c r="F4" s="41" t="str">
        <f t="array" ref="F4">INDEX('City Comparison'!$A$8:$A$24,MATCH(ROWS($F$2:F4),$D$2:$D$18,0))</f>
        <v>Wrocław</v>
      </c>
      <c r="G4" s="42">
        <f t="array" ref="G4">INDEX('City Comparison'!$H$8:$H$24,MATCH(ROWS($F$2:F4),$D$2:$D$18,0))</f>
        <v>3481</v>
      </c>
      <c r="H4" s="42">
        <f t="array" ref="H4">INDEX('City Comparison'!$I$8:$I$24,MATCH(ROWS($F$2:F4),$D$2:$D$18,0))</f>
        <v>3182</v>
      </c>
    </row>
    <row r="5">
      <c r="A5" s="41">
        <v>4.0</v>
      </c>
      <c r="B5" s="41"/>
      <c r="C5" s="41"/>
      <c r="D5" s="41">
        <f>RANK('City Comparison'!I11,'City Comparison'!$I$8:$I$24,0)+COUNTIF('City Comparison'!$I$8:I11,'City Comparison'!I11)-1</f>
        <v>3</v>
      </c>
      <c r="E5" s="41"/>
      <c r="F5" s="41" t="str">
        <f t="array" ref="F5">INDEX('City Comparison'!$A$8:$A$24,MATCH(ROWS($F$2:F5),$D$2:$D$18,0))</f>
        <v>Łódź</v>
      </c>
      <c r="G5" s="42">
        <f t="array" ref="G5">INDEX('City Comparison'!$H$8:$H$24,MATCH(ROWS($F$2:F5),$D$2:$D$18,0))</f>
        <v>2263</v>
      </c>
      <c r="H5" s="42">
        <f t="array" ref="H5">INDEX('City Comparison'!$I$8:$I$24,MATCH(ROWS($F$2:F5),$D$2:$D$18,0))</f>
        <v>2602</v>
      </c>
    </row>
    <row r="6">
      <c r="A6" s="41">
        <v>5.0</v>
      </c>
      <c r="B6" s="41"/>
      <c r="C6" s="41"/>
      <c r="D6" s="41">
        <f>RANK('City Comparison'!I12,'City Comparison'!$I$8:$I$24,0)+COUNTIF('City Comparison'!$I$8:I12,'City Comparison'!I12)-1</f>
        <v>17</v>
      </c>
      <c r="E6" s="41"/>
      <c r="F6" s="41" t="str">
        <f t="array" ref="F6">INDEX('City Comparison'!$A$8:$A$24,MATCH(ROWS($F$2:F6),$D$2:$D$18,0))</f>
        <v>Poznań</v>
      </c>
      <c r="G6" s="42">
        <f t="array" ref="G6">INDEX('City Comparison'!$H$8:$H$24,MATCH(ROWS($F$2:F6),$D$2:$D$18,0))</f>
        <v>1791</v>
      </c>
      <c r="H6" s="42">
        <f t="array" ref="H6">INDEX('City Comparison'!$I$8:$I$24,MATCH(ROWS($F$2:F6),$D$2:$D$18,0))</f>
        <v>2319</v>
      </c>
    </row>
    <row r="7">
      <c r="A7" s="41">
        <v>6.0</v>
      </c>
      <c r="B7" s="41"/>
      <c r="C7" s="41"/>
      <c r="D7" s="41">
        <f>RANK('City Comparison'!I13,'City Comparison'!$I$8:$I$24,0)+COUNTIF('City Comparison'!$I$8:I13,'City Comparison'!I13)-1</f>
        <v>7</v>
      </c>
      <c r="E7" s="41"/>
      <c r="F7" s="41" t="str">
        <f t="array" ref="F7">INDEX('City Comparison'!$A$8:$A$24,MATCH(ROWS($F$2:F7),$D$2:$D$18,0))</f>
        <v>Gdańsk</v>
      </c>
      <c r="G7" s="42">
        <f t="array" ref="G7">INDEX('City Comparison'!$H$8:$H$24,MATCH(ROWS($F$2:F7),$D$2:$D$18,0))</f>
        <v>2194</v>
      </c>
      <c r="H7" s="42">
        <f t="array" ref="H7">INDEX('City Comparison'!$I$8:$I$24,MATCH(ROWS($F$2:F7),$D$2:$D$18,0))</f>
        <v>1618</v>
      </c>
    </row>
    <row r="8">
      <c r="A8" s="41">
        <v>7.0</v>
      </c>
      <c r="B8" s="41"/>
      <c r="C8" s="41"/>
      <c r="D8" s="41">
        <f>RANK('City Comparison'!I14,'City Comparison'!$I$8:$I$24,0)+COUNTIF('City Comparison'!$I$8:I14,'City Comparison'!I14)-1</f>
        <v>5</v>
      </c>
      <c r="E8" s="41"/>
      <c r="F8" s="41" t="str">
        <f t="array" ref="F8">INDEX('City Comparison'!$A$8:$A$24,MATCH(ROWS($F$2:F8),$D$2:$D$18,0))</f>
        <v>Rzeszów</v>
      </c>
      <c r="G8" s="42">
        <f t="array" ref="G8">INDEX('City Comparison'!$H$8:$H$24,MATCH(ROWS($F$2:F8),$D$2:$D$18,0))</f>
        <v>1714</v>
      </c>
      <c r="H8" s="42">
        <f t="array" ref="H8">INDEX('City Comparison'!$I$8:$I$24,MATCH(ROWS($F$2:F8),$D$2:$D$18,0))</f>
        <v>1526</v>
      </c>
    </row>
    <row r="9">
      <c r="A9" s="41">
        <v>8.0</v>
      </c>
      <c r="B9" s="41"/>
      <c r="C9" s="41"/>
      <c r="D9" s="41">
        <f>RANK('City Comparison'!I15,'City Comparison'!$I$8:$I$24,0)+COUNTIF('City Comparison'!$I$8:I15,'City Comparison'!I15)-1</f>
        <v>8</v>
      </c>
      <c r="E9" s="41"/>
      <c r="F9" s="41" t="str">
        <f t="array" ref="F9">INDEX('City Comparison'!$A$8:$A$24,MATCH(ROWS($F$2:F9),$D$2:$D$18,0))</f>
        <v>Lublin</v>
      </c>
      <c r="G9" s="42">
        <f t="array" ref="G9">INDEX('City Comparison'!$H$8:$H$24,MATCH(ROWS($F$2:F9),$D$2:$D$18,0))</f>
        <v>934</v>
      </c>
      <c r="H9" s="42">
        <f t="array" ref="H9">INDEX('City Comparison'!$I$8:$I$24,MATCH(ROWS($F$2:F9),$D$2:$D$18,0))</f>
        <v>1433</v>
      </c>
    </row>
    <row r="10">
      <c r="A10" s="41">
        <v>17.0</v>
      </c>
      <c r="B10" s="41"/>
      <c r="C10" s="41"/>
      <c r="D10" s="41">
        <f>RANK('City Comparison'!I16,'City Comparison'!$I$8:$I$24,0)+COUNTIF('City Comparison'!$I$8:I16,'City Comparison'!I16)-1</f>
        <v>15</v>
      </c>
      <c r="E10" s="41"/>
      <c r="F10" s="41" t="str">
        <f t="array" ref="F10">INDEX('City Comparison'!$A$8:$A$24,MATCH(ROWS($F$2:F10),$D$2:$D$18,0))</f>
        <v>Katowice</v>
      </c>
      <c r="G10" s="42">
        <f t="array" ref="G10">INDEX('City Comparison'!$H$8:$H$24,MATCH(ROWS($F$2:F10),$D$2:$D$18,0))</f>
        <v>1269</v>
      </c>
      <c r="H10" s="42">
        <f t="array" ref="H10">INDEX('City Comparison'!$I$8:$I$24,MATCH(ROWS($F$2:F10),$D$2:$D$18,0))</f>
        <v>1420</v>
      </c>
    </row>
    <row r="11">
      <c r="A11" s="41">
        <v>9.0</v>
      </c>
      <c r="B11" s="41"/>
      <c r="C11" s="41"/>
      <c r="D11" s="41">
        <f>RANK('City Comparison'!I17,'City Comparison'!$I$8:$I$24,0)+COUNTIF('City Comparison'!$I$8:I17,'City Comparison'!I17)-1</f>
        <v>12</v>
      </c>
      <c r="E11" s="41"/>
      <c r="F11" s="41" t="str">
        <f t="array" ref="F11">INDEX('City Comparison'!$A$8:$A$24,MATCH(ROWS($F$2:F11),$D$2:$D$18,0))</f>
        <v>Bydgoszcz</v>
      </c>
      <c r="G11" s="42">
        <f t="array" ref="G11">INDEX('City Comparison'!$H$8:$H$24,MATCH(ROWS($F$2:F11),$D$2:$D$18,0))</f>
        <v>345</v>
      </c>
      <c r="H11" s="42">
        <f t="array" ref="H11">INDEX('City Comparison'!$I$8:$I$24,MATCH(ROWS($F$2:F11),$D$2:$D$18,0))</f>
        <v>985</v>
      </c>
    </row>
    <row r="12">
      <c r="A12" s="41">
        <v>10.0</v>
      </c>
      <c r="B12" s="41"/>
      <c r="C12" s="41"/>
      <c r="D12" s="41">
        <f>RANK('City Comparison'!I18,'City Comparison'!$I$8:$I$24,0)+COUNTIF('City Comparison'!$I$8:I18,'City Comparison'!I18)-1</f>
        <v>14</v>
      </c>
      <c r="E12" s="41"/>
      <c r="F12" s="41" t="str">
        <f t="array" ref="F12">INDEX('City Comparison'!$A$8:$A$24,MATCH(ROWS($F$2:F12),$D$2:$D$18,0))</f>
        <v>Olsztyn</v>
      </c>
      <c r="G12" s="42">
        <f t="array" ref="G12">INDEX('City Comparison'!$H$8:$H$24,MATCH(ROWS($F$2:F12),$D$2:$D$18,0))</f>
        <v>195</v>
      </c>
      <c r="H12" s="42">
        <f t="array" ref="H12">INDEX('City Comparison'!$I$8:$I$24,MATCH(ROWS($F$2:F12),$D$2:$D$18,0))</f>
        <v>778</v>
      </c>
    </row>
    <row r="13">
      <c r="A13" s="41">
        <v>11.0</v>
      </c>
      <c r="B13" s="41"/>
      <c r="C13" s="41"/>
      <c r="D13" s="41">
        <f>RANK('City Comparison'!I19,'City Comparison'!$I$8:$I$24,0)+COUNTIF('City Comparison'!$I$8:I19,'City Comparison'!I19)-1</f>
        <v>11</v>
      </c>
      <c r="E13" s="41"/>
      <c r="F13" s="41" t="str">
        <f t="array" ref="F13">INDEX('City Comparison'!$A$8:$A$24,MATCH(ROWS($F$2:F13),$D$2:$D$18,0))</f>
        <v>Szczecin</v>
      </c>
      <c r="G13" s="42">
        <f t="array" ref="G13">INDEX('City Comparison'!$H$8:$H$24,MATCH(ROWS($F$2:F13),$D$2:$D$18,0))</f>
        <v>961</v>
      </c>
      <c r="H13" s="42">
        <f t="array" ref="H13">INDEX('City Comparison'!$I$8:$I$24,MATCH(ROWS($F$2:F13),$D$2:$D$18,0))</f>
        <v>680</v>
      </c>
    </row>
    <row r="14">
      <c r="A14" s="41">
        <v>12.0</v>
      </c>
      <c r="B14" s="41"/>
      <c r="C14" s="41"/>
      <c r="D14" s="41">
        <f>RANK('City Comparison'!I20,'City Comparison'!$I$8:$I$24,0)+COUNTIF('City Comparison'!$I$8:I20,'City Comparison'!I20)-1</f>
        <v>16</v>
      </c>
      <c r="E14" s="41"/>
      <c r="F14" s="41" t="str">
        <f t="array" ref="F14">INDEX('City Comparison'!$A$8:$A$24,MATCH(ROWS($F$2:F14),$D$2:$D$18,0))</f>
        <v>Kielce</v>
      </c>
      <c r="G14" s="42">
        <f t="array" ref="G14">INDEX('City Comparison'!$H$8:$H$24,MATCH(ROWS($F$2:F14),$D$2:$D$18,0))</f>
        <v>587</v>
      </c>
      <c r="H14" s="42">
        <f t="array" ref="H14">INDEX('City Comparison'!$I$8:$I$24,MATCH(ROWS($F$2:F14),$D$2:$D$18,0))</f>
        <v>493</v>
      </c>
    </row>
    <row r="15">
      <c r="A15" s="41">
        <v>13.0</v>
      </c>
      <c r="B15" s="41"/>
      <c r="C15" s="41"/>
      <c r="D15" s="41">
        <f>RANK('City Comparison'!I21,'City Comparison'!$I$8:$I$24,0)+COUNTIF('City Comparison'!$I$8:I21,'City Comparison'!I21)-1</f>
        <v>10</v>
      </c>
      <c r="E15" s="41"/>
      <c r="F15" s="41" t="str">
        <f t="array" ref="F15">INDEX('City Comparison'!$A$8:$A$24,MATCH(ROWS($F$2:F15),$D$2:$D$18,0))</f>
        <v>Opole</v>
      </c>
      <c r="G15" s="42">
        <f t="array" ref="G15">INDEX('City Comparison'!$H$8:$H$24,MATCH(ROWS($F$2:F15),$D$2:$D$18,0))</f>
        <v>165</v>
      </c>
      <c r="H15" s="42">
        <f t="array" ref="H15">INDEX('City Comparison'!$I$8:$I$24,MATCH(ROWS($F$2:F15),$D$2:$D$18,0))</f>
        <v>323</v>
      </c>
    </row>
    <row r="16">
      <c r="A16" s="41">
        <v>14.0</v>
      </c>
      <c r="B16" s="41"/>
      <c r="C16" s="41"/>
      <c r="D16" s="41">
        <f>RANK('City Comparison'!I22,'City Comparison'!$I$8:$I$24,0)+COUNTIF('City Comparison'!$I$8:I22,'City Comparison'!I22)-1</f>
        <v>13</v>
      </c>
      <c r="E16" s="41"/>
      <c r="F16" s="41" t="str">
        <f t="array" ref="F16">INDEX('City Comparison'!$A$8:$A$24,MATCH(ROWS($F$2:F16),$D$2:$D$18,0))</f>
        <v>Białystok</v>
      </c>
      <c r="G16" s="42">
        <f t="array" ref="G16">INDEX('City Comparison'!$H$8:$H$24,MATCH(ROWS($F$2:F16),$D$2:$D$18,0))</f>
        <v>1120</v>
      </c>
      <c r="H16" s="42">
        <f t="array" ref="H16">INDEX('City Comparison'!$I$8:$I$24,MATCH(ROWS($F$2:F16),$D$2:$D$18,0))</f>
        <v>311</v>
      </c>
    </row>
    <row r="17">
      <c r="A17" s="41">
        <v>15.0</v>
      </c>
      <c r="B17" s="41"/>
      <c r="C17" s="41"/>
      <c r="D17" s="41">
        <f>RANK('City Comparison'!I23,'City Comparison'!$I$8:$I$24,0)+COUNTIF('City Comparison'!$I$8:I23,'City Comparison'!I23)-1</f>
        <v>9</v>
      </c>
      <c r="E17" s="41"/>
      <c r="F17" s="41" t="str">
        <f t="array" ref="F17">INDEX('City Comparison'!$A$8:$A$24,MATCH(ROWS($F$2:F17),$D$2:$D$18,0))</f>
        <v>Zielona Góra</v>
      </c>
      <c r="G17" s="42">
        <f t="array" ref="G17">INDEX('City Comparison'!$H$8:$H$24,MATCH(ROWS($F$2:F17),$D$2:$D$18,0))</f>
        <v>397</v>
      </c>
      <c r="H17" s="42">
        <f t="array" ref="H17">INDEX('City Comparison'!$I$8:$I$24,MATCH(ROWS($F$2:F17),$D$2:$D$18,0))</f>
        <v>296</v>
      </c>
    </row>
    <row r="18">
      <c r="A18" s="41">
        <v>16.0</v>
      </c>
      <c r="B18" s="41"/>
      <c r="C18" s="41"/>
      <c r="D18" s="41">
        <f>RANK('City Comparison'!I24,'City Comparison'!$I$8:$I$24,0)+COUNTIF('City Comparison'!$I$8:I24,'City Comparison'!I24)-1</f>
        <v>4</v>
      </c>
      <c r="E18" s="41"/>
      <c r="F18" s="41" t="str">
        <f t="array" ref="F18">INDEX('City Comparison'!$A$8:$A$24,MATCH(ROWS($F$2:F18),$D$2:$D$18,0))</f>
        <v>Gdynia</v>
      </c>
      <c r="G18" s="42">
        <f t="array" ref="G18">INDEX('City Comparison'!$H$8:$H$24,MATCH(ROWS($F$2:F18),$D$2:$D$18,0))</f>
        <v>296</v>
      </c>
      <c r="H18" s="42">
        <f t="array" ref="H18">INDEX('City Comparison'!$I$8:$I$24,MATCH(ROWS($F$2:F18),$D$2:$D$18,0))</f>
        <v>247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